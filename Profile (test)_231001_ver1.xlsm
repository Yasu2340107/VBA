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q26871\Documents\05. Document\"/>
    </mc:Choice>
  </mc:AlternateContent>
  <xr:revisionPtr revIDLastSave="0" documentId="13_ncr:1_{21ED68C6-63EF-4E8A-A0CE-B2D36158DBBE}" xr6:coauthVersionLast="47" xr6:coauthVersionMax="47" xr10:uidLastSave="{00000000-0000-0000-0000-000000000000}"/>
  <bookViews>
    <workbookView xWindow="94" yWindow="86" windowWidth="18515" windowHeight="11605" activeTab="1" xr2:uid="{00000000-000D-0000-FFFF-FFFF00000000}"/>
  </bookViews>
  <sheets>
    <sheet name="ID" sheetId="3" r:id="rId1"/>
    <sheet name="Profile" sheetId="1" r:id="rId2"/>
    <sheet name="List" sheetId="2" r:id="rId3"/>
    <sheet name="Sheet1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9" i="4" l="1"/>
  <c r="G60" i="4"/>
  <c r="G67" i="4"/>
  <c r="G72" i="4"/>
  <c r="G52" i="4"/>
  <c r="C72" i="4"/>
  <c r="E72" i="4" s="1"/>
  <c r="B72" i="4"/>
  <c r="E71" i="4"/>
  <c r="G71" i="4" s="1"/>
  <c r="C71" i="4"/>
  <c r="B71" i="4"/>
  <c r="C70" i="4"/>
  <c r="E70" i="4" s="1"/>
  <c r="G70" i="4" s="1"/>
  <c r="B70" i="4"/>
  <c r="E69" i="4"/>
  <c r="F69" i="4" s="1"/>
  <c r="C69" i="4"/>
  <c r="B69" i="4"/>
  <c r="C68" i="4"/>
  <c r="E68" i="4" s="1"/>
  <c r="G68" i="4" s="1"/>
  <c r="B68" i="4"/>
  <c r="E67" i="4"/>
  <c r="F67" i="4" s="1"/>
  <c r="C67" i="4"/>
  <c r="B67" i="4"/>
  <c r="C66" i="4"/>
  <c r="E66" i="4" s="1"/>
  <c r="G66" i="4" s="1"/>
  <c r="B66" i="4"/>
  <c r="E65" i="4"/>
  <c r="G65" i="4" s="1"/>
  <c r="C65" i="4"/>
  <c r="B65" i="4"/>
  <c r="E64" i="4"/>
  <c r="F64" i="4" s="1"/>
  <c r="C64" i="4"/>
  <c r="B64" i="4"/>
  <c r="E63" i="4"/>
  <c r="G63" i="4" s="1"/>
  <c r="C63" i="4"/>
  <c r="B63" i="4"/>
  <c r="C62" i="4"/>
  <c r="E62" i="4" s="1"/>
  <c r="G62" i="4" s="1"/>
  <c r="B62" i="4"/>
  <c r="E61" i="4"/>
  <c r="F61" i="4" s="1"/>
  <c r="C61" i="4"/>
  <c r="B61" i="4"/>
  <c r="C60" i="4"/>
  <c r="E60" i="4" s="1"/>
  <c r="B60" i="4"/>
  <c r="E59" i="4"/>
  <c r="F59" i="4" s="1"/>
  <c r="C59" i="4"/>
  <c r="B59" i="4"/>
  <c r="C58" i="4"/>
  <c r="E58" i="4" s="1"/>
  <c r="G58" i="4" s="1"/>
  <c r="B58" i="4"/>
  <c r="E57" i="4"/>
  <c r="G57" i="4" s="1"/>
  <c r="C57" i="4"/>
  <c r="B57" i="4"/>
  <c r="E56" i="4"/>
  <c r="F56" i="4" s="1"/>
  <c r="C56" i="4"/>
  <c r="B56" i="4"/>
  <c r="E55" i="4"/>
  <c r="G55" i="4" s="1"/>
  <c r="C55" i="4"/>
  <c r="B55" i="4"/>
  <c r="C54" i="4"/>
  <c r="E54" i="4" s="1"/>
  <c r="G54" i="4" s="1"/>
  <c r="B54" i="4"/>
  <c r="E53" i="4"/>
  <c r="F53" i="4" s="1"/>
  <c r="C53" i="4"/>
  <c r="B53" i="4"/>
  <c r="C52" i="4"/>
  <c r="E52" i="4" s="1"/>
  <c r="B52" i="4"/>
  <c r="G36" i="4"/>
  <c r="G44" i="4"/>
  <c r="C47" i="4"/>
  <c r="E47" i="4" s="1"/>
  <c r="G47" i="4" s="1"/>
  <c r="B47" i="4"/>
  <c r="C46" i="4"/>
  <c r="E46" i="4" s="1"/>
  <c r="G46" i="4" s="1"/>
  <c r="B46" i="4"/>
  <c r="C45" i="4"/>
  <c r="E45" i="4" s="1"/>
  <c r="G45" i="4" s="1"/>
  <c r="B45" i="4"/>
  <c r="C44" i="4"/>
  <c r="E44" i="4" s="1"/>
  <c r="B44" i="4"/>
  <c r="C43" i="4"/>
  <c r="E43" i="4" s="1"/>
  <c r="G43" i="4" s="1"/>
  <c r="B43" i="4"/>
  <c r="E42" i="4"/>
  <c r="F42" i="4" s="1"/>
  <c r="C42" i="4"/>
  <c r="B42" i="4"/>
  <c r="C41" i="4"/>
  <c r="E41" i="4" s="1"/>
  <c r="G41" i="4" s="1"/>
  <c r="B41" i="4"/>
  <c r="E40" i="4"/>
  <c r="G40" i="4" s="1"/>
  <c r="C40" i="4"/>
  <c r="B40" i="4"/>
  <c r="E39" i="4"/>
  <c r="G39" i="4" s="1"/>
  <c r="C39" i="4"/>
  <c r="B39" i="4"/>
  <c r="C38" i="4"/>
  <c r="E38" i="4" s="1"/>
  <c r="G38" i="4" s="1"/>
  <c r="B38" i="4"/>
  <c r="C37" i="4"/>
  <c r="E37" i="4" s="1"/>
  <c r="G37" i="4" s="1"/>
  <c r="B37" i="4"/>
  <c r="C36" i="4"/>
  <c r="E36" i="4" s="1"/>
  <c r="B36" i="4"/>
  <c r="C35" i="4"/>
  <c r="E35" i="4" s="1"/>
  <c r="G35" i="4" s="1"/>
  <c r="B35" i="4"/>
  <c r="E34" i="4"/>
  <c r="F34" i="4" s="1"/>
  <c r="C34" i="4"/>
  <c r="B34" i="4"/>
  <c r="C33" i="4"/>
  <c r="E33" i="4" s="1"/>
  <c r="G33" i="4" s="1"/>
  <c r="B33" i="4"/>
  <c r="E32" i="4"/>
  <c r="G32" i="4" s="1"/>
  <c r="C32" i="4"/>
  <c r="B32" i="4"/>
  <c r="E31" i="4"/>
  <c r="G31" i="4" s="1"/>
  <c r="C31" i="4"/>
  <c r="B31" i="4"/>
  <c r="C30" i="4"/>
  <c r="E30" i="4" s="1"/>
  <c r="G30" i="4" s="1"/>
  <c r="B30" i="4"/>
  <c r="C29" i="4"/>
  <c r="E29" i="4" s="1"/>
  <c r="G29" i="4" s="1"/>
  <c r="B29" i="4"/>
  <c r="C28" i="4"/>
  <c r="E28" i="4" s="1"/>
  <c r="G28" i="4" s="1"/>
  <c r="B28" i="4"/>
  <c r="C27" i="4"/>
  <c r="E27" i="4" s="1"/>
  <c r="G27" i="4" s="1"/>
  <c r="B27" i="4"/>
  <c r="E3" i="4"/>
  <c r="F3" i="4" s="1"/>
  <c r="E4" i="4"/>
  <c r="G4" i="4" s="1"/>
  <c r="E5" i="4"/>
  <c r="G5" i="4" s="1"/>
  <c r="E6" i="4"/>
  <c r="F6" i="4" s="1"/>
  <c r="E7" i="4"/>
  <c r="F7" i="4" s="1"/>
  <c r="E8" i="4"/>
  <c r="G8" i="4" s="1"/>
  <c r="E9" i="4"/>
  <c r="G9" i="4" s="1"/>
  <c r="E10" i="4"/>
  <c r="G10" i="4" s="1"/>
  <c r="E11" i="4"/>
  <c r="F11" i="4" s="1"/>
  <c r="E12" i="4"/>
  <c r="F12" i="4" s="1"/>
  <c r="E13" i="4"/>
  <c r="F13" i="4" s="1"/>
  <c r="E14" i="4"/>
  <c r="G14" i="4" s="1"/>
  <c r="E15" i="4"/>
  <c r="G15" i="4" s="1"/>
  <c r="E16" i="4"/>
  <c r="G16" i="4" s="1"/>
  <c r="E17" i="4"/>
  <c r="F17" i="4" s="1"/>
  <c r="E18" i="4"/>
  <c r="G18" i="4" s="1"/>
  <c r="E19" i="4"/>
  <c r="G19" i="4" s="1"/>
  <c r="E20" i="4"/>
  <c r="G20" i="4" s="1"/>
  <c r="E21" i="4"/>
  <c r="G21" i="4" s="1"/>
  <c r="E22" i="4"/>
  <c r="F22" i="4" s="1"/>
  <c r="E2" i="4"/>
  <c r="G2" i="4" s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" i="4"/>
  <c r="J14" i="1"/>
  <c r="J9" i="1"/>
  <c r="J8" i="1"/>
  <c r="J12" i="1" s="1"/>
  <c r="J7" i="1"/>
  <c r="I14" i="1"/>
  <c r="I9" i="1"/>
  <c r="I8" i="1"/>
  <c r="I12" i="1" s="1"/>
  <c r="I7" i="1"/>
  <c r="H14" i="1"/>
  <c r="H9" i="1"/>
  <c r="H8" i="1"/>
  <c r="H12" i="1" s="1"/>
  <c r="H7" i="1"/>
  <c r="G14" i="1"/>
  <c r="G9" i="1"/>
  <c r="G8" i="1"/>
  <c r="G12" i="1" s="1"/>
  <c r="G7" i="1"/>
  <c r="F14" i="1"/>
  <c r="F9" i="1"/>
  <c r="F8" i="1"/>
  <c r="F12" i="1" s="1"/>
  <c r="F7" i="1"/>
  <c r="F2" i="1" a="1"/>
  <c r="G2" i="1" a="1"/>
  <c r="H2" i="1" a="1"/>
  <c r="I10" i="1" a="1"/>
  <c r="J10" i="1" a="1"/>
  <c r="J2" i="1" a="1"/>
  <c r="H10" i="1" a="1"/>
  <c r="I2" i="1" a="1"/>
  <c r="F10" i="1" a="1"/>
  <c r="G10" i="1" a="1"/>
  <c r="G34" i="4" l="1"/>
  <c r="F16" i="4"/>
  <c r="G64" i="4"/>
  <c r="G56" i="4"/>
  <c r="G69" i="4"/>
  <c r="G61" i="4"/>
  <c r="G53" i="4"/>
  <c r="G42" i="4"/>
  <c r="F2" i="4"/>
  <c r="F4" i="4"/>
  <c r="F9" i="4"/>
  <c r="F10" i="4"/>
  <c r="G11" i="4"/>
  <c r="F15" i="4"/>
  <c r="F20" i="4"/>
  <c r="G22" i="4"/>
  <c r="F21" i="4"/>
  <c r="F19" i="4"/>
  <c r="F18" i="4"/>
  <c r="G17" i="4"/>
  <c r="F14" i="4"/>
  <c r="G13" i="4"/>
  <c r="G12" i="4"/>
  <c r="F8" i="4"/>
  <c r="G7" i="4"/>
  <c r="G6" i="4"/>
  <c r="F5" i="4"/>
  <c r="G3" i="4"/>
  <c r="F70" i="4"/>
  <c r="F54" i="4"/>
  <c r="F60" i="4"/>
  <c r="F68" i="4"/>
  <c r="F62" i="4"/>
  <c r="F52" i="4"/>
  <c r="F58" i="4"/>
  <c r="F66" i="4"/>
  <c r="F72" i="4"/>
  <c r="F55" i="4"/>
  <c r="F63" i="4"/>
  <c r="F71" i="4"/>
  <c r="F57" i="4"/>
  <c r="F65" i="4"/>
  <c r="F28" i="4"/>
  <c r="F44" i="4"/>
  <c r="F38" i="4"/>
  <c r="F41" i="4"/>
  <c r="F29" i="4"/>
  <c r="F35" i="4"/>
  <c r="F33" i="4"/>
  <c r="F46" i="4"/>
  <c r="F36" i="4"/>
  <c r="F27" i="4"/>
  <c r="F45" i="4"/>
  <c r="F30" i="4"/>
  <c r="F37" i="4"/>
  <c r="F43" i="4"/>
  <c r="F47" i="4"/>
  <c r="F31" i="4"/>
  <c r="F32" i="4"/>
  <c r="F40" i="4"/>
  <c r="F39" i="4"/>
  <c r="J11" i="1"/>
  <c r="J10" i="1"/>
  <c r="J2" i="1"/>
  <c r="I11" i="1"/>
  <c r="I10" i="1"/>
  <c r="I2" i="1"/>
  <c r="H11" i="1"/>
  <c r="H10" i="1"/>
  <c r="H2" i="1"/>
  <c r="G10" i="1"/>
  <c r="G2" i="1"/>
  <c r="G11" i="1"/>
  <c r="F2" i="1"/>
  <c r="F10" i="1"/>
  <c r="F11" i="1"/>
  <c r="E7" i="1"/>
  <c r="J96" i="2" a="1"/>
  <c r="J48" i="2" a="1"/>
  <c r="J78" i="2" a="1"/>
  <c r="J39" i="2" a="1"/>
  <c r="J18" i="2" a="1"/>
  <c r="J86" i="2" a="1"/>
  <c r="J91" i="2" a="1"/>
  <c r="J50" i="2" a="1"/>
  <c r="J56" i="2" a="1"/>
  <c r="J103" i="2" a="1"/>
  <c r="J82" i="2" a="1"/>
  <c r="J94" i="2" a="1"/>
  <c r="J71" i="2" a="1"/>
  <c r="J15" i="2" a="1"/>
  <c r="E2" i="1" a="1"/>
  <c r="J11" i="2" a="1"/>
  <c r="J88" i="2" a="1"/>
  <c r="J31" i="2" a="1"/>
  <c r="J21" i="2" a="1"/>
  <c r="J14" i="2" a="1"/>
  <c r="J70" i="2" a="1"/>
  <c r="J90" i="2" a="1"/>
  <c r="J24" i="2" a="1"/>
  <c r="J16" i="2" a="1"/>
  <c r="J23" i="2" a="1"/>
  <c r="J87" i="2" a="1"/>
  <c r="J84" i="2" a="1"/>
  <c r="J100" i="2" a="1"/>
  <c r="J38" i="2" a="1"/>
  <c r="J60" i="2" a="1"/>
  <c r="J12" i="2" a="1"/>
  <c r="J75" i="2" a="1"/>
  <c r="J9" i="2" a="1"/>
  <c r="J36" i="2" a="1"/>
  <c r="J55" i="2" a="1"/>
  <c r="J81" i="2" a="1"/>
  <c r="J89" i="2" a="1"/>
  <c r="J66" i="2" a="1"/>
  <c r="J17" i="2" a="1"/>
  <c r="J19" i="2" a="1"/>
  <c r="J40" i="2" a="1"/>
  <c r="J45" i="2" a="1"/>
  <c r="J102" i="2" a="1"/>
  <c r="J42" i="2" a="1"/>
  <c r="J79" i="2" a="1"/>
  <c r="J13" i="2" a="1"/>
  <c r="J49" i="2" a="1"/>
  <c r="J77" i="2" a="1"/>
  <c r="J53" i="2" a="1"/>
  <c r="J69" i="2" a="1"/>
  <c r="J64" i="2" a="1"/>
  <c r="J54" i="2" a="1"/>
  <c r="J74" i="2" a="1"/>
  <c r="J92" i="2" a="1"/>
  <c r="J28" i="2" a="1"/>
  <c r="J93" i="2" a="1"/>
  <c r="J32" i="2" a="1"/>
  <c r="J98" i="2" a="1"/>
  <c r="J51" i="2" a="1"/>
  <c r="J30" i="2" a="1"/>
  <c r="J35" i="2" a="1"/>
  <c r="J25" i="2" a="1"/>
  <c r="J61" i="2" a="1"/>
  <c r="J73" i="2" a="1"/>
  <c r="J26" i="2" a="1"/>
  <c r="J83" i="2" a="1"/>
  <c r="J67" i="2" a="1"/>
  <c r="J101" i="2" a="1"/>
  <c r="J72" i="2" a="1"/>
  <c r="J57" i="2" a="1"/>
  <c r="J76" i="2" a="1"/>
  <c r="J95" i="2" a="1"/>
  <c r="J52" i="2" a="1"/>
  <c r="J10" i="2" a="1"/>
  <c r="J33" i="2" a="1"/>
  <c r="J47" i="2" a="1"/>
  <c r="J68" i="2" a="1"/>
  <c r="J58" i="2" a="1"/>
  <c r="J85" i="2" a="1"/>
  <c r="J44" i="2" a="1"/>
  <c r="J59" i="2" a="1"/>
  <c r="J29" i="2" a="1"/>
  <c r="J65" i="2" a="1"/>
  <c r="J22" i="2" a="1"/>
  <c r="J62" i="2" a="1"/>
  <c r="J63" i="2" a="1"/>
  <c r="J27" i="2" a="1"/>
  <c r="J37" i="2" a="1"/>
  <c r="J20" i="2" a="1"/>
  <c r="J43" i="2" a="1"/>
  <c r="J34" i="2" a="1"/>
  <c r="J97" i="2" a="1"/>
  <c r="J99" i="2" a="1"/>
  <c r="J41" i="2" a="1"/>
  <c r="J80" i="2" a="1"/>
  <c r="J46" i="2" a="1"/>
  <c r="E2" i="1" l="1"/>
  <c r="J20" i="2"/>
  <c r="J44" i="2"/>
  <c r="J56" i="2"/>
  <c r="J60" i="2"/>
  <c r="J64" i="2"/>
  <c r="J68" i="2"/>
  <c r="J72" i="2"/>
  <c r="J76" i="2"/>
  <c r="J80" i="2"/>
  <c r="J84" i="2"/>
  <c r="J88" i="2"/>
  <c r="J92" i="2"/>
  <c r="J96" i="2"/>
  <c r="J100" i="2"/>
  <c r="J12" i="2"/>
  <c r="J48" i="2"/>
  <c r="J17" i="2"/>
  <c r="J25" i="2"/>
  <c r="J33" i="2"/>
  <c r="J41" i="2"/>
  <c r="J53" i="2"/>
  <c r="J61" i="2"/>
  <c r="J69" i="2"/>
  <c r="J77" i="2"/>
  <c r="J85" i="2"/>
  <c r="J101" i="2"/>
  <c r="J16" i="2"/>
  <c r="J40" i="2"/>
  <c r="J9" i="2"/>
  <c r="J13" i="2"/>
  <c r="J21" i="2"/>
  <c r="J29" i="2"/>
  <c r="J37" i="2"/>
  <c r="J45" i="2"/>
  <c r="J49" i="2"/>
  <c r="J57" i="2"/>
  <c r="J65" i="2"/>
  <c r="J73" i="2"/>
  <c r="J81" i="2"/>
  <c r="J89" i="2"/>
  <c r="J93" i="2"/>
  <c r="J97" i="2"/>
  <c r="J28" i="2"/>
  <c r="J10" i="2"/>
  <c r="J18" i="2"/>
  <c r="J26" i="2"/>
  <c r="J34" i="2"/>
  <c r="J42" i="2"/>
  <c r="J50" i="2"/>
  <c r="J54" i="2"/>
  <c r="J62" i="2"/>
  <c r="J70" i="2"/>
  <c r="J78" i="2"/>
  <c r="J82" i="2"/>
  <c r="J90" i="2"/>
  <c r="J94" i="2"/>
  <c r="J102" i="2"/>
  <c r="J24" i="2"/>
  <c r="J52" i="2"/>
  <c r="J14" i="2"/>
  <c r="J22" i="2"/>
  <c r="J30" i="2"/>
  <c r="J38" i="2"/>
  <c r="J46" i="2"/>
  <c r="J58" i="2"/>
  <c r="J66" i="2"/>
  <c r="J74" i="2"/>
  <c r="J86" i="2"/>
  <c r="J98" i="2"/>
  <c r="J36" i="2"/>
  <c r="J15" i="2"/>
  <c r="J23" i="2"/>
  <c r="J31" i="2"/>
  <c r="J39" i="2"/>
  <c r="J51" i="2"/>
  <c r="J59" i="2"/>
  <c r="J67" i="2"/>
  <c r="J75" i="2"/>
  <c r="J83" i="2"/>
  <c r="J91" i="2"/>
  <c r="J95" i="2"/>
  <c r="J103" i="2"/>
  <c r="J32" i="2"/>
  <c r="J11" i="2"/>
  <c r="J19" i="2"/>
  <c r="J27" i="2"/>
  <c r="J35" i="2"/>
  <c r="J43" i="2"/>
  <c r="J47" i="2"/>
  <c r="J55" i="2"/>
  <c r="J63" i="2"/>
  <c r="J71" i="2"/>
  <c r="J79" i="2"/>
  <c r="J87" i="2"/>
  <c r="J99" i="2"/>
  <c r="E9" i="1"/>
  <c r="E8" i="1"/>
  <c r="E14" i="1"/>
  <c r="U33" i="2" a="1"/>
  <c r="AF7" i="2" a="1"/>
  <c r="F66" i="1" a="1"/>
  <c r="U9" i="2" a="1"/>
  <c r="U71" i="2" a="1"/>
  <c r="AE15" i="2" a="1"/>
  <c r="U91" i="2" a="1"/>
  <c r="J4" i="2" a="1"/>
  <c r="AC14" i="2" a="1"/>
  <c r="U40" i="2" a="1"/>
  <c r="U87" i="2" a="1"/>
  <c r="U77" i="2" a="1"/>
  <c r="AA34" i="2" a="1"/>
  <c r="U20" i="2" a="1"/>
  <c r="U78" i="2" a="1"/>
  <c r="U79" i="2" a="1"/>
  <c r="G66" i="1" a="1"/>
  <c r="U75" i="2" a="1"/>
  <c r="G67" i="1" a="1"/>
  <c r="H67" i="1" a="1"/>
  <c r="G65" i="1" a="1"/>
  <c r="U32" i="2" a="1"/>
  <c r="Y9" i="2" a="1"/>
  <c r="U61" i="2" a="1"/>
  <c r="U30" i="2" a="1"/>
  <c r="U54" i="2" a="1"/>
  <c r="U82" i="2" a="1"/>
  <c r="J68" i="1" a="1"/>
  <c r="AL14" i="2" a="1"/>
  <c r="F64" i="1" a="1"/>
  <c r="AM32" i="2" a="1"/>
  <c r="U67" i="2" a="1"/>
  <c r="U63" i="2" a="1"/>
  <c r="U95" i="2" a="1"/>
  <c r="U43" i="2" a="1"/>
  <c r="U10" i="2" a="1"/>
  <c r="U81" i="2" a="1"/>
  <c r="U14" i="2" a="1"/>
  <c r="E10" i="1" a="1"/>
  <c r="U66" i="2" a="1"/>
  <c r="U16" i="2" a="1"/>
  <c r="H65" i="1" a="1"/>
  <c r="U27" i="2" a="1"/>
  <c r="U84" i="2" a="1"/>
  <c r="U31" i="2" a="1"/>
  <c r="F67" i="1" a="1"/>
  <c r="U52" i="2" a="1"/>
  <c r="U23" i="2" a="1"/>
  <c r="U101" i="2" a="1"/>
  <c r="J6" i="2" a="1"/>
  <c r="U48" i="2" a="1"/>
  <c r="U73" i="2" a="1"/>
  <c r="AL4" i="2" a="1"/>
  <c r="U42" i="2" a="1"/>
  <c r="U24" i="2" a="1"/>
  <c r="U53" i="2" a="1"/>
  <c r="F65" i="1" a="1"/>
  <c r="H68" i="1" a="1"/>
  <c r="J64" i="1" a="1"/>
  <c r="Y17" i="2" a="1"/>
  <c r="J5" i="2" a="1"/>
  <c r="U51" i="2" a="1"/>
  <c r="U59" i="2" a="1"/>
  <c r="AE29" i="2" a="1"/>
  <c r="U56" i="2" a="1"/>
  <c r="U37" i="2" a="1"/>
  <c r="AK23" i="2" a="1"/>
  <c r="U28" i="2" a="1"/>
  <c r="U47" i="2" a="1"/>
  <c r="U60" i="2" a="1"/>
  <c r="AH19" i="2" a="1"/>
  <c r="U92" i="2" a="1"/>
  <c r="U89" i="2" a="1"/>
  <c r="U76" i="2" a="1"/>
  <c r="I67" i="1" a="1"/>
  <c r="U45" i="2" a="1"/>
  <c r="U83" i="2" a="1"/>
  <c r="U38" i="2" a="1"/>
  <c r="U11" i="2" a="1"/>
  <c r="U46" i="2" a="1"/>
  <c r="AN13" i="2" a="1"/>
  <c r="J67" i="1" a="1"/>
  <c r="H66" i="1" a="1"/>
  <c r="U50" i="2" a="1"/>
  <c r="G68" i="1" a="1"/>
  <c r="J65" i="1" a="1"/>
  <c r="U97" i="2" a="1"/>
  <c r="U36" i="2" a="1"/>
  <c r="U94" i="2" a="1"/>
  <c r="U58" i="2" a="1"/>
  <c r="U85" i="2" a="1"/>
  <c r="U80" i="2" a="1"/>
  <c r="U74" i="2" a="1"/>
  <c r="U62" i="2" a="1"/>
  <c r="U88" i="2" a="1"/>
  <c r="AE27" i="2" a="1"/>
  <c r="U96" i="2" a="1"/>
  <c r="U18" i="2" a="1"/>
  <c r="I64" i="1" a="1"/>
  <c r="U49" i="2" a="1"/>
  <c r="J7" i="2" a="1"/>
  <c r="J66" i="1" a="1"/>
  <c r="U29" i="2" a="1"/>
  <c r="U102" i="2" a="1"/>
  <c r="I66" i="1" a="1"/>
  <c r="U17" i="2" a="1"/>
  <c r="F68" i="1" a="1"/>
  <c r="J8" i="2" a="1"/>
  <c r="U41" i="2" a="1"/>
  <c r="AG17" i="2" a="1"/>
  <c r="U100" i="2" a="1"/>
  <c r="G64" i="1" a="1"/>
  <c r="U13" i="2" a="1"/>
  <c r="U98" i="2" a="1"/>
  <c r="AM30" i="2" a="1"/>
  <c r="U57" i="2" a="1"/>
  <c r="AC20" i="2" a="1"/>
  <c r="U70" i="2" a="1"/>
  <c r="AD13" i="2" a="1"/>
  <c r="H64" i="1" a="1"/>
  <c r="U25" i="2" a="1"/>
  <c r="I65" i="1" a="1"/>
  <c r="U26" i="2" a="1"/>
  <c r="U93" i="2" a="1"/>
  <c r="U44" i="2" a="1"/>
  <c r="U86" i="2" a="1"/>
  <c r="I68" i="1" a="1"/>
  <c r="U64" i="2" a="1"/>
  <c r="U65" i="2" a="1"/>
  <c r="U15" i="2" a="1"/>
  <c r="U39" i="2" a="1"/>
  <c r="U19" i="2" a="1"/>
  <c r="U22" i="2" a="1"/>
  <c r="U103" i="2" a="1"/>
  <c r="U55" i="2" a="1"/>
  <c r="U72" i="2" a="1"/>
  <c r="U99" i="2" a="1"/>
  <c r="U12" i="2" a="1"/>
  <c r="U34" i="2" a="1"/>
  <c r="U69" i="2" a="1"/>
  <c r="U90" i="2" a="1"/>
  <c r="U68" i="2" a="1"/>
  <c r="U21" i="2" a="1"/>
  <c r="U35" i="2" a="1"/>
  <c r="J66" i="1" l="1"/>
  <c r="J67" i="1"/>
  <c r="J64" i="1"/>
  <c r="J68" i="1"/>
  <c r="J65" i="1"/>
  <c r="I66" i="1"/>
  <c r="I67" i="1"/>
  <c r="I65" i="1"/>
  <c r="I64" i="1"/>
  <c r="I68" i="1"/>
  <c r="H66" i="1"/>
  <c r="H67" i="1"/>
  <c r="H65" i="1"/>
  <c r="H64" i="1"/>
  <c r="H68" i="1"/>
  <c r="G66" i="1"/>
  <c r="G67" i="1"/>
  <c r="G65" i="1"/>
  <c r="G64" i="1"/>
  <c r="G68" i="1"/>
  <c r="F65" i="1"/>
  <c r="F66" i="1"/>
  <c r="F67" i="1"/>
  <c r="F64" i="1"/>
  <c r="F68" i="1"/>
  <c r="U63" i="2"/>
  <c r="U28" i="2"/>
  <c r="U88" i="2"/>
  <c r="U55" i="2"/>
  <c r="U103" i="2"/>
  <c r="U39" i="2"/>
  <c r="U66" i="2"/>
  <c r="U24" i="2"/>
  <c r="U54" i="2"/>
  <c r="U97" i="2"/>
  <c r="U45" i="2"/>
  <c r="U101" i="2"/>
  <c r="U25" i="2"/>
  <c r="U84" i="2"/>
  <c r="U44" i="2"/>
  <c r="U62" i="2"/>
  <c r="U33" i="2"/>
  <c r="U56" i="2"/>
  <c r="U47" i="2"/>
  <c r="U95" i="2"/>
  <c r="U31" i="2"/>
  <c r="U58" i="2"/>
  <c r="U102" i="2"/>
  <c r="U50" i="2"/>
  <c r="U93" i="2"/>
  <c r="U37" i="2"/>
  <c r="U85" i="2"/>
  <c r="U17" i="2"/>
  <c r="U80" i="2"/>
  <c r="U20" i="2"/>
  <c r="U51" i="2"/>
  <c r="U16" i="2"/>
  <c r="U43" i="2"/>
  <c r="U91" i="2"/>
  <c r="U23" i="2"/>
  <c r="U46" i="2"/>
  <c r="U94" i="2"/>
  <c r="U42" i="2"/>
  <c r="U89" i="2"/>
  <c r="U29" i="2"/>
  <c r="U77" i="2"/>
  <c r="U48" i="2"/>
  <c r="U76" i="2"/>
  <c r="U52" i="2"/>
  <c r="U99" i="2"/>
  <c r="U83" i="2"/>
  <c r="U15" i="2"/>
  <c r="U38" i="2"/>
  <c r="U90" i="2"/>
  <c r="U34" i="2"/>
  <c r="U81" i="2"/>
  <c r="U21" i="2"/>
  <c r="U69" i="2"/>
  <c r="U12" i="2"/>
  <c r="U72" i="2"/>
  <c r="U32" i="2"/>
  <c r="U49" i="2"/>
  <c r="U35" i="2"/>
  <c r="U87" i="2"/>
  <c r="U27" i="2"/>
  <c r="U75" i="2"/>
  <c r="U36" i="2"/>
  <c r="U30" i="2"/>
  <c r="U82" i="2"/>
  <c r="U26" i="2"/>
  <c r="U73" i="2"/>
  <c r="U13" i="2"/>
  <c r="U61" i="2"/>
  <c r="U100" i="2"/>
  <c r="U68" i="2"/>
  <c r="U79" i="2"/>
  <c r="U19" i="2"/>
  <c r="U67" i="2"/>
  <c r="U98" i="2"/>
  <c r="U22" i="2"/>
  <c r="U78" i="2"/>
  <c r="U18" i="2"/>
  <c r="U65" i="2"/>
  <c r="U9" i="2"/>
  <c r="U53" i="2"/>
  <c r="U96" i="2"/>
  <c r="U64" i="2"/>
  <c r="U74" i="2"/>
  <c r="U71" i="2"/>
  <c r="U11" i="2"/>
  <c r="U59" i="2"/>
  <c r="U86" i="2"/>
  <c r="U14" i="2"/>
  <c r="U70" i="2"/>
  <c r="U10" i="2"/>
  <c r="U57" i="2"/>
  <c r="U40" i="2"/>
  <c r="U41" i="2"/>
  <c r="U92" i="2"/>
  <c r="U60" i="2"/>
  <c r="J5" i="2"/>
  <c r="M5" i="2" s="1" a="1"/>
  <c r="J6" i="2"/>
  <c r="S6" i="2" s="1" a="1"/>
  <c r="J7" i="2"/>
  <c r="O7" i="2" s="1" a="1"/>
  <c r="J8" i="2"/>
  <c r="M8" i="2" s="1" a="1"/>
  <c r="AE15" i="2"/>
  <c r="AM32" i="2"/>
  <c r="AE27" i="2"/>
  <c r="AF7" i="2"/>
  <c r="AK23" i="2"/>
  <c r="AC20" i="2"/>
  <c r="AL4" i="2"/>
  <c r="AD13" i="2"/>
  <c r="AC14" i="2"/>
  <c r="AG17" i="2"/>
  <c r="AN13" i="2"/>
  <c r="AL14" i="2"/>
  <c r="AE29" i="2"/>
  <c r="AM30" i="2"/>
  <c r="J4" i="2"/>
  <c r="O4" i="2" s="1" a="1"/>
  <c r="Y17" i="2"/>
  <c r="Y9" i="2"/>
  <c r="AA34" i="2"/>
  <c r="AH19" i="2"/>
  <c r="S87" i="2" a="1"/>
  <c r="S87" i="2" s="1"/>
  <c r="O87" i="2" a="1"/>
  <c r="O87" i="2" s="1"/>
  <c r="K87" i="2" a="1"/>
  <c r="K87" i="2" s="1"/>
  <c r="T87" i="2" a="1"/>
  <c r="T87" i="2" s="1"/>
  <c r="L87" i="2" a="1"/>
  <c r="L87" i="2" s="1"/>
  <c r="M87" i="2" a="1"/>
  <c r="M87" i="2" s="1"/>
  <c r="R87" i="2" a="1"/>
  <c r="R87" i="2" s="1"/>
  <c r="Q87" i="2" a="1"/>
  <c r="Q87" i="2" s="1"/>
  <c r="P87" i="2" a="1"/>
  <c r="P87" i="2" s="1"/>
  <c r="N87" i="2" a="1"/>
  <c r="N87" i="2" s="1"/>
  <c r="S27" i="2" a="1"/>
  <c r="S27" i="2" s="1"/>
  <c r="O27" i="2" a="1"/>
  <c r="O27" i="2" s="1"/>
  <c r="K27" i="2" a="1"/>
  <c r="K27" i="2" s="1"/>
  <c r="R27" i="2" a="1"/>
  <c r="R27" i="2" s="1"/>
  <c r="N27" i="2" a="1"/>
  <c r="N27" i="2" s="1"/>
  <c r="L27" i="2" a="1"/>
  <c r="L27" i="2" s="1"/>
  <c r="T27" i="2" a="1"/>
  <c r="T27" i="2" s="1"/>
  <c r="M27" i="2" a="1"/>
  <c r="M27" i="2" s="1"/>
  <c r="Q27" i="2" a="1"/>
  <c r="Q27" i="2" s="1"/>
  <c r="P27" i="2" a="1"/>
  <c r="P27" i="2" s="1"/>
  <c r="S91" i="2" a="1"/>
  <c r="S91" i="2" s="1"/>
  <c r="O91" i="2" a="1"/>
  <c r="O91" i="2" s="1"/>
  <c r="K91" i="2" a="1"/>
  <c r="K91" i="2" s="1"/>
  <c r="T91" i="2" a="1"/>
  <c r="T91" i="2" s="1"/>
  <c r="L91" i="2" a="1"/>
  <c r="L91" i="2" s="1"/>
  <c r="M91" i="2" a="1"/>
  <c r="M91" i="2" s="1"/>
  <c r="R91" i="2" a="1"/>
  <c r="R91" i="2" s="1"/>
  <c r="Q91" i="2" a="1"/>
  <c r="Q91" i="2" s="1"/>
  <c r="P91" i="2" a="1"/>
  <c r="P91" i="2" s="1"/>
  <c r="N91" i="2" a="1"/>
  <c r="N91" i="2" s="1"/>
  <c r="O23" i="2" a="1"/>
  <c r="O23" i="2" s="1"/>
  <c r="N23" i="2" a="1"/>
  <c r="N23" i="2" s="1"/>
  <c r="M23" i="2" a="1"/>
  <c r="M23" i="2" s="1"/>
  <c r="T23" i="2" a="1"/>
  <c r="T23" i="2" s="1"/>
  <c r="L23" i="2" a="1"/>
  <c r="L23" i="2" s="1"/>
  <c r="S23" i="2" a="1"/>
  <c r="S23" i="2" s="1"/>
  <c r="K23" i="2" a="1"/>
  <c r="K23" i="2" s="1"/>
  <c r="R23" i="2" a="1"/>
  <c r="R23" i="2" s="1"/>
  <c r="Q23" i="2" a="1"/>
  <c r="Q23" i="2" s="1"/>
  <c r="P23" i="2" a="1"/>
  <c r="P23" i="2" s="1"/>
  <c r="R66" i="2" a="1"/>
  <c r="R66" i="2" s="1"/>
  <c r="N66" i="2" a="1"/>
  <c r="N66" i="2" s="1"/>
  <c r="Q66" i="2" a="1"/>
  <c r="Q66" i="2" s="1"/>
  <c r="L66" i="2" a="1"/>
  <c r="L66" i="2" s="1"/>
  <c r="K66" i="2" a="1"/>
  <c r="K66" i="2" s="1"/>
  <c r="O66" i="2" a="1"/>
  <c r="O66" i="2" s="1"/>
  <c r="T66" i="2" a="1"/>
  <c r="T66" i="2" s="1"/>
  <c r="M66" i="2" a="1"/>
  <c r="M66" i="2" s="1"/>
  <c r="S66" i="2" a="1"/>
  <c r="S66" i="2" s="1"/>
  <c r="P66" i="2" a="1"/>
  <c r="P66" i="2" s="1"/>
  <c r="M24" i="2" a="1"/>
  <c r="M24" i="2" s="1"/>
  <c r="T24" i="2" a="1"/>
  <c r="T24" i="2" s="1"/>
  <c r="L24" i="2" a="1"/>
  <c r="L24" i="2" s="1"/>
  <c r="S24" i="2" a="1"/>
  <c r="S24" i="2" s="1"/>
  <c r="K24" i="2" a="1"/>
  <c r="K24" i="2" s="1"/>
  <c r="R24" i="2" a="1"/>
  <c r="R24" i="2" s="1"/>
  <c r="Q24" i="2" a="1"/>
  <c r="Q24" i="2" s="1"/>
  <c r="P24" i="2" a="1"/>
  <c r="P24" i="2" s="1"/>
  <c r="N24" i="2" a="1"/>
  <c r="N24" i="2" s="1"/>
  <c r="O24" i="2" a="1"/>
  <c r="O24" i="2" s="1"/>
  <c r="R54" i="2" a="1"/>
  <c r="R54" i="2" s="1"/>
  <c r="N54" i="2" a="1"/>
  <c r="N54" i="2" s="1"/>
  <c r="T54" i="2" a="1"/>
  <c r="T54" i="2" s="1"/>
  <c r="S54" i="2" a="1"/>
  <c r="S54" i="2" s="1"/>
  <c r="Q54" i="2" a="1"/>
  <c r="Q54" i="2" s="1"/>
  <c r="L54" i="2" a="1"/>
  <c r="L54" i="2" s="1"/>
  <c r="O54" i="2" a="1"/>
  <c r="O54" i="2" s="1"/>
  <c r="P54" i="2" a="1"/>
  <c r="P54" i="2" s="1"/>
  <c r="M54" i="2" a="1"/>
  <c r="M54" i="2" s="1"/>
  <c r="K54" i="2" a="1"/>
  <c r="K54" i="2" s="1"/>
  <c r="Q28" i="2" a="1"/>
  <c r="Q28" i="2" s="1"/>
  <c r="M28" i="2" a="1"/>
  <c r="M28" i="2" s="1"/>
  <c r="T28" i="2" a="1"/>
  <c r="T28" i="2" s="1"/>
  <c r="P28" i="2" a="1"/>
  <c r="P28" i="2" s="1"/>
  <c r="L28" i="2" a="1"/>
  <c r="L28" i="2" s="1"/>
  <c r="S28" i="2" a="1"/>
  <c r="S28" i="2" s="1"/>
  <c r="O28" i="2" a="1"/>
  <c r="O28" i="2" s="1"/>
  <c r="R28" i="2" a="1"/>
  <c r="R28" i="2" s="1"/>
  <c r="N28" i="2" a="1"/>
  <c r="N28" i="2" s="1"/>
  <c r="K28" i="2" a="1"/>
  <c r="K28" i="2" s="1"/>
  <c r="N49" i="2" a="1"/>
  <c r="N49" i="2" s="1"/>
  <c r="R49" i="2" a="1"/>
  <c r="R49" i="2" s="1"/>
  <c r="M49" i="2" a="1"/>
  <c r="M49" i="2" s="1"/>
  <c r="L49" i="2" a="1"/>
  <c r="L49" i="2" s="1"/>
  <c r="P49" i="2" a="1"/>
  <c r="P49" i="2" s="1"/>
  <c r="S49" i="2" a="1"/>
  <c r="S49" i="2" s="1"/>
  <c r="Q49" i="2" a="1"/>
  <c r="Q49" i="2" s="1"/>
  <c r="O49" i="2" a="1"/>
  <c r="O49" i="2" s="1"/>
  <c r="K49" i="2" a="1"/>
  <c r="K49" i="2" s="1"/>
  <c r="T49" i="2" a="1"/>
  <c r="T49" i="2" s="1"/>
  <c r="Q16" i="2" a="1"/>
  <c r="Q16" i="2" s="1"/>
  <c r="M16" i="2" a="1"/>
  <c r="M16" i="2" s="1"/>
  <c r="T16" i="2" a="1"/>
  <c r="T16" i="2" s="1"/>
  <c r="P16" i="2" a="1"/>
  <c r="P16" i="2" s="1"/>
  <c r="L16" i="2" a="1"/>
  <c r="L16" i="2" s="1"/>
  <c r="S16" i="2" a="1"/>
  <c r="S16" i="2" s="1"/>
  <c r="O16" i="2" a="1"/>
  <c r="O16" i="2" s="1"/>
  <c r="K16" i="2" a="1"/>
  <c r="K16" i="2" s="1"/>
  <c r="R16" i="2" a="1"/>
  <c r="R16" i="2" s="1"/>
  <c r="N16" i="2" a="1"/>
  <c r="N16" i="2" s="1"/>
  <c r="S33" i="2" a="1"/>
  <c r="S33" i="2" s="1"/>
  <c r="O33" i="2" a="1"/>
  <c r="O33" i="2" s="1"/>
  <c r="K33" i="2" a="1"/>
  <c r="K33" i="2" s="1"/>
  <c r="R33" i="2" a="1"/>
  <c r="R33" i="2" s="1"/>
  <c r="N33" i="2" a="1"/>
  <c r="N33" i="2" s="1"/>
  <c r="Q33" i="2" a="1"/>
  <c r="Q33" i="2" s="1"/>
  <c r="M33" i="2" a="1"/>
  <c r="M33" i="2" s="1"/>
  <c r="T33" i="2" a="1"/>
  <c r="T33" i="2" s="1"/>
  <c r="P33" i="2" a="1"/>
  <c r="P33" i="2" s="1"/>
  <c r="L33" i="2" a="1"/>
  <c r="L33" i="2" s="1"/>
  <c r="Q88" i="2" a="1"/>
  <c r="Q88" i="2" s="1"/>
  <c r="M88" i="2" a="1"/>
  <c r="M88" i="2" s="1"/>
  <c r="R88" i="2" a="1"/>
  <c r="R88" i="2" s="1"/>
  <c r="S88" i="2" a="1"/>
  <c r="S88" i="2" s="1"/>
  <c r="K88" i="2" a="1"/>
  <c r="K88" i="2" s="1"/>
  <c r="N88" i="2" a="1"/>
  <c r="N88" i="2" s="1"/>
  <c r="L88" i="2" a="1"/>
  <c r="L88" i="2" s="1"/>
  <c r="T88" i="2" a="1"/>
  <c r="T88" i="2" s="1"/>
  <c r="O88" i="2" a="1"/>
  <c r="O88" i="2" s="1"/>
  <c r="P88" i="2" a="1"/>
  <c r="P88" i="2" s="1"/>
  <c r="R56" i="2" a="1"/>
  <c r="R56" i="2" s="1"/>
  <c r="N56" i="2" a="1"/>
  <c r="N56" i="2" s="1"/>
  <c r="P56" i="2" a="1"/>
  <c r="P56" i="2" s="1"/>
  <c r="O56" i="2" a="1"/>
  <c r="O56" i="2" s="1"/>
  <c r="S56" i="2" a="1"/>
  <c r="S56" i="2" s="1"/>
  <c r="M56" i="2" a="1"/>
  <c r="M56" i="2" s="1"/>
  <c r="K56" i="2" a="1"/>
  <c r="K56" i="2" s="1"/>
  <c r="L56" i="2" a="1"/>
  <c r="L56" i="2" s="1"/>
  <c r="T56" i="2" a="1"/>
  <c r="T56" i="2" s="1"/>
  <c r="Q56" i="2" a="1"/>
  <c r="Q56" i="2" s="1"/>
  <c r="N79" i="2" a="1"/>
  <c r="N79" i="2" s="1"/>
  <c r="R79" i="2" a="1"/>
  <c r="R79" i="2" s="1"/>
  <c r="L79" i="2" a="1"/>
  <c r="L79" i="2" s="1"/>
  <c r="P79" i="2" a="1"/>
  <c r="P79" i="2" s="1"/>
  <c r="O79" i="2" a="1"/>
  <c r="O79" i="2" s="1"/>
  <c r="M79" i="2" a="1"/>
  <c r="M79" i="2" s="1"/>
  <c r="K79" i="2" a="1"/>
  <c r="K79" i="2" s="1"/>
  <c r="Q79" i="2" a="1"/>
  <c r="Q79" i="2" s="1"/>
  <c r="T79" i="2" a="1"/>
  <c r="T79" i="2" s="1"/>
  <c r="S79" i="2" a="1"/>
  <c r="S79" i="2" s="1"/>
  <c r="S19" i="2" a="1"/>
  <c r="S19" i="2" s="1"/>
  <c r="O19" i="2" a="1"/>
  <c r="O19" i="2" s="1"/>
  <c r="K19" i="2" a="1"/>
  <c r="K19" i="2" s="1"/>
  <c r="R19" i="2" a="1"/>
  <c r="R19" i="2" s="1"/>
  <c r="N19" i="2" a="1"/>
  <c r="N19" i="2" s="1"/>
  <c r="Q19" i="2" a="1"/>
  <c r="Q19" i="2" s="1"/>
  <c r="M19" i="2" a="1"/>
  <c r="M19" i="2" s="1"/>
  <c r="T19" i="2" a="1"/>
  <c r="T19" i="2" s="1"/>
  <c r="P19" i="2" a="1"/>
  <c r="P19" i="2" s="1"/>
  <c r="L19" i="2" a="1"/>
  <c r="L19" i="2" s="1"/>
  <c r="S83" i="2" a="1"/>
  <c r="S83" i="2" s="1"/>
  <c r="O83" i="2" a="1"/>
  <c r="O83" i="2" s="1"/>
  <c r="K83" i="2" a="1"/>
  <c r="K83" i="2" s="1"/>
  <c r="T83" i="2" a="1"/>
  <c r="T83" i="2" s="1"/>
  <c r="L83" i="2" a="1"/>
  <c r="L83" i="2" s="1"/>
  <c r="M83" i="2" a="1"/>
  <c r="M83" i="2" s="1"/>
  <c r="R83" i="2" a="1"/>
  <c r="R83" i="2" s="1"/>
  <c r="N83" i="2" a="1"/>
  <c r="N83" i="2" s="1"/>
  <c r="P83" i="2" a="1"/>
  <c r="P83" i="2" s="1"/>
  <c r="Q83" i="2" a="1"/>
  <c r="Q83" i="2" s="1"/>
  <c r="S15" i="2" a="1"/>
  <c r="S15" i="2" s="1"/>
  <c r="O15" i="2" a="1"/>
  <c r="O15" i="2" s="1"/>
  <c r="K15" i="2" a="1"/>
  <c r="K15" i="2" s="1"/>
  <c r="R15" i="2" a="1"/>
  <c r="R15" i="2" s="1"/>
  <c r="N15" i="2" a="1"/>
  <c r="N15" i="2" s="1"/>
  <c r="Q15" i="2" a="1"/>
  <c r="Q15" i="2" s="1"/>
  <c r="M15" i="2" a="1"/>
  <c r="M15" i="2" s="1"/>
  <c r="T15" i="2" a="1"/>
  <c r="T15" i="2" s="1"/>
  <c r="P15" i="2" a="1"/>
  <c r="P15" i="2" s="1"/>
  <c r="L15" i="2" a="1"/>
  <c r="L15" i="2" s="1"/>
  <c r="R58" i="2" a="1"/>
  <c r="R58" i="2" s="1"/>
  <c r="N58" i="2" a="1"/>
  <c r="N58" i="2" s="1"/>
  <c r="Q58" i="2" a="1"/>
  <c r="Q58" i="2" s="1"/>
  <c r="L58" i="2" a="1"/>
  <c r="L58" i="2" s="1"/>
  <c r="K58" i="2" a="1"/>
  <c r="K58" i="2" s="1"/>
  <c r="O58" i="2" a="1"/>
  <c r="O58" i="2" s="1"/>
  <c r="T58" i="2" a="1"/>
  <c r="T58" i="2" s="1"/>
  <c r="S58" i="2" a="1"/>
  <c r="S58" i="2" s="1"/>
  <c r="P58" i="2" a="1"/>
  <c r="P58" i="2" s="1"/>
  <c r="M58" i="2" a="1"/>
  <c r="M58" i="2" s="1"/>
  <c r="Q102" i="2" a="1"/>
  <c r="Q102" i="2" s="1"/>
  <c r="M102" i="2" a="1"/>
  <c r="M102" i="2" s="1"/>
  <c r="N102" i="2" a="1"/>
  <c r="N102" i="2" s="1"/>
  <c r="O102" i="2" a="1"/>
  <c r="O102" i="2" s="1"/>
  <c r="L102" i="2" a="1"/>
  <c r="L102" i="2" s="1"/>
  <c r="K102" i="2" a="1"/>
  <c r="K102" i="2" s="1"/>
  <c r="T102" i="2" a="1"/>
  <c r="T102" i="2" s="1"/>
  <c r="P102" i="2" a="1"/>
  <c r="P102" i="2" s="1"/>
  <c r="S102" i="2" a="1"/>
  <c r="S102" i="2" s="1"/>
  <c r="R102" i="2" a="1"/>
  <c r="R102" i="2" s="1"/>
  <c r="M50" i="2" a="1"/>
  <c r="M50" i="2" s="1"/>
  <c r="Q50" i="2" a="1"/>
  <c r="Q50" i="2" s="1"/>
  <c r="P50" i="2" a="1"/>
  <c r="P50" i="2" s="1"/>
  <c r="K50" i="2" a="1"/>
  <c r="K50" i="2" s="1"/>
  <c r="T50" i="2" a="1"/>
  <c r="T50" i="2" s="1"/>
  <c r="O50" i="2" a="1"/>
  <c r="O50" i="2" s="1"/>
  <c r="R50" i="2" a="1"/>
  <c r="R50" i="2" s="1"/>
  <c r="S50" i="2" a="1"/>
  <c r="S50" i="2" s="1"/>
  <c r="N50" i="2" a="1"/>
  <c r="N50" i="2" s="1"/>
  <c r="L50" i="2" a="1"/>
  <c r="L50" i="2" s="1"/>
  <c r="S97" i="2" a="1"/>
  <c r="S97" i="2" s="1"/>
  <c r="O97" i="2" a="1"/>
  <c r="O97" i="2" s="1"/>
  <c r="K97" i="2" a="1"/>
  <c r="K97" i="2" s="1"/>
  <c r="P97" i="2" a="1"/>
  <c r="P97" i="2" s="1"/>
  <c r="Q97" i="2" a="1"/>
  <c r="Q97" i="2" s="1"/>
  <c r="M97" i="2" a="1"/>
  <c r="M97" i="2" s="1"/>
  <c r="L97" i="2" a="1"/>
  <c r="L97" i="2" s="1"/>
  <c r="T97" i="2" a="1"/>
  <c r="T97" i="2" s="1"/>
  <c r="N97" i="2" a="1"/>
  <c r="N97" i="2" s="1"/>
  <c r="R97" i="2" a="1"/>
  <c r="R97" i="2" s="1"/>
  <c r="T45" i="2" a="1"/>
  <c r="T45" i="2" s="1"/>
  <c r="Q45" i="2" a="1"/>
  <c r="Q45" i="2" s="1"/>
  <c r="L45" i="2" a="1"/>
  <c r="L45" i="2" s="1"/>
  <c r="K45" i="2" a="1"/>
  <c r="K45" i="2" s="1"/>
  <c r="P45" i="2" a="1"/>
  <c r="P45" i="2" s="1"/>
  <c r="O45" i="2" a="1"/>
  <c r="O45" i="2" s="1"/>
  <c r="S45" i="2" a="1"/>
  <c r="S45" i="2" s="1"/>
  <c r="N45" i="2" a="1"/>
  <c r="N45" i="2" s="1"/>
  <c r="R45" i="2" a="1"/>
  <c r="R45" i="2" s="1"/>
  <c r="M45" i="2" a="1"/>
  <c r="M45" i="2" s="1"/>
  <c r="S101" i="2" a="1"/>
  <c r="S101" i="2" s="1"/>
  <c r="O101" i="2" a="1"/>
  <c r="O101" i="2" s="1"/>
  <c r="K101" i="2" a="1"/>
  <c r="K101" i="2" s="1"/>
  <c r="P101" i="2" a="1"/>
  <c r="P101" i="2" s="1"/>
  <c r="Q101" i="2" a="1"/>
  <c r="Q101" i="2" s="1"/>
  <c r="L101" i="2" a="1"/>
  <c r="L101" i="2" s="1"/>
  <c r="T101" i="2" a="1"/>
  <c r="T101" i="2" s="1"/>
  <c r="R101" i="2" a="1"/>
  <c r="R101" i="2" s="1"/>
  <c r="M101" i="2" a="1"/>
  <c r="M101" i="2" s="1"/>
  <c r="N101" i="2" a="1"/>
  <c r="N101" i="2" s="1"/>
  <c r="S25" i="2" a="1"/>
  <c r="S25" i="2" s="1"/>
  <c r="K25" i="2" a="1"/>
  <c r="K25" i="2" s="1"/>
  <c r="R25" i="2" a="1"/>
  <c r="R25" i="2" s="1"/>
  <c r="Q25" i="2" a="1"/>
  <c r="Q25" i="2" s="1"/>
  <c r="P25" i="2" a="1"/>
  <c r="P25" i="2" s="1"/>
  <c r="O25" i="2" a="1"/>
  <c r="O25" i="2" s="1"/>
  <c r="L25" i="2" a="1"/>
  <c r="L25" i="2" s="1"/>
  <c r="N25" i="2" a="1"/>
  <c r="N25" i="2" s="1"/>
  <c r="M25" i="2" a="1"/>
  <c r="M25" i="2" s="1"/>
  <c r="T25" i="2" a="1"/>
  <c r="T25" i="2" s="1"/>
  <c r="Q84" i="2" a="1"/>
  <c r="Q84" i="2" s="1"/>
  <c r="M84" i="2" a="1"/>
  <c r="M84" i="2" s="1"/>
  <c r="R84" i="2" a="1"/>
  <c r="R84" i="2" s="1"/>
  <c r="S84" i="2" a="1"/>
  <c r="S84" i="2" s="1"/>
  <c r="K84" i="2" a="1"/>
  <c r="K84" i="2" s="1"/>
  <c r="O84" i="2" a="1"/>
  <c r="O84" i="2" s="1"/>
  <c r="N84" i="2" a="1"/>
  <c r="N84" i="2" s="1"/>
  <c r="L84" i="2" a="1"/>
  <c r="L84" i="2" s="1"/>
  <c r="P84" i="2" a="1"/>
  <c r="P84" i="2" s="1"/>
  <c r="T84" i="2" a="1"/>
  <c r="T84" i="2" s="1"/>
  <c r="K44" i="2" a="1"/>
  <c r="K44" i="2" s="1"/>
  <c r="P44" i="2" a="1"/>
  <c r="P44" i="2" s="1"/>
  <c r="O44" i="2" a="1"/>
  <c r="O44" i="2" s="1"/>
  <c r="T44" i="2" a="1"/>
  <c r="T44" i="2" s="1"/>
  <c r="S44" i="2" a="1"/>
  <c r="S44" i="2" s="1"/>
  <c r="N44" i="2" a="1"/>
  <c r="N44" i="2" s="1"/>
  <c r="M44" i="2" a="1"/>
  <c r="M44" i="2" s="1"/>
  <c r="Q44" i="2" a="1"/>
  <c r="Q44" i="2" s="1"/>
  <c r="L44" i="2" a="1"/>
  <c r="L44" i="2" s="1"/>
  <c r="R44" i="2" a="1"/>
  <c r="R44" i="2" s="1"/>
  <c r="Q71" i="2" a="1"/>
  <c r="Q71" i="2" s="1"/>
  <c r="K71" i="2" a="1"/>
  <c r="K71" i="2" s="1"/>
  <c r="O71" i="2" a="1"/>
  <c r="O71" i="2" s="1"/>
  <c r="S71" i="2" a="1"/>
  <c r="S71" i="2" s="1"/>
  <c r="N71" i="2" a="1"/>
  <c r="N71" i="2" s="1"/>
  <c r="M71" i="2" a="1"/>
  <c r="M71" i="2" s="1"/>
  <c r="L71" i="2" a="1"/>
  <c r="L71" i="2" s="1"/>
  <c r="T71" i="2" a="1"/>
  <c r="T71" i="2" s="1"/>
  <c r="P71" i="2" a="1"/>
  <c r="P71" i="2" s="1"/>
  <c r="R71" i="2" a="1"/>
  <c r="R71" i="2" s="1"/>
  <c r="S11" i="2" a="1"/>
  <c r="S11" i="2" s="1"/>
  <c r="O11" i="2" a="1"/>
  <c r="O11" i="2" s="1"/>
  <c r="K11" i="2" a="1"/>
  <c r="K11" i="2" s="1"/>
  <c r="R11" i="2" a="1"/>
  <c r="R11" i="2" s="1"/>
  <c r="N11" i="2" a="1"/>
  <c r="N11" i="2" s="1"/>
  <c r="Q11" i="2" a="1"/>
  <c r="Q11" i="2" s="1"/>
  <c r="M11" i="2" a="1"/>
  <c r="M11" i="2" s="1"/>
  <c r="T11" i="2" a="1"/>
  <c r="T11" i="2" s="1"/>
  <c r="P11" i="2" a="1"/>
  <c r="P11" i="2" s="1"/>
  <c r="L11" i="2" a="1"/>
  <c r="L11" i="2" s="1"/>
  <c r="P75" i="2" a="1"/>
  <c r="P75" i="2" s="1"/>
  <c r="T75" i="2" a="1"/>
  <c r="T75" i="2" s="1"/>
  <c r="M75" i="2" a="1"/>
  <c r="M75" i="2" s="1"/>
  <c r="Q75" i="2" a="1"/>
  <c r="Q75" i="2" s="1"/>
  <c r="K75" i="2" a="1"/>
  <c r="K75" i="2" s="1"/>
  <c r="O75" i="2" a="1"/>
  <c r="O75" i="2" s="1"/>
  <c r="N75" i="2" a="1"/>
  <c r="N75" i="2" s="1"/>
  <c r="L75" i="2" a="1"/>
  <c r="L75" i="2" s="1"/>
  <c r="S75" i="2" a="1"/>
  <c r="S75" i="2" s="1"/>
  <c r="R75" i="2" a="1"/>
  <c r="R75" i="2" s="1"/>
  <c r="Q46" i="2" a="1"/>
  <c r="Q46" i="2" s="1"/>
  <c r="T46" i="2" a="1"/>
  <c r="T46" i="2" s="1"/>
  <c r="P46" i="2" a="1"/>
  <c r="P46" i="2" s="1"/>
  <c r="L46" i="2" a="1"/>
  <c r="L46" i="2" s="1"/>
  <c r="R46" i="2" a="1"/>
  <c r="R46" i="2" s="1"/>
  <c r="N46" i="2" a="1"/>
  <c r="N46" i="2" s="1"/>
  <c r="M46" i="2" a="1"/>
  <c r="M46" i="2" s="1"/>
  <c r="K46" i="2" a="1"/>
  <c r="K46" i="2" s="1"/>
  <c r="S46" i="2" a="1"/>
  <c r="S46" i="2" s="1"/>
  <c r="O46" i="2" a="1"/>
  <c r="O46" i="2" s="1"/>
  <c r="Q94" i="2" a="1"/>
  <c r="Q94" i="2" s="1"/>
  <c r="M94" i="2" a="1"/>
  <c r="M94" i="2" s="1"/>
  <c r="N94" i="2" a="1"/>
  <c r="N94" i="2" s="1"/>
  <c r="O94" i="2" a="1"/>
  <c r="O94" i="2" s="1"/>
  <c r="R94" i="2" a="1"/>
  <c r="R94" i="2" s="1"/>
  <c r="P94" i="2" a="1"/>
  <c r="P94" i="2" s="1"/>
  <c r="L94" i="2" a="1"/>
  <c r="L94" i="2" s="1"/>
  <c r="K94" i="2" a="1"/>
  <c r="K94" i="2" s="1"/>
  <c r="S94" i="2" a="1"/>
  <c r="S94" i="2" s="1"/>
  <c r="T94" i="2" a="1"/>
  <c r="T94" i="2" s="1"/>
  <c r="Q42" i="2" a="1"/>
  <c r="Q42" i="2" s="1"/>
  <c r="M42" i="2" a="1"/>
  <c r="M42" i="2" s="1"/>
  <c r="P42" i="2" a="1"/>
  <c r="P42" i="2" s="1"/>
  <c r="L42" i="2" a="1"/>
  <c r="L42" i="2" s="1"/>
  <c r="T42" i="2" a="1"/>
  <c r="T42" i="2" s="1"/>
  <c r="O42" i="2" a="1"/>
  <c r="O42" i="2" s="1"/>
  <c r="K42" i="2" a="1"/>
  <c r="K42" i="2" s="1"/>
  <c r="S42" i="2" a="1"/>
  <c r="S42" i="2" s="1"/>
  <c r="R42" i="2" a="1"/>
  <c r="R42" i="2" s="1"/>
  <c r="N42" i="2" a="1"/>
  <c r="N42" i="2" s="1"/>
  <c r="S93" i="2" a="1"/>
  <c r="S93" i="2" s="1"/>
  <c r="O93" i="2" a="1"/>
  <c r="O93" i="2" s="1"/>
  <c r="K93" i="2" a="1"/>
  <c r="K93" i="2" s="1"/>
  <c r="P93" i="2" a="1"/>
  <c r="P93" i="2" s="1"/>
  <c r="Q93" i="2" a="1"/>
  <c r="Q93" i="2" s="1"/>
  <c r="N93" i="2" a="1"/>
  <c r="N93" i="2" s="1"/>
  <c r="M93" i="2" a="1"/>
  <c r="M93" i="2" s="1"/>
  <c r="L93" i="2" a="1"/>
  <c r="L93" i="2" s="1"/>
  <c r="R93" i="2" a="1"/>
  <c r="R93" i="2" s="1"/>
  <c r="T93" i="2" a="1"/>
  <c r="T93" i="2" s="1"/>
  <c r="S37" i="2" a="1"/>
  <c r="S37" i="2" s="1"/>
  <c r="O37" i="2" a="1"/>
  <c r="O37" i="2" s="1"/>
  <c r="K37" i="2" a="1"/>
  <c r="K37" i="2" s="1"/>
  <c r="R37" i="2" a="1"/>
  <c r="R37" i="2" s="1"/>
  <c r="N37" i="2" a="1"/>
  <c r="N37" i="2" s="1"/>
  <c r="Q37" i="2" a="1"/>
  <c r="Q37" i="2" s="1"/>
  <c r="M37" i="2" a="1"/>
  <c r="M37" i="2" s="1"/>
  <c r="T37" i="2" a="1"/>
  <c r="T37" i="2" s="1"/>
  <c r="P37" i="2" a="1"/>
  <c r="P37" i="2" s="1"/>
  <c r="L37" i="2" a="1"/>
  <c r="L37" i="2" s="1"/>
  <c r="S85" i="2" a="1"/>
  <c r="S85" i="2" s="1"/>
  <c r="O85" i="2" a="1"/>
  <c r="O85" i="2" s="1"/>
  <c r="K85" i="2" a="1"/>
  <c r="K85" i="2" s="1"/>
  <c r="P85" i="2" a="1"/>
  <c r="P85" i="2" s="1"/>
  <c r="Q85" i="2" a="1"/>
  <c r="Q85" i="2" s="1"/>
  <c r="R85" i="2" a="1"/>
  <c r="R85" i="2" s="1"/>
  <c r="N85" i="2" a="1"/>
  <c r="N85" i="2" s="1"/>
  <c r="M85" i="2" a="1"/>
  <c r="M85" i="2" s="1"/>
  <c r="L85" i="2" a="1"/>
  <c r="L85" i="2" s="1"/>
  <c r="T85" i="2" a="1"/>
  <c r="T85" i="2" s="1"/>
  <c r="S17" i="2" a="1"/>
  <c r="S17" i="2" s="1"/>
  <c r="O17" i="2" a="1"/>
  <c r="O17" i="2" s="1"/>
  <c r="K17" i="2" a="1"/>
  <c r="K17" i="2" s="1"/>
  <c r="R17" i="2" a="1"/>
  <c r="R17" i="2" s="1"/>
  <c r="N17" i="2" a="1"/>
  <c r="N17" i="2" s="1"/>
  <c r="Q17" i="2" a="1"/>
  <c r="Q17" i="2" s="1"/>
  <c r="M17" i="2" a="1"/>
  <c r="M17" i="2" s="1"/>
  <c r="T17" i="2" a="1"/>
  <c r="T17" i="2" s="1"/>
  <c r="P17" i="2" a="1"/>
  <c r="P17" i="2" s="1"/>
  <c r="L17" i="2" a="1"/>
  <c r="L17" i="2" s="1"/>
  <c r="Q80" i="2" a="1"/>
  <c r="Q80" i="2" s="1"/>
  <c r="R80" i="2" a="1"/>
  <c r="R80" i="2" s="1"/>
  <c r="S80" i="2" a="1"/>
  <c r="S80" i="2" s="1"/>
  <c r="L80" i="2" a="1"/>
  <c r="L80" i="2" s="1"/>
  <c r="P80" i="2" a="1"/>
  <c r="P80" i="2" s="1"/>
  <c r="O80" i="2" a="1"/>
  <c r="O80" i="2" s="1"/>
  <c r="N80" i="2" a="1"/>
  <c r="N80" i="2" s="1"/>
  <c r="M80" i="2" a="1"/>
  <c r="M80" i="2" s="1"/>
  <c r="K80" i="2" a="1"/>
  <c r="K80" i="2" s="1"/>
  <c r="T80" i="2" a="1"/>
  <c r="T80" i="2" s="1"/>
  <c r="Q20" i="2" a="1"/>
  <c r="Q20" i="2" s="1"/>
  <c r="M20" i="2" a="1"/>
  <c r="M20" i="2" s="1"/>
  <c r="T20" i="2" a="1"/>
  <c r="T20" i="2" s="1"/>
  <c r="P20" i="2" a="1"/>
  <c r="P20" i="2" s="1"/>
  <c r="L20" i="2" a="1"/>
  <c r="L20" i="2" s="1"/>
  <c r="S20" i="2" a="1"/>
  <c r="S20" i="2" s="1"/>
  <c r="O20" i="2" a="1"/>
  <c r="O20" i="2" s="1"/>
  <c r="K20" i="2" a="1"/>
  <c r="K20" i="2" s="1"/>
  <c r="R20" i="2" a="1"/>
  <c r="R20" i="2" s="1"/>
  <c r="N20" i="2" a="1"/>
  <c r="N20" i="2" s="1"/>
  <c r="T63" i="2" a="1"/>
  <c r="T63" i="2" s="1"/>
  <c r="P63" i="2" a="1"/>
  <c r="P63" i="2" s="1"/>
  <c r="L63" i="2" a="1"/>
  <c r="L63" i="2" s="1"/>
  <c r="O63" i="2" a="1"/>
  <c r="O63" i="2" s="1"/>
  <c r="M63" i="2" a="1"/>
  <c r="M63" i="2" s="1"/>
  <c r="R63" i="2" a="1"/>
  <c r="R63" i="2" s="1"/>
  <c r="N63" i="2" a="1"/>
  <c r="N63" i="2" s="1"/>
  <c r="K63" i="2" a="1"/>
  <c r="K63" i="2" s="1"/>
  <c r="S63" i="2" a="1"/>
  <c r="S63" i="2" s="1"/>
  <c r="Q63" i="2" a="1"/>
  <c r="Q63" i="2" s="1"/>
  <c r="T67" i="2" a="1"/>
  <c r="T67" i="2" s="1"/>
  <c r="P67" i="2" a="1"/>
  <c r="P67" i="2" s="1"/>
  <c r="L67" i="2" a="1"/>
  <c r="L67" i="2" s="1"/>
  <c r="R67" i="2" a="1"/>
  <c r="R67" i="2" s="1"/>
  <c r="Q67" i="2" a="1"/>
  <c r="Q67" i="2" s="1"/>
  <c r="O67" i="2" a="1"/>
  <c r="O67" i="2" s="1"/>
  <c r="M67" i="2" a="1"/>
  <c r="M67" i="2" s="1"/>
  <c r="N67" i="2" a="1"/>
  <c r="N67" i="2" s="1"/>
  <c r="K67" i="2" a="1"/>
  <c r="K67" i="2" s="1"/>
  <c r="S67" i="2" a="1"/>
  <c r="S67" i="2" s="1"/>
  <c r="Q36" i="2" a="1"/>
  <c r="Q36" i="2" s="1"/>
  <c r="M36" i="2" a="1"/>
  <c r="M36" i="2" s="1"/>
  <c r="T36" i="2" a="1"/>
  <c r="T36" i="2" s="1"/>
  <c r="P36" i="2" a="1"/>
  <c r="P36" i="2" s="1"/>
  <c r="L36" i="2" a="1"/>
  <c r="L36" i="2" s="1"/>
  <c r="S36" i="2" a="1"/>
  <c r="S36" i="2" s="1"/>
  <c r="O36" i="2" a="1"/>
  <c r="O36" i="2" s="1"/>
  <c r="K36" i="2" a="1"/>
  <c r="K36" i="2" s="1"/>
  <c r="R36" i="2" a="1"/>
  <c r="R36" i="2" s="1"/>
  <c r="N36" i="2" a="1"/>
  <c r="N36" i="2" s="1"/>
  <c r="Q38" i="2" a="1"/>
  <c r="Q38" i="2" s="1"/>
  <c r="M38" i="2" a="1"/>
  <c r="M38" i="2" s="1"/>
  <c r="T38" i="2" a="1"/>
  <c r="T38" i="2" s="1"/>
  <c r="P38" i="2" a="1"/>
  <c r="P38" i="2" s="1"/>
  <c r="L38" i="2" a="1"/>
  <c r="L38" i="2" s="1"/>
  <c r="S38" i="2" a="1"/>
  <c r="S38" i="2" s="1"/>
  <c r="O38" i="2" a="1"/>
  <c r="O38" i="2" s="1"/>
  <c r="K38" i="2" a="1"/>
  <c r="K38" i="2" s="1"/>
  <c r="R38" i="2" a="1"/>
  <c r="R38" i="2" s="1"/>
  <c r="N38" i="2" a="1"/>
  <c r="N38" i="2" s="1"/>
  <c r="Q90" i="2" a="1"/>
  <c r="Q90" i="2" s="1"/>
  <c r="M90" i="2" a="1"/>
  <c r="M90" i="2" s="1"/>
  <c r="N90" i="2" a="1"/>
  <c r="N90" i="2" s="1"/>
  <c r="O90" i="2" a="1"/>
  <c r="O90" i="2" s="1"/>
  <c r="S90" i="2" a="1"/>
  <c r="S90" i="2" s="1"/>
  <c r="R90" i="2" a="1"/>
  <c r="R90" i="2" s="1"/>
  <c r="P90" i="2" a="1"/>
  <c r="P90" i="2" s="1"/>
  <c r="L90" i="2" a="1"/>
  <c r="L90" i="2" s="1"/>
  <c r="T90" i="2" a="1"/>
  <c r="T90" i="2" s="1"/>
  <c r="K90" i="2" a="1"/>
  <c r="K90" i="2" s="1"/>
  <c r="Q34" i="2" a="1"/>
  <c r="Q34" i="2" s="1"/>
  <c r="M34" i="2" a="1"/>
  <c r="M34" i="2" s="1"/>
  <c r="T34" i="2" a="1"/>
  <c r="T34" i="2" s="1"/>
  <c r="P34" i="2" a="1"/>
  <c r="P34" i="2" s="1"/>
  <c r="L34" i="2" a="1"/>
  <c r="L34" i="2" s="1"/>
  <c r="S34" i="2" a="1"/>
  <c r="S34" i="2" s="1"/>
  <c r="O34" i="2" a="1"/>
  <c r="O34" i="2" s="1"/>
  <c r="K34" i="2" a="1"/>
  <c r="K34" i="2" s="1"/>
  <c r="R34" i="2" a="1"/>
  <c r="R34" i="2" s="1"/>
  <c r="N34" i="2" a="1"/>
  <c r="N34" i="2" s="1"/>
  <c r="S89" i="2" a="1"/>
  <c r="S89" i="2" s="1"/>
  <c r="O89" i="2" a="1"/>
  <c r="O89" i="2" s="1"/>
  <c r="K89" i="2" a="1"/>
  <c r="K89" i="2" s="1"/>
  <c r="P89" i="2" a="1"/>
  <c r="P89" i="2" s="1"/>
  <c r="Q89" i="2" a="1"/>
  <c r="Q89" i="2" s="1"/>
  <c r="N89" i="2" a="1"/>
  <c r="N89" i="2" s="1"/>
  <c r="M89" i="2" a="1"/>
  <c r="M89" i="2" s="1"/>
  <c r="L89" i="2" a="1"/>
  <c r="L89" i="2" s="1"/>
  <c r="R89" i="2" a="1"/>
  <c r="R89" i="2" s="1"/>
  <c r="T89" i="2" a="1"/>
  <c r="T89" i="2" s="1"/>
  <c r="S29" i="2" a="1"/>
  <c r="S29" i="2" s="1"/>
  <c r="O29" i="2" a="1"/>
  <c r="O29" i="2" s="1"/>
  <c r="K29" i="2" a="1"/>
  <c r="K29" i="2" s="1"/>
  <c r="R29" i="2" a="1"/>
  <c r="R29" i="2" s="1"/>
  <c r="N29" i="2" a="1"/>
  <c r="N29" i="2" s="1"/>
  <c r="Q29" i="2" a="1"/>
  <c r="Q29" i="2" s="1"/>
  <c r="M29" i="2" a="1"/>
  <c r="M29" i="2" s="1"/>
  <c r="L29" i="2" a="1"/>
  <c r="L29" i="2" s="1"/>
  <c r="P29" i="2" a="1"/>
  <c r="P29" i="2" s="1"/>
  <c r="T29" i="2" a="1"/>
  <c r="T29" i="2" s="1"/>
  <c r="O77" i="2" a="1"/>
  <c r="O77" i="2" s="1"/>
  <c r="S77" i="2" a="1"/>
  <c r="S77" i="2" s="1"/>
  <c r="P77" i="2" a="1"/>
  <c r="P77" i="2" s="1"/>
  <c r="N77" i="2" a="1"/>
  <c r="N77" i="2" s="1"/>
  <c r="M77" i="2" a="1"/>
  <c r="M77" i="2" s="1"/>
  <c r="L77" i="2" a="1"/>
  <c r="L77" i="2" s="1"/>
  <c r="K77" i="2" a="1"/>
  <c r="K77" i="2" s="1"/>
  <c r="Q77" i="2" a="1"/>
  <c r="Q77" i="2" s="1"/>
  <c r="T77" i="2" a="1"/>
  <c r="T77" i="2" s="1"/>
  <c r="R77" i="2" a="1"/>
  <c r="R77" i="2" s="1"/>
  <c r="S48" i="2" a="1"/>
  <c r="S48" i="2" s="1"/>
  <c r="N48" i="2" a="1"/>
  <c r="N48" i="2" s="1"/>
  <c r="M48" i="2" a="1"/>
  <c r="M48" i="2" s="1"/>
  <c r="Q48" i="2" a="1"/>
  <c r="Q48" i="2" s="1"/>
  <c r="T48" i="2" a="1"/>
  <c r="T48" i="2" s="1"/>
  <c r="O48" i="2" a="1"/>
  <c r="O48" i="2" s="1"/>
  <c r="P48" i="2" a="1"/>
  <c r="P48" i="2" s="1"/>
  <c r="L48" i="2" a="1"/>
  <c r="L48" i="2" s="1"/>
  <c r="K48" i="2" a="1"/>
  <c r="K48" i="2" s="1"/>
  <c r="R48" i="2" a="1"/>
  <c r="R48" i="2" s="1"/>
  <c r="L76" i="2" a="1"/>
  <c r="L76" i="2" s="1"/>
  <c r="P76" i="2" a="1"/>
  <c r="P76" i="2" s="1"/>
  <c r="T76" i="2" a="1"/>
  <c r="T76" i="2" s="1"/>
  <c r="N76" i="2" a="1"/>
  <c r="N76" i="2" s="1"/>
  <c r="O76" i="2" a="1"/>
  <c r="O76" i="2" s="1"/>
  <c r="M76" i="2" a="1"/>
  <c r="M76" i="2" s="1"/>
  <c r="K76" i="2" a="1"/>
  <c r="K76" i="2" s="1"/>
  <c r="Q76" i="2" a="1"/>
  <c r="Q76" i="2" s="1"/>
  <c r="S76" i="2" a="1"/>
  <c r="S76" i="2" s="1"/>
  <c r="R76" i="2" a="1"/>
  <c r="R76" i="2" s="1"/>
  <c r="T55" i="2" a="1"/>
  <c r="T55" i="2" s="1"/>
  <c r="P55" i="2" a="1"/>
  <c r="P55" i="2" s="1"/>
  <c r="L55" i="2" a="1"/>
  <c r="L55" i="2" s="1"/>
  <c r="O55" i="2" a="1"/>
  <c r="O55" i="2" s="1"/>
  <c r="M55" i="2" a="1"/>
  <c r="M55" i="2" s="1"/>
  <c r="R55" i="2" a="1"/>
  <c r="R55" i="2" s="1"/>
  <c r="S55" i="2" a="1"/>
  <c r="S55" i="2" s="1"/>
  <c r="Q55" i="2" a="1"/>
  <c r="Q55" i="2" s="1"/>
  <c r="N55" i="2" a="1"/>
  <c r="N55" i="2" s="1"/>
  <c r="K55" i="2" a="1"/>
  <c r="K55" i="2" s="1"/>
  <c r="Q32" i="2" a="1"/>
  <c r="Q32" i="2" s="1"/>
  <c r="M32" i="2" a="1"/>
  <c r="M32" i="2" s="1"/>
  <c r="T32" i="2" a="1"/>
  <c r="T32" i="2" s="1"/>
  <c r="P32" i="2" a="1"/>
  <c r="P32" i="2" s="1"/>
  <c r="L32" i="2" a="1"/>
  <c r="L32" i="2" s="1"/>
  <c r="S32" i="2" a="1"/>
  <c r="S32" i="2" s="1"/>
  <c r="O32" i="2" a="1"/>
  <c r="O32" i="2" s="1"/>
  <c r="K32" i="2" a="1"/>
  <c r="K32" i="2" s="1"/>
  <c r="N32" i="2" a="1"/>
  <c r="N32" i="2" s="1"/>
  <c r="R32" i="2" a="1"/>
  <c r="R32" i="2" s="1"/>
  <c r="T59" i="2" a="1"/>
  <c r="T59" i="2" s="1"/>
  <c r="P59" i="2" a="1"/>
  <c r="P59" i="2" s="1"/>
  <c r="L59" i="2" a="1"/>
  <c r="L59" i="2" s="1"/>
  <c r="R59" i="2" a="1"/>
  <c r="R59" i="2" s="1"/>
  <c r="Q59" i="2" a="1"/>
  <c r="Q59" i="2" s="1"/>
  <c r="O59" i="2" a="1"/>
  <c r="O59" i="2" s="1"/>
  <c r="M59" i="2" a="1"/>
  <c r="M59" i="2" s="1"/>
  <c r="K59" i="2" a="1"/>
  <c r="K59" i="2" s="1"/>
  <c r="S59" i="2" a="1"/>
  <c r="S59" i="2" s="1"/>
  <c r="N59" i="2" a="1"/>
  <c r="N59" i="2" s="1"/>
  <c r="Q30" i="2" a="1"/>
  <c r="Q30" i="2" s="1"/>
  <c r="M30" i="2" a="1"/>
  <c r="M30" i="2" s="1"/>
  <c r="T30" i="2" a="1"/>
  <c r="T30" i="2" s="1"/>
  <c r="P30" i="2" a="1"/>
  <c r="P30" i="2" s="1"/>
  <c r="L30" i="2" a="1"/>
  <c r="L30" i="2" s="1"/>
  <c r="S30" i="2" a="1"/>
  <c r="S30" i="2" s="1"/>
  <c r="O30" i="2" a="1"/>
  <c r="O30" i="2" s="1"/>
  <c r="K30" i="2" a="1"/>
  <c r="K30" i="2" s="1"/>
  <c r="R30" i="2" a="1"/>
  <c r="R30" i="2" s="1"/>
  <c r="N30" i="2" a="1"/>
  <c r="N30" i="2" s="1"/>
  <c r="Q82" i="2" a="1"/>
  <c r="Q82" i="2" s="1"/>
  <c r="M82" i="2" a="1"/>
  <c r="M82" i="2" s="1"/>
  <c r="N82" i="2" a="1"/>
  <c r="N82" i="2" s="1"/>
  <c r="O82" i="2" a="1"/>
  <c r="O82" i="2" s="1"/>
  <c r="T82" i="2" a="1"/>
  <c r="T82" i="2" s="1"/>
  <c r="S82" i="2" a="1"/>
  <c r="S82" i="2" s="1"/>
  <c r="R82" i="2" a="1"/>
  <c r="R82" i="2" s="1"/>
  <c r="P82" i="2" a="1"/>
  <c r="P82" i="2" s="1"/>
  <c r="K82" i="2" a="1"/>
  <c r="K82" i="2" s="1"/>
  <c r="L82" i="2" a="1"/>
  <c r="L82" i="2" s="1"/>
  <c r="Q26" i="2" a="1"/>
  <c r="Q26" i="2" s="1"/>
  <c r="M26" i="2" a="1"/>
  <c r="M26" i="2" s="1"/>
  <c r="T26" i="2" a="1"/>
  <c r="T26" i="2" s="1"/>
  <c r="P26" i="2" a="1"/>
  <c r="P26" i="2" s="1"/>
  <c r="S26" i="2" a="1"/>
  <c r="S26" i="2" s="1"/>
  <c r="R26" i="2" a="1"/>
  <c r="R26" i="2" s="1"/>
  <c r="O26" i="2" a="1"/>
  <c r="O26" i="2" s="1"/>
  <c r="N26" i="2" a="1"/>
  <c r="N26" i="2" s="1"/>
  <c r="L26" i="2" a="1"/>
  <c r="L26" i="2" s="1"/>
  <c r="K26" i="2" a="1"/>
  <c r="K26" i="2" s="1"/>
  <c r="S81" i="2" a="1"/>
  <c r="S81" i="2" s="1"/>
  <c r="O81" i="2" a="1"/>
  <c r="O81" i="2" s="1"/>
  <c r="K81" i="2" a="1"/>
  <c r="K81" i="2" s="1"/>
  <c r="P81" i="2" a="1"/>
  <c r="P81" i="2" s="1"/>
  <c r="Q81" i="2" a="1"/>
  <c r="Q81" i="2" s="1"/>
  <c r="T81" i="2" a="1"/>
  <c r="T81" i="2" s="1"/>
  <c r="R81" i="2" a="1"/>
  <c r="R81" i="2" s="1"/>
  <c r="N81" i="2" a="1"/>
  <c r="N81" i="2" s="1"/>
  <c r="M81" i="2" a="1"/>
  <c r="M81" i="2" s="1"/>
  <c r="L81" i="2" a="1"/>
  <c r="L81" i="2" s="1"/>
  <c r="S21" i="2" a="1"/>
  <c r="S21" i="2" s="1"/>
  <c r="K21" i="2" a="1"/>
  <c r="K21" i="2" s="1"/>
  <c r="R21" i="2" a="1"/>
  <c r="R21" i="2" s="1"/>
  <c r="Q21" i="2" a="1"/>
  <c r="Q21" i="2" s="1"/>
  <c r="P21" i="2" a="1"/>
  <c r="P21" i="2" s="1"/>
  <c r="O21" i="2" a="1"/>
  <c r="O21" i="2" s="1"/>
  <c r="N21" i="2" a="1"/>
  <c r="N21" i="2" s="1"/>
  <c r="T21" i="2" a="1"/>
  <c r="T21" i="2" s="1"/>
  <c r="M21" i="2" a="1"/>
  <c r="M21" i="2" s="1"/>
  <c r="L21" i="2" a="1"/>
  <c r="L21" i="2" s="1"/>
  <c r="S69" i="2" a="1"/>
  <c r="S69" i="2" s="1"/>
  <c r="O69" i="2" a="1"/>
  <c r="O69" i="2" s="1"/>
  <c r="K69" i="2" a="1"/>
  <c r="K69" i="2" s="1"/>
  <c r="T69" i="2" a="1"/>
  <c r="T69" i="2" s="1"/>
  <c r="P69" i="2" a="1"/>
  <c r="P69" i="2" s="1"/>
  <c r="L69" i="2" a="1"/>
  <c r="L69" i="2" s="1"/>
  <c r="N69" i="2" a="1"/>
  <c r="N69" i="2" s="1"/>
  <c r="M69" i="2" a="1"/>
  <c r="M69" i="2" s="1"/>
  <c r="Q69" i="2" a="1"/>
  <c r="Q69" i="2" s="1"/>
  <c r="R69" i="2" a="1"/>
  <c r="R69" i="2" s="1"/>
  <c r="Q12" i="2" a="1"/>
  <c r="Q12" i="2" s="1"/>
  <c r="M12" i="2" a="1"/>
  <c r="M12" i="2" s="1"/>
  <c r="T12" i="2" a="1"/>
  <c r="T12" i="2" s="1"/>
  <c r="P12" i="2" a="1"/>
  <c r="P12" i="2" s="1"/>
  <c r="L12" i="2" a="1"/>
  <c r="L12" i="2" s="1"/>
  <c r="S12" i="2" a="1"/>
  <c r="S12" i="2" s="1"/>
  <c r="O12" i="2" a="1"/>
  <c r="O12" i="2" s="1"/>
  <c r="K12" i="2" a="1"/>
  <c r="K12" i="2" s="1"/>
  <c r="R12" i="2" a="1"/>
  <c r="R12" i="2" s="1"/>
  <c r="N12" i="2" a="1"/>
  <c r="N12" i="2" s="1"/>
  <c r="T72" i="2" a="1"/>
  <c r="T72" i="2" s="1"/>
  <c r="N72" i="2" a="1"/>
  <c r="N72" i="2" s="1"/>
  <c r="R72" i="2" a="1"/>
  <c r="R72" i="2" s="1"/>
  <c r="K72" i="2" a="1"/>
  <c r="K72" i="2" s="1"/>
  <c r="O72" i="2" a="1"/>
  <c r="O72" i="2" s="1"/>
  <c r="M72" i="2" a="1"/>
  <c r="M72" i="2" s="1"/>
  <c r="L72" i="2" a="1"/>
  <c r="L72" i="2" s="1"/>
  <c r="S72" i="2" a="1"/>
  <c r="S72" i="2" s="1"/>
  <c r="P72" i="2" a="1"/>
  <c r="P72" i="2" s="1"/>
  <c r="Q72" i="2" a="1"/>
  <c r="Q72" i="2" s="1"/>
  <c r="T47" i="2" a="1"/>
  <c r="T47" i="2" s="1"/>
  <c r="O47" i="2" a="1"/>
  <c r="O47" i="2" s="1"/>
  <c r="K47" i="2" a="1"/>
  <c r="K47" i="2" s="1"/>
  <c r="N47" i="2" a="1"/>
  <c r="N47" i="2" s="1"/>
  <c r="R47" i="2" a="1"/>
  <c r="R47" i="2" s="1"/>
  <c r="P47" i="2" a="1"/>
  <c r="P47" i="2" s="1"/>
  <c r="L47" i="2" a="1"/>
  <c r="L47" i="2" s="1"/>
  <c r="M47" i="2" a="1"/>
  <c r="M47" i="2" s="1"/>
  <c r="S47" i="2" a="1"/>
  <c r="S47" i="2" s="1"/>
  <c r="Q47" i="2" a="1"/>
  <c r="Q47" i="2" s="1"/>
  <c r="L51" i="2" a="1"/>
  <c r="L51" i="2" s="1"/>
  <c r="P51" i="2" a="1"/>
  <c r="P51" i="2" s="1"/>
  <c r="O51" i="2" a="1"/>
  <c r="O51" i="2" s="1"/>
  <c r="S51" i="2" a="1"/>
  <c r="S51" i="2" s="1"/>
  <c r="Q51" i="2" a="1"/>
  <c r="Q51" i="2" s="1"/>
  <c r="K51" i="2" a="1"/>
  <c r="K51" i="2" s="1"/>
  <c r="T51" i="2" a="1"/>
  <c r="T51" i="2" s="1"/>
  <c r="R51" i="2" a="1"/>
  <c r="R51" i="2" s="1"/>
  <c r="M51" i="2" a="1"/>
  <c r="M51" i="2" s="1"/>
  <c r="N51" i="2" a="1"/>
  <c r="N51" i="2" s="1"/>
  <c r="Q98" i="2" a="1"/>
  <c r="Q98" i="2" s="1"/>
  <c r="M98" i="2" a="1"/>
  <c r="M98" i="2" s="1"/>
  <c r="N98" i="2" a="1"/>
  <c r="N98" i="2" s="1"/>
  <c r="O98" i="2" a="1"/>
  <c r="O98" i="2" s="1"/>
  <c r="P98" i="2" a="1"/>
  <c r="P98" i="2" s="1"/>
  <c r="L98" i="2" a="1"/>
  <c r="L98" i="2" s="1"/>
  <c r="K98" i="2" a="1"/>
  <c r="K98" i="2" s="1"/>
  <c r="R98" i="2" a="1"/>
  <c r="R98" i="2" s="1"/>
  <c r="S98" i="2" a="1"/>
  <c r="S98" i="2" s="1"/>
  <c r="T98" i="2" a="1"/>
  <c r="T98" i="2" s="1"/>
  <c r="Q22" i="2" a="1"/>
  <c r="Q22" i="2" s="1"/>
  <c r="P22" i="2" a="1"/>
  <c r="P22" i="2" s="1"/>
  <c r="O22" i="2" a="1"/>
  <c r="O22" i="2" s="1"/>
  <c r="N22" i="2" a="1"/>
  <c r="N22" i="2" s="1"/>
  <c r="M22" i="2" a="1"/>
  <c r="M22" i="2" s="1"/>
  <c r="R22" i="2" a="1"/>
  <c r="R22" i="2" s="1"/>
  <c r="T22" i="2" a="1"/>
  <c r="T22" i="2" s="1"/>
  <c r="L22" i="2" a="1"/>
  <c r="L22" i="2" s="1"/>
  <c r="S22" i="2" a="1"/>
  <c r="S22" i="2" s="1"/>
  <c r="K22" i="2" a="1"/>
  <c r="K22" i="2" s="1"/>
  <c r="R78" i="2" a="1"/>
  <c r="R78" i="2" s="1"/>
  <c r="K78" i="2" a="1"/>
  <c r="K78" i="2" s="1"/>
  <c r="O78" i="2" a="1"/>
  <c r="O78" i="2" s="1"/>
  <c r="S78" i="2" a="1"/>
  <c r="S78" i="2" s="1"/>
  <c r="M78" i="2" a="1"/>
  <c r="M78" i="2" s="1"/>
  <c r="P78" i="2" a="1"/>
  <c r="P78" i="2" s="1"/>
  <c r="N78" i="2" a="1"/>
  <c r="N78" i="2" s="1"/>
  <c r="L78" i="2" a="1"/>
  <c r="L78" i="2" s="1"/>
  <c r="Q78" i="2" a="1"/>
  <c r="Q78" i="2" s="1"/>
  <c r="T78" i="2" a="1"/>
  <c r="T78" i="2" s="1"/>
  <c r="Q18" i="2" a="1"/>
  <c r="Q18" i="2" s="1"/>
  <c r="M18" i="2" a="1"/>
  <c r="M18" i="2" s="1"/>
  <c r="T18" i="2" a="1"/>
  <c r="T18" i="2" s="1"/>
  <c r="P18" i="2" a="1"/>
  <c r="P18" i="2" s="1"/>
  <c r="L18" i="2" a="1"/>
  <c r="L18" i="2" s="1"/>
  <c r="S18" i="2" a="1"/>
  <c r="S18" i="2" s="1"/>
  <c r="O18" i="2" a="1"/>
  <c r="O18" i="2" s="1"/>
  <c r="K18" i="2" a="1"/>
  <c r="K18" i="2" s="1"/>
  <c r="R18" i="2" a="1"/>
  <c r="R18" i="2" s="1"/>
  <c r="N18" i="2" a="1"/>
  <c r="N18" i="2" s="1"/>
  <c r="N73" i="2" a="1"/>
  <c r="N73" i="2" s="1"/>
  <c r="R73" i="2" a="1"/>
  <c r="R73" i="2" s="1"/>
  <c r="L73" i="2" a="1"/>
  <c r="L73" i="2" s="1"/>
  <c r="O73" i="2" a="1"/>
  <c r="O73" i="2" s="1"/>
  <c r="M73" i="2" a="1"/>
  <c r="M73" i="2" s="1"/>
  <c r="K73" i="2" a="1"/>
  <c r="K73" i="2" s="1"/>
  <c r="T73" i="2" a="1"/>
  <c r="T73" i="2" s="1"/>
  <c r="P73" i="2" a="1"/>
  <c r="P73" i="2" s="1"/>
  <c r="S73" i="2" a="1"/>
  <c r="S73" i="2" s="1"/>
  <c r="Q73" i="2" a="1"/>
  <c r="Q73" i="2" s="1"/>
  <c r="S13" i="2" a="1"/>
  <c r="S13" i="2" s="1"/>
  <c r="O13" i="2" a="1"/>
  <c r="O13" i="2" s="1"/>
  <c r="K13" i="2" a="1"/>
  <c r="K13" i="2" s="1"/>
  <c r="R13" i="2" a="1"/>
  <c r="R13" i="2" s="1"/>
  <c r="N13" i="2" a="1"/>
  <c r="N13" i="2" s="1"/>
  <c r="Q13" i="2" a="1"/>
  <c r="Q13" i="2" s="1"/>
  <c r="M13" i="2" a="1"/>
  <c r="M13" i="2" s="1"/>
  <c r="T13" i="2" a="1"/>
  <c r="T13" i="2" s="1"/>
  <c r="P13" i="2" a="1"/>
  <c r="P13" i="2" s="1"/>
  <c r="L13" i="2" a="1"/>
  <c r="L13" i="2" s="1"/>
  <c r="T61" i="2" a="1"/>
  <c r="T61" i="2" s="1"/>
  <c r="P61" i="2" a="1"/>
  <c r="P61" i="2" s="1"/>
  <c r="L61" i="2" a="1"/>
  <c r="L61" i="2" s="1"/>
  <c r="S61" i="2" a="1"/>
  <c r="S61" i="2" s="1"/>
  <c r="N61" i="2" a="1"/>
  <c r="N61" i="2" s="1"/>
  <c r="M61" i="2" a="1"/>
  <c r="M61" i="2" s="1"/>
  <c r="Q61" i="2" a="1"/>
  <c r="Q61" i="2" s="1"/>
  <c r="K61" i="2" a="1"/>
  <c r="K61" i="2" s="1"/>
  <c r="R61" i="2" a="1"/>
  <c r="R61" i="2" s="1"/>
  <c r="O61" i="2" a="1"/>
  <c r="O61" i="2" s="1"/>
  <c r="Q100" i="2" a="1"/>
  <c r="Q100" i="2" s="1"/>
  <c r="M100" i="2" a="1"/>
  <c r="M100" i="2" s="1"/>
  <c r="R100" i="2" a="1"/>
  <c r="R100" i="2" s="1"/>
  <c r="S100" i="2" a="1"/>
  <c r="S100" i="2" s="1"/>
  <c r="K100" i="2" a="1"/>
  <c r="K100" i="2" s="1"/>
  <c r="T100" i="2" a="1"/>
  <c r="T100" i="2" s="1"/>
  <c r="P100" i="2" a="1"/>
  <c r="P100" i="2" s="1"/>
  <c r="O100" i="2" a="1"/>
  <c r="O100" i="2" s="1"/>
  <c r="N100" i="2" a="1"/>
  <c r="N100" i="2" s="1"/>
  <c r="L100" i="2" a="1"/>
  <c r="L100" i="2" s="1"/>
  <c r="Q68" i="2" a="1"/>
  <c r="Q68" i="2" s="1"/>
  <c r="M68" i="2" a="1"/>
  <c r="M68" i="2" s="1"/>
  <c r="R68" i="2" a="1"/>
  <c r="R68" i="2" s="1"/>
  <c r="N68" i="2" a="1"/>
  <c r="N68" i="2" s="1"/>
  <c r="T68" i="2" a="1"/>
  <c r="T68" i="2" s="1"/>
  <c r="S68" i="2" a="1"/>
  <c r="S68" i="2" s="1"/>
  <c r="L68" i="2" a="1"/>
  <c r="L68" i="2" s="1"/>
  <c r="K68" i="2" a="1"/>
  <c r="K68" i="2" s="1"/>
  <c r="P68" i="2" a="1"/>
  <c r="P68" i="2" s="1"/>
  <c r="O68" i="2" a="1"/>
  <c r="O68" i="2" s="1"/>
  <c r="L43" i="2" a="1"/>
  <c r="L43" i="2" s="1"/>
  <c r="P43" i="2" a="1"/>
  <c r="P43" i="2" s="1"/>
  <c r="K43" i="2" a="1"/>
  <c r="K43" i="2" s="1"/>
  <c r="T43" i="2" a="1"/>
  <c r="T43" i="2" s="1"/>
  <c r="O43" i="2" a="1"/>
  <c r="O43" i="2" s="1"/>
  <c r="S43" i="2" a="1"/>
  <c r="S43" i="2" s="1"/>
  <c r="N43" i="2" a="1"/>
  <c r="N43" i="2" s="1"/>
  <c r="R43" i="2" a="1"/>
  <c r="R43" i="2" s="1"/>
  <c r="Q43" i="2" a="1"/>
  <c r="Q43" i="2" s="1"/>
  <c r="M43" i="2" a="1"/>
  <c r="M43" i="2" s="1"/>
  <c r="S103" i="2" a="1"/>
  <c r="S103" i="2" s="1"/>
  <c r="O103" i="2" a="1"/>
  <c r="O103" i="2" s="1"/>
  <c r="K103" i="2" a="1"/>
  <c r="K103" i="2" s="1"/>
  <c r="T103" i="2" a="1"/>
  <c r="T103" i="2" s="1"/>
  <c r="L103" i="2" a="1"/>
  <c r="L103" i="2" s="1"/>
  <c r="Q103" i="2" a="1"/>
  <c r="Q103" i="2" s="1"/>
  <c r="M103" i="2" a="1"/>
  <c r="M103" i="2" s="1"/>
  <c r="R103" i="2" a="1"/>
  <c r="R103" i="2" s="1"/>
  <c r="P103" i="2" a="1"/>
  <c r="P103" i="2" s="1"/>
  <c r="N103" i="2" a="1"/>
  <c r="N103" i="2" s="1"/>
  <c r="S39" i="2" a="1"/>
  <c r="S39" i="2" s="1"/>
  <c r="O39" i="2" a="1"/>
  <c r="O39" i="2" s="1"/>
  <c r="K39" i="2" a="1"/>
  <c r="K39" i="2" s="1"/>
  <c r="R39" i="2" a="1"/>
  <c r="R39" i="2" s="1"/>
  <c r="N39" i="2" a="1"/>
  <c r="N39" i="2" s="1"/>
  <c r="Q39" i="2" a="1"/>
  <c r="Q39" i="2" s="1"/>
  <c r="M39" i="2" a="1"/>
  <c r="M39" i="2" s="1"/>
  <c r="T39" i="2" a="1"/>
  <c r="T39" i="2" s="1"/>
  <c r="P39" i="2" a="1"/>
  <c r="P39" i="2" s="1"/>
  <c r="L39" i="2" a="1"/>
  <c r="L39" i="2" s="1"/>
  <c r="Q86" i="2" a="1"/>
  <c r="Q86" i="2" s="1"/>
  <c r="M86" i="2" a="1"/>
  <c r="M86" i="2" s="1"/>
  <c r="N86" i="2" a="1"/>
  <c r="N86" i="2" s="1"/>
  <c r="O86" i="2" a="1"/>
  <c r="O86" i="2" s="1"/>
  <c r="T86" i="2" a="1"/>
  <c r="T86" i="2" s="1"/>
  <c r="S86" i="2" a="1"/>
  <c r="S86" i="2" s="1"/>
  <c r="R86" i="2" a="1"/>
  <c r="R86" i="2" s="1"/>
  <c r="P86" i="2" a="1"/>
  <c r="P86" i="2" s="1"/>
  <c r="L86" i="2" a="1"/>
  <c r="L86" i="2" s="1"/>
  <c r="K86" i="2" a="1"/>
  <c r="K86" i="2" s="1"/>
  <c r="Q14" i="2" a="1"/>
  <c r="Q14" i="2" s="1"/>
  <c r="M14" i="2" a="1"/>
  <c r="M14" i="2" s="1"/>
  <c r="T14" i="2" a="1"/>
  <c r="T14" i="2" s="1"/>
  <c r="P14" i="2" a="1"/>
  <c r="P14" i="2" s="1"/>
  <c r="L14" i="2" a="1"/>
  <c r="L14" i="2" s="1"/>
  <c r="S14" i="2" a="1"/>
  <c r="S14" i="2" s="1"/>
  <c r="O14" i="2" a="1"/>
  <c r="O14" i="2" s="1"/>
  <c r="K14" i="2" a="1"/>
  <c r="K14" i="2" s="1"/>
  <c r="R14" i="2" a="1"/>
  <c r="R14" i="2" s="1"/>
  <c r="N14" i="2" a="1"/>
  <c r="N14" i="2" s="1"/>
  <c r="L70" i="2" a="1"/>
  <c r="L70" i="2" s="1"/>
  <c r="P70" i="2" a="1"/>
  <c r="P70" i="2" s="1"/>
  <c r="N70" i="2" a="1"/>
  <c r="N70" i="2" s="1"/>
  <c r="M70" i="2" a="1"/>
  <c r="M70" i="2" s="1"/>
  <c r="K70" i="2" a="1"/>
  <c r="K70" i="2" s="1"/>
  <c r="T70" i="2" a="1"/>
  <c r="T70" i="2" s="1"/>
  <c r="S70" i="2" a="1"/>
  <c r="S70" i="2" s="1"/>
  <c r="O70" i="2" a="1"/>
  <c r="O70" i="2" s="1"/>
  <c r="Q70" i="2" a="1"/>
  <c r="Q70" i="2" s="1"/>
  <c r="R70" i="2" a="1"/>
  <c r="R70" i="2" s="1"/>
  <c r="Q10" i="2" a="1"/>
  <c r="Q10" i="2" s="1"/>
  <c r="M10" i="2" a="1"/>
  <c r="M10" i="2" s="1"/>
  <c r="T10" i="2" a="1"/>
  <c r="T10" i="2" s="1"/>
  <c r="P10" i="2" a="1"/>
  <c r="P10" i="2" s="1"/>
  <c r="L10" i="2" a="1"/>
  <c r="L10" i="2" s="1"/>
  <c r="S10" i="2" a="1"/>
  <c r="S10" i="2" s="1"/>
  <c r="O10" i="2" a="1"/>
  <c r="O10" i="2" s="1"/>
  <c r="K10" i="2" a="1"/>
  <c r="K10" i="2" s="1"/>
  <c r="R10" i="2" a="1"/>
  <c r="R10" i="2" s="1"/>
  <c r="N10" i="2" a="1"/>
  <c r="N10" i="2" s="1"/>
  <c r="T65" i="2" a="1"/>
  <c r="T65" i="2" s="1"/>
  <c r="P65" i="2" a="1"/>
  <c r="P65" i="2" s="1"/>
  <c r="L65" i="2" a="1"/>
  <c r="L65" i="2" s="1"/>
  <c r="K65" i="2" a="1"/>
  <c r="K65" i="2" s="1"/>
  <c r="S65" i="2" a="1"/>
  <c r="S65" i="2" s="1"/>
  <c r="N65" i="2" a="1"/>
  <c r="N65" i="2" s="1"/>
  <c r="Q65" i="2" a="1"/>
  <c r="Q65" i="2" s="1"/>
  <c r="R65" i="2" a="1"/>
  <c r="R65" i="2" s="1"/>
  <c r="O65" i="2" a="1"/>
  <c r="O65" i="2" s="1"/>
  <c r="M65" i="2" a="1"/>
  <c r="M65" i="2" s="1"/>
  <c r="S9" i="2" a="1"/>
  <c r="S9" i="2" s="1"/>
  <c r="O9" i="2" a="1"/>
  <c r="O9" i="2" s="1"/>
  <c r="K9" i="2" a="1"/>
  <c r="K9" i="2" s="1"/>
  <c r="R9" i="2" a="1"/>
  <c r="R9" i="2" s="1"/>
  <c r="N9" i="2" a="1"/>
  <c r="N9" i="2" s="1"/>
  <c r="Q9" i="2" a="1"/>
  <c r="Q9" i="2" s="1"/>
  <c r="M9" i="2" a="1"/>
  <c r="M9" i="2" s="1"/>
  <c r="T9" i="2" a="1"/>
  <c r="T9" i="2" s="1"/>
  <c r="P9" i="2" a="1"/>
  <c r="P9" i="2" s="1"/>
  <c r="L9" i="2" a="1"/>
  <c r="L9" i="2" s="1"/>
  <c r="O53" i="2" a="1"/>
  <c r="O53" i="2" s="1"/>
  <c r="S53" i="2" a="1"/>
  <c r="S53" i="2" s="1"/>
  <c r="R53" i="2" a="1"/>
  <c r="R53" i="2" s="1"/>
  <c r="M53" i="2" a="1"/>
  <c r="M53" i="2" s="1"/>
  <c r="Q53" i="2" a="1"/>
  <c r="Q53" i="2" s="1"/>
  <c r="T53" i="2" a="1"/>
  <c r="T53" i="2" s="1"/>
  <c r="K53" i="2" a="1"/>
  <c r="K53" i="2" s="1"/>
  <c r="P53" i="2" a="1"/>
  <c r="P53" i="2" s="1"/>
  <c r="N53" i="2" a="1"/>
  <c r="N53" i="2" s="1"/>
  <c r="L53" i="2" a="1"/>
  <c r="L53" i="2" s="1"/>
  <c r="Q96" i="2" a="1"/>
  <c r="Q96" i="2" s="1"/>
  <c r="M96" i="2" a="1"/>
  <c r="M96" i="2" s="1"/>
  <c r="R96" i="2" a="1"/>
  <c r="R96" i="2" s="1"/>
  <c r="S96" i="2" a="1"/>
  <c r="S96" i="2" s="1"/>
  <c r="K96" i="2" a="1"/>
  <c r="K96" i="2" s="1"/>
  <c r="T96" i="2" a="1"/>
  <c r="T96" i="2" s="1"/>
  <c r="P96" i="2" a="1"/>
  <c r="P96" i="2" s="1"/>
  <c r="L96" i="2" a="1"/>
  <c r="L96" i="2" s="1"/>
  <c r="O96" i="2" a="1"/>
  <c r="O96" i="2" s="1"/>
  <c r="N96" i="2" a="1"/>
  <c r="N96" i="2" s="1"/>
  <c r="R64" i="2" a="1"/>
  <c r="R64" i="2" s="1"/>
  <c r="N64" i="2" a="1"/>
  <c r="N64" i="2" s="1"/>
  <c r="P64" i="2" a="1"/>
  <c r="P64" i="2" s="1"/>
  <c r="O64" i="2" a="1"/>
  <c r="O64" i="2" s="1"/>
  <c r="S64" i="2" a="1"/>
  <c r="S64" i="2" s="1"/>
  <c r="M64" i="2" a="1"/>
  <c r="M64" i="2" s="1"/>
  <c r="K64" i="2" a="1"/>
  <c r="K64" i="2" s="1"/>
  <c r="Q64" i="2" a="1"/>
  <c r="Q64" i="2" s="1"/>
  <c r="L64" i="2" a="1"/>
  <c r="L64" i="2" s="1"/>
  <c r="T64" i="2" a="1"/>
  <c r="T64" i="2" s="1"/>
  <c r="S99" i="2" a="1"/>
  <c r="S99" i="2" s="1"/>
  <c r="O99" i="2" a="1"/>
  <c r="O99" i="2" s="1"/>
  <c r="K99" i="2" a="1"/>
  <c r="K99" i="2" s="1"/>
  <c r="T99" i="2" a="1"/>
  <c r="T99" i="2" s="1"/>
  <c r="L99" i="2" a="1"/>
  <c r="L99" i="2" s="1"/>
  <c r="M99" i="2" a="1"/>
  <c r="M99" i="2" s="1"/>
  <c r="R99" i="2" a="1"/>
  <c r="R99" i="2" s="1"/>
  <c r="Q99" i="2" a="1"/>
  <c r="Q99" i="2" s="1"/>
  <c r="P99" i="2" a="1"/>
  <c r="P99" i="2" s="1"/>
  <c r="N99" i="2" a="1"/>
  <c r="N99" i="2" s="1"/>
  <c r="S35" i="2" a="1"/>
  <c r="S35" i="2" s="1"/>
  <c r="O35" i="2" a="1"/>
  <c r="O35" i="2" s="1"/>
  <c r="K35" i="2" a="1"/>
  <c r="K35" i="2" s="1"/>
  <c r="R35" i="2" a="1"/>
  <c r="R35" i="2" s="1"/>
  <c r="N35" i="2" a="1"/>
  <c r="N35" i="2" s="1"/>
  <c r="Q35" i="2" a="1"/>
  <c r="Q35" i="2" s="1"/>
  <c r="M35" i="2" a="1"/>
  <c r="M35" i="2" s="1"/>
  <c r="P35" i="2" a="1"/>
  <c r="P35" i="2" s="1"/>
  <c r="L35" i="2" a="1"/>
  <c r="L35" i="2" s="1"/>
  <c r="T35" i="2" a="1"/>
  <c r="T35" i="2" s="1"/>
  <c r="S95" i="2" a="1"/>
  <c r="S95" i="2" s="1"/>
  <c r="O95" i="2" a="1"/>
  <c r="O95" i="2" s="1"/>
  <c r="K95" i="2" a="1"/>
  <c r="K95" i="2" s="1"/>
  <c r="T95" i="2" a="1"/>
  <c r="T95" i="2" s="1"/>
  <c r="L95" i="2" a="1"/>
  <c r="L95" i="2" s="1"/>
  <c r="M95" i="2" a="1"/>
  <c r="M95" i="2" s="1"/>
  <c r="R95" i="2" a="1"/>
  <c r="R95" i="2" s="1"/>
  <c r="Q95" i="2" a="1"/>
  <c r="Q95" i="2" s="1"/>
  <c r="P95" i="2" a="1"/>
  <c r="P95" i="2" s="1"/>
  <c r="N95" i="2" a="1"/>
  <c r="N95" i="2" s="1"/>
  <c r="S31" i="2" a="1"/>
  <c r="S31" i="2" s="1"/>
  <c r="O31" i="2" a="1"/>
  <c r="O31" i="2" s="1"/>
  <c r="K31" i="2" a="1"/>
  <c r="K31" i="2" s="1"/>
  <c r="R31" i="2" a="1"/>
  <c r="R31" i="2" s="1"/>
  <c r="N31" i="2" a="1"/>
  <c r="N31" i="2" s="1"/>
  <c r="Q31" i="2" a="1"/>
  <c r="Q31" i="2" s="1"/>
  <c r="M31" i="2" a="1"/>
  <c r="M31" i="2" s="1"/>
  <c r="T31" i="2" a="1"/>
  <c r="T31" i="2" s="1"/>
  <c r="P31" i="2" a="1"/>
  <c r="P31" i="2" s="1"/>
  <c r="L31" i="2" a="1"/>
  <c r="L31" i="2" s="1"/>
  <c r="S74" i="2" a="1"/>
  <c r="S74" i="2" s="1"/>
  <c r="M74" i="2" a="1"/>
  <c r="M74" i="2" s="1"/>
  <c r="Q74" i="2" a="1"/>
  <c r="Q74" i="2" s="1"/>
  <c r="O74" i="2" a="1"/>
  <c r="O74" i="2" s="1"/>
  <c r="N74" i="2" a="1"/>
  <c r="N74" i="2" s="1"/>
  <c r="L74" i="2" a="1"/>
  <c r="L74" i="2" s="1"/>
  <c r="K74" i="2" a="1"/>
  <c r="K74" i="2" s="1"/>
  <c r="T74" i="2" a="1"/>
  <c r="T74" i="2" s="1"/>
  <c r="P74" i="2" a="1"/>
  <c r="P74" i="2" s="1"/>
  <c r="R74" i="2" a="1"/>
  <c r="R74" i="2" s="1"/>
  <c r="P52" i="2" a="1"/>
  <c r="P52" i="2" s="1"/>
  <c r="K52" i="2" a="1"/>
  <c r="K52" i="2" s="1"/>
  <c r="T52" i="2" a="1"/>
  <c r="T52" i="2" s="1"/>
  <c r="O52" i="2" a="1"/>
  <c r="O52" i="2" s="1"/>
  <c r="N52" i="2" a="1"/>
  <c r="N52" i="2" s="1"/>
  <c r="R52" i="2" a="1"/>
  <c r="R52" i="2" s="1"/>
  <c r="L52" i="2" a="1"/>
  <c r="L52" i="2" s="1"/>
  <c r="M52" i="2" a="1"/>
  <c r="M52" i="2" s="1"/>
  <c r="S52" i="2" a="1"/>
  <c r="S52" i="2" s="1"/>
  <c r="Q52" i="2" a="1"/>
  <c r="Q52" i="2" s="1"/>
  <c r="R62" i="2" a="1"/>
  <c r="R62" i="2" s="1"/>
  <c r="N62" i="2" a="1"/>
  <c r="N62" i="2" s="1"/>
  <c r="T62" i="2" a="1"/>
  <c r="T62" i="2" s="1"/>
  <c r="S62" i="2" a="1"/>
  <c r="S62" i="2" s="1"/>
  <c r="Q62" i="2" a="1"/>
  <c r="Q62" i="2" s="1"/>
  <c r="L62" i="2" a="1"/>
  <c r="L62" i="2" s="1"/>
  <c r="O62" i="2" a="1"/>
  <c r="O62" i="2" s="1"/>
  <c r="P62" i="2" a="1"/>
  <c r="P62" i="2" s="1"/>
  <c r="K62" i="2" a="1"/>
  <c r="K62" i="2" s="1"/>
  <c r="M62" i="2" a="1"/>
  <c r="M62" i="2" s="1"/>
  <c r="T57" i="2" a="1"/>
  <c r="T57" i="2" s="1"/>
  <c r="P57" i="2" a="1"/>
  <c r="P57" i="2" s="1"/>
  <c r="L57" i="2" a="1"/>
  <c r="L57" i="2" s="1"/>
  <c r="K57" i="2" a="1"/>
  <c r="K57" i="2" s="1"/>
  <c r="S57" i="2" a="1"/>
  <c r="S57" i="2" s="1"/>
  <c r="N57" i="2" a="1"/>
  <c r="N57" i="2" s="1"/>
  <c r="Q57" i="2" a="1"/>
  <c r="Q57" i="2" s="1"/>
  <c r="R57" i="2" a="1"/>
  <c r="R57" i="2" s="1"/>
  <c r="O57" i="2" a="1"/>
  <c r="O57" i="2" s="1"/>
  <c r="M57" i="2" a="1"/>
  <c r="M57" i="2" s="1"/>
  <c r="Q40" i="2" a="1"/>
  <c r="Q40" i="2" s="1"/>
  <c r="M40" i="2" a="1"/>
  <c r="M40" i="2" s="1"/>
  <c r="T40" i="2" a="1"/>
  <c r="T40" i="2" s="1"/>
  <c r="P40" i="2" a="1"/>
  <c r="P40" i="2" s="1"/>
  <c r="L40" i="2" a="1"/>
  <c r="L40" i="2" s="1"/>
  <c r="S40" i="2" a="1"/>
  <c r="S40" i="2" s="1"/>
  <c r="O40" i="2" a="1"/>
  <c r="O40" i="2" s="1"/>
  <c r="K40" i="2" a="1"/>
  <c r="K40" i="2" s="1"/>
  <c r="R40" i="2" a="1"/>
  <c r="R40" i="2" s="1"/>
  <c r="N40" i="2" a="1"/>
  <c r="N40" i="2" s="1"/>
  <c r="S41" i="2" a="1"/>
  <c r="S41" i="2" s="1"/>
  <c r="O41" i="2" a="1"/>
  <c r="O41" i="2" s="1"/>
  <c r="K41" i="2" a="1"/>
  <c r="K41" i="2" s="1"/>
  <c r="R41" i="2" a="1"/>
  <c r="R41" i="2" s="1"/>
  <c r="N41" i="2" a="1"/>
  <c r="N41" i="2" s="1"/>
  <c r="Q41" i="2" a="1"/>
  <c r="Q41" i="2" s="1"/>
  <c r="M41" i="2" a="1"/>
  <c r="M41" i="2" s="1"/>
  <c r="T41" i="2" a="1"/>
  <c r="T41" i="2" s="1"/>
  <c r="P41" i="2" a="1"/>
  <c r="P41" i="2" s="1"/>
  <c r="L41" i="2" a="1"/>
  <c r="L41" i="2" s="1"/>
  <c r="Q92" i="2" a="1"/>
  <c r="Q92" i="2" s="1"/>
  <c r="M92" i="2" a="1"/>
  <c r="M92" i="2" s="1"/>
  <c r="R92" i="2" a="1"/>
  <c r="R92" i="2" s="1"/>
  <c r="S92" i="2" a="1"/>
  <c r="S92" i="2" s="1"/>
  <c r="K92" i="2" a="1"/>
  <c r="K92" i="2" s="1"/>
  <c r="L92" i="2" a="1"/>
  <c r="L92" i="2" s="1"/>
  <c r="T92" i="2" a="1"/>
  <c r="T92" i="2" s="1"/>
  <c r="N92" i="2" a="1"/>
  <c r="N92" i="2" s="1"/>
  <c r="P92" i="2" a="1"/>
  <c r="P92" i="2" s="1"/>
  <c r="O92" i="2" a="1"/>
  <c r="O92" i="2" s="1"/>
  <c r="R60" i="2" a="1"/>
  <c r="R60" i="2" s="1"/>
  <c r="N60" i="2" a="1"/>
  <c r="N60" i="2" s="1"/>
  <c r="M60" i="2" a="1"/>
  <c r="M60" i="2" s="1"/>
  <c r="K60" i="2" a="1"/>
  <c r="K60" i="2" s="1"/>
  <c r="P60" i="2" a="1"/>
  <c r="P60" i="2" s="1"/>
  <c r="S60" i="2" a="1"/>
  <c r="S60" i="2" s="1"/>
  <c r="O60" i="2" a="1"/>
  <c r="O60" i="2" s="1"/>
  <c r="L60" i="2" a="1"/>
  <c r="L60" i="2" s="1"/>
  <c r="Q60" i="2" a="1"/>
  <c r="Q60" i="2" s="1"/>
  <c r="T60" i="2" a="1"/>
  <c r="T60" i="2" s="1"/>
  <c r="E12" i="1"/>
  <c r="E10" i="1"/>
  <c r="E11" i="1"/>
  <c r="P6" i="2" l="1" a="1"/>
  <c r="P6" i="2" s="1"/>
  <c r="R6" i="2" a="1"/>
  <c r="R6" i="2" s="1"/>
  <c r="N6" i="2" a="1"/>
  <c r="N6" i="2" s="1"/>
  <c r="O6" i="2" a="1"/>
  <c r="O6" i="2" s="1"/>
  <c r="Q4" i="2" a="1"/>
  <c r="Q4" i="2" s="1"/>
  <c r="T4" i="2" a="1"/>
  <c r="T4" i="2" s="1"/>
  <c r="N4" i="2" a="1"/>
  <c r="N4" i="2" s="1"/>
  <c r="P4" i="2" a="1"/>
  <c r="P4" i="2" s="1"/>
  <c r="N5" i="2" a="1"/>
  <c r="N5" i="2" s="1"/>
  <c r="O5" i="2" a="1"/>
  <c r="O5" i="2" s="1"/>
  <c r="L5" i="2" a="1"/>
  <c r="L5" i="2" s="1"/>
  <c r="S5" i="2" a="1"/>
  <c r="S5" i="2" s="1"/>
  <c r="R5" i="2" a="1"/>
  <c r="R5" i="2" s="1"/>
  <c r="Q5" i="2" a="1"/>
  <c r="Q5" i="2" s="1"/>
  <c r="K5" i="2" a="1"/>
  <c r="K5" i="2" s="1"/>
  <c r="T5" i="2" a="1"/>
  <c r="T5" i="2" s="1"/>
  <c r="P5" i="2" a="1"/>
  <c r="P5" i="2" s="1"/>
  <c r="S7" i="2" a="1"/>
  <c r="S7" i="2" s="1"/>
  <c r="N7" i="2" a="1"/>
  <c r="N7" i="2" s="1"/>
  <c r="Q7" i="2" a="1"/>
  <c r="Q7" i="2" s="1"/>
  <c r="R7" i="2" a="1"/>
  <c r="R7" i="2" s="1"/>
  <c r="L7" i="2" a="1"/>
  <c r="L7" i="2" s="1"/>
  <c r="P7" i="2" a="1"/>
  <c r="P7" i="2" s="1"/>
  <c r="K7" i="2" a="1"/>
  <c r="K7" i="2" s="1"/>
  <c r="M7" i="2" a="1"/>
  <c r="M7" i="2" s="1"/>
  <c r="T7" i="2" a="1"/>
  <c r="T7" i="2" s="1"/>
  <c r="S8" i="2" a="1"/>
  <c r="S8" i="2" s="1"/>
  <c r="N8" i="2" a="1"/>
  <c r="N8" i="2" s="1"/>
  <c r="O8" i="2" a="1"/>
  <c r="O8" i="2" s="1"/>
  <c r="R8" i="2" a="1"/>
  <c r="R8" i="2" s="1"/>
  <c r="T8" i="2" a="1"/>
  <c r="T8" i="2" s="1"/>
  <c r="L8" i="2" a="1"/>
  <c r="L8" i="2" s="1"/>
  <c r="P8" i="2" a="1"/>
  <c r="P8" i="2" s="1"/>
  <c r="Q8" i="2" a="1"/>
  <c r="Q8" i="2" s="1"/>
  <c r="K8" i="2" a="1"/>
  <c r="K8" i="2" s="1"/>
  <c r="S6" i="2"/>
  <c r="O7" i="2"/>
  <c r="M5" i="2"/>
  <c r="O4" i="2"/>
  <c r="M8" i="2"/>
  <c r="L6" i="2" a="1"/>
  <c r="M6" i="2" a="1"/>
  <c r="R4" i="2" a="1"/>
  <c r="M4" i="2" a="1"/>
  <c r="K4" i="2" a="1"/>
  <c r="L4" i="2" a="1"/>
  <c r="S4" i="2" a="1"/>
  <c r="Y27" i="2" a="1"/>
  <c r="AI27" i="2" a="1"/>
  <c r="AG13" i="2" a="1"/>
  <c r="AA21" i="2" a="1"/>
  <c r="AM6" i="2" a="1"/>
  <c r="AM14" i="2" a="1"/>
  <c r="AE10" i="2" a="1"/>
  <c r="AN28" i="2" a="1"/>
  <c r="AC27" i="2" a="1"/>
  <c r="AD28" i="2" a="1"/>
  <c r="AM22" i="2" a="1"/>
  <c r="AM8" i="2" a="1"/>
  <c r="AH24" i="2" a="1"/>
  <c r="AA26" i="2" a="1"/>
  <c r="AM21" i="2" a="1"/>
  <c r="Z5" i="2" a="1"/>
  <c r="AB27" i="2" a="1"/>
  <c r="AB8" i="2" a="1"/>
  <c r="AC7" i="2" a="1"/>
  <c r="AE25" i="2" a="1"/>
  <c r="AN11" i="2" a="1"/>
  <c r="Z15" i="2" a="1"/>
  <c r="E68" i="1" a="1"/>
  <c r="AE20" i="2" a="1"/>
  <c r="Y33" i="2" a="1"/>
  <c r="AG9" i="2" a="1"/>
  <c r="AI33" i="2" a="1"/>
  <c r="AG34" i="2" a="1"/>
  <c r="AL31" i="2" a="1"/>
  <c r="Y25" i="2" a="1"/>
  <c r="AJ25" i="2" a="1"/>
  <c r="AC19" i="2" a="1"/>
  <c r="AA16" i="2" a="1"/>
  <c r="AI18" i="2" a="1"/>
  <c r="U4" i="2" a="1"/>
  <c r="AJ31" i="2" a="1"/>
  <c r="Z8" i="2" a="1"/>
  <c r="AL11" i="2" a="1"/>
  <c r="Z27" i="2" a="1"/>
  <c r="AA18" i="2" a="1"/>
  <c r="AH8" i="2" a="1"/>
  <c r="AF8" i="2" a="1"/>
  <c r="AI13" i="2" a="1"/>
  <c r="Z24" i="2" a="1"/>
  <c r="AN8" i="2" a="1"/>
  <c r="AH13" i="2" a="1"/>
  <c r="Y34" i="2" a="1"/>
  <c r="Y26" i="2" a="1"/>
  <c r="AG10" i="2" a="1"/>
  <c r="AG15" i="2" a="1"/>
  <c r="AA14" i="2" a="1"/>
  <c r="AN21" i="2" a="1"/>
  <c r="Z12" i="2" a="1"/>
  <c r="AI6" i="2" a="1"/>
  <c r="AD20" i="2" a="1"/>
  <c r="Y15" i="2" a="1"/>
  <c r="U8" i="2" a="1"/>
  <c r="AI11" i="2" a="1"/>
  <c r="Z25" i="2" a="1"/>
  <c r="AI4" i="2" a="1"/>
  <c r="AB31" i="2" a="1"/>
  <c r="AN20" i="2" a="1"/>
  <c r="AI25" i="2" a="1"/>
  <c r="AK13" i="2" a="1"/>
  <c r="AK10" i="2" a="1"/>
  <c r="AB7" i="2" a="1"/>
  <c r="Z6" i="2" a="1"/>
  <c r="AK17" i="2" a="1"/>
  <c r="Z18" i="2" a="1"/>
  <c r="AD25" i="2" a="1"/>
  <c r="AK25" i="2" a="1"/>
  <c r="Y14" i="2" a="1"/>
  <c r="AK32" i="2" a="1"/>
  <c r="AG21" i="2" a="1"/>
  <c r="AK27" i="2" a="1"/>
  <c r="Z13" i="2" a="1"/>
  <c r="AK9" i="2" a="1"/>
  <c r="Z33" i="2" a="1"/>
  <c r="AK6" i="2" a="1"/>
  <c r="AE6" i="2" a="1"/>
  <c r="AJ32" i="2" a="1"/>
  <c r="AH15" i="2" a="1"/>
  <c r="AC6" i="2" a="1"/>
  <c r="AL21" i="2" a="1"/>
  <c r="AJ4" i="2" a="1"/>
  <c r="AJ11" i="2" a="1"/>
  <c r="AD15" i="2" a="1"/>
  <c r="AD32" i="2" a="1"/>
  <c r="AI14" i="2" a="1"/>
  <c r="AG11" i="2" a="1"/>
  <c r="Z32" i="2" a="1"/>
  <c r="AN33" i="2" a="1"/>
  <c r="AF33" i="2" a="1"/>
  <c r="AB12" i="2" a="1"/>
  <c r="AH10" i="2" a="1"/>
  <c r="AF34" i="2" a="1"/>
  <c r="AE17" i="2" a="1"/>
  <c r="AC9" i="2" a="1"/>
  <c r="AH32" i="2" a="1"/>
  <c r="AB21" i="2" a="1"/>
  <c r="AE13" i="2" a="1"/>
  <c r="Z14" i="2" a="1"/>
  <c r="AJ10" i="2" a="1"/>
  <c r="AH26" i="2" a="1"/>
  <c r="Y31" i="2" a="1"/>
  <c r="AD33" i="2" a="1"/>
  <c r="AH20" i="2" a="1"/>
  <c r="Y30" i="2" a="1"/>
  <c r="AD27" i="2" a="1"/>
  <c r="AH6" i="2" a="1"/>
  <c r="AF17" i="2" a="1"/>
  <c r="Z21" i="2" a="1"/>
  <c r="AG29" i="2" a="1"/>
  <c r="AH4" i="2" a="1"/>
  <c r="AD8" i="2" a="1"/>
  <c r="AK16" i="2" a="1"/>
  <c r="AI10" i="2" a="1"/>
  <c r="AN12" i="2" a="1"/>
  <c r="AH9" i="2" a="1"/>
  <c r="AL20" i="2" a="1"/>
  <c r="AB26" i="2" a="1"/>
  <c r="AD6" i="2" a="1"/>
  <c r="AN16" i="2" a="1"/>
  <c r="AG22" i="2" a="1"/>
  <c r="Z7" i="2" a="1"/>
  <c r="AK26" i="2" a="1"/>
  <c r="AL10" i="2" a="1"/>
  <c r="AD34" i="2" a="1"/>
  <c r="AN26" i="2" a="1"/>
  <c r="Y22" i="2" a="1"/>
  <c r="AC23" i="2" a="1"/>
  <c r="AN34" i="2" a="1"/>
  <c r="AA13" i="2" a="1"/>
  <c r="Y16" i="2" a="1"/>
  <c r="AF13" i="2" a="1"/>
  <c r="AI34" i="2" a="1"/>
  <c r="AF19" i="2" a="1"/>
  <c r="AA33" i="2" a="1"/>
  <c r="AN31" i="2" a="1"/>
  <c r="AD19" i="2" a="1"/>
  <c r="AH7" i="2" a="1"/>
  <c r="AD29" i="2" a="1"/>
  <c r="AC25" i="2" a="1"/>
  <c r="Y23" i="2" a="1"/>
  <c r="AN29" i="2" a="1"/>
  <c r="AE8" i="2" a="1"/>
  <c r="AC31" i="2" a="1"/>
  <c r="AE9" i="2" a="1"/>
  <c r="AJ20" i="2" a="1"/>
  <c r="AC21" i="2" a="1"/>
  <c r="U7" i="2" a="1"/>
  <c r="AE7" i="2" a="1"/>
  <c r="AD26" i="2" a="1"/>
  <c r="AM24" i="2" a="1"/>
  <c r="AL27" i="2" a="1"/>
  <c r="Z31" i="2" a="1"/>
  <c r="AM29" i="2" a="1"/>
  <c r="AM7" i="2" a="1"/>
  <c r="Y6" i="2" a="1"/>
  <c r="Z30" i="2" a="1"/>
  <c r="AB15" i="2" a="1"/>
  <c r="AN25" i="2" a="1"/>
  <c r="AH11" i="2" a="1"/>
  <c r="AF6" i="2" a="1"/>
  <c r="AM10" i="2" a="1"/>
  <c r="AD31" i="2" a="1"/>
  <c r="Z19" i="2" a="1"/>
  <c r="AN23" i="2" a="1"/>
  <c r="AL25" i="2" a="1"/>
  <c r="AA4" i="2" a="1"/>
  <c r="AB25" i="2" a="1"/>
  <c r="AL18" i="2" a="1"/>
  <c r="AD4" i="2" a="1"/>
  <c r="AD18" i="2" a="1"/>
  <c r="AE33" i="2" a="1"/>
  <c r="AE16" i="2" a="1"/>
  <c r="AB18" i="2" a="1"/>
  <c r="AG24" i="2" a="1"/>
  <c r="AE31" i="2" a="1"/>
  <c r="AL5" i="2" a="1"/>
  <c r="AG4" i="2" a="1"/>
  <c r="AA8" i="2" a="1"/>
  <c r="AE32" i="2" a="1"/>
  <c r="AL6" i="2" a="1"/>
  <c r="AE11" i="2" a="1"/>
  <c r="AF27" i="2" a="1"/>
  <c r="AJ17" i="2" a="1"/>
  <c r="AI17" i="2" a="1"/>
  <c r="AK18" i="2" a="1"/>
  <c r="AB23" i="2" a="1"/>
  <c r="AN19" i="2" a="1"/>
  <c r="AN4" i="2" a="1"/>
  <c r="AE34" i="2" a="1"/>
  <c r="AG6" i="2" a="1"/>
  <c r="AD30" i="2" a="1"/>
  <c r="AA32" i="2" a="1"/>
  <c r="AL29" i="2" a="1"/>
  <c r="AG31" i="2" a="1"/>
  <c r="AJ18" i="2" a="1"/>
  <c r="AC13" i="2" a="1"/>
  <c r="AA7" i="2" a="1"/>
  <c r="AH17" i="2" a="1"/>
  <c r="Z10" i="2" a="1"/>
  <c r="Z22" i="2" a="1"/>
  <c r="Z17" i="2" a="1"/>
  <c r="Y32" i="2" a="1"/>
  <c r="AI31" i="2" a="1"/>
  <c r="AJ26" i="2" a="1"/>
  <c r="AH27" i="2" a="1"/>
  <c r="AK12" i="2" a="1"/>
  <c r="AI12" i="2" a="1"/>
  <c r="AF14" i="2" a="1"/>
  <c r="AD14" i="2" a="1"/>
  <c r="AL19" i="2" a="1"/>
  <c r="AD7" i="2" a="1"/>
  <c r="AJ9" i="2" a="1"/>
  <c r="AJ13" i="2" a="1"/>
  <c r="AA22" i="2" a="1"/>
  <c r="AG14" i="2" a="1"/>
  <c r="AN9" i="2" a="1"/>
  <c r="AF23" i="2" a="1"/>
  <c r="AJ21" i="2" a="1"/>
  <c r="AI23" i="2" a="1"/>
  <c r="AL22" i="2" a="1"/>
  <c r="AF15" i="2" a="1"/>
  <c r="AA25" i="2" a="1"/>
  <c r="AK8" i="2" a="1"/>
  <c r="AJ8" i="2" a="1"/>
  <c r="AE18" i="2" a="1"/>
  <c r="AF26" i="2" a="1"/>
  <c r="AD16" i="2" a="1"/>
  <c r="AK11" i="2" a="1"/>
  <c r="AE5" i="2" a="1"/>
  <c r="AN24" i="2" a="1"/>
  <c r="AI30" i="2" a="1"/>
  <c r="AD22" i="2" a="1"/>
  <c r="AA10" i="2" a="1"/>
  <c r="AI20" i="2" a="1"/>
  <c r="AC15" i="2" a="1"/>
  <c r="AH22" i="2" a="1"/>
  <c r="AG23" i="2" a="1"/>
  <c r="AJ5" i="2" a="1"/>
  <c r="AM9" i="2" a="1"/>
  <c r="AF21" i="2" a="1"/>
  <c r="E67" i="1" a="1"/>
  <c r="Y19" i="2" a="1"/>
  <c r="AG16" i="2" a="1"/>
  <c r="AB24" i="2" a="1"/>
  <c r="AA12" i="2" a="1"/>
  <c r="AI22" i="2" a="1"/>
  <c r="AM34" i="2" a="1"/>
  <c r="AE14" i="2" a="1"/>
  <c r="AK19" i="2" a="1"/>
  <c r="AB5" i="2" a="1"/>
  <c r="AK20" i="2" a="1"/>
  <c r="AM28" i="2" a="1"/>
  <c r="AC33" i="2" a="1"/>
  <c r="AF4" i="2" a="1"/>
  <c r="AA17" i="2" a="1"/>
  <c r="AB33" i="2" a="1"/>
  <c r="Z34" i="2" a="1"/>
  <c r="AA30" i="2" a="1"/>
  <c r="AJ23" i="2" a="1"/>
  <c r="AA29" i="2" a="1"/>
  <c r="AK14" i="2" a="1"/>
  <c r="Z11" i="2" a="1"/>
  <c r="AB11" i="2" a="1"/>
  <c r="AJ15" i="2" a="1"/>
  <c r="U5" i="2" a="1"/>
  <c r="AC18" i="2" a="1"/>
  <c r="AH30" i="2" a="1"/>
  <c r="AJ16" i="2" a="1"/>
  <c r="Y29" i="2" a="1"/>
  <c r="AN7" i="2" a="1"/>
  <c r="Z16" i="2" a="1"/>
  <c r="AN15" i="2" a="1"/>
  <c r="Y12" i="2" a="1"/>
  <c r="AK30" i="2" a="1"/>
  <c r="AB28" i="2" a="1"/>
  <c r="AM20" i="2" a="1"/>
  <c r="AM19" i="2" a="1"/>
  <c r="AE26" i="2" a="1"/>
  <c r="AG28" i="2" a="1"/>
  <c r="AA24" i="2" a="1"/>
  <c r="AF11" i="2" a="1"/>
  <c r="AE24" i="2" a="1"/>
  <c r="AL13" i="2" a="1"/>
  <c r="AB19" i="2" a="1"/>
  <c r="AM26" i="2" a="1"/>
  <c r="AG5" i="2" a="1"/>
  <c r="AK5" i="2" a="1"/>
  <c r="AJ12" i="2" a="1"/>
  <c r="AE22" i="2" a="1"/>
  <c r="AI24" i="2" a="1"/>
  <c r="E66" i="1" a="1"/>
  <c r="AD12" i="2" a="1"/>
  <c r="AF29" i="2" a="1"/>
  <c r="AM12" i="2" a="1"/>
  <c r="AK22" i="2" a="1"/>
  <c r="AK29" i="2" a="1"/>
  <c r="Y28" i="2" a="1"/>
  <c r="AH14" i="2" a="1"/>
  <c r="AM23" i="2" a="1"/>
  <c r="AL16" i="2" a="1"/>
  <c r="AI9" i="2" a="1"/>
  <c r="AF31" i="2" a="1"/>
  <c r="AN22" i="2" a="1"/>
  <c r="AK4" i="2" a="1"/>
  <c r="AA19" i="2" a="1"/>
  <c r="Y21" i="2" a="1"/>
  <c r="AG27" i="2" a="1"/>
  <c r="Z4" i="2" a="1"/>
  <c r="E64" i="1" a="1"/>
  <c r="AI19" i="2" a="1"/>
  <c r="Y7" i="2" a="1"/>
  <c r="AF16" i="2" a="1"/>
  <c r="AM5" i="2" a="1"/>
  <c r="AC29" i="2" a="1"/>
  <c r="AH12" i="2" a="1"/>
  <c r="Y24" i="2" a="1"/>
  <c r="AH34" i="2" a="1"/>
  <c r="AC22" i="2" a="1"/>
  <c r="AC26" i="2" a="1"/>
  <c r="AF30" i="2" a="1"/>
  <c r="Y11" i="2" a="1"/>
  <c r="AK15" i="2" a="1"/>
  <c r="AD23" i="2" a="1"/>
  <c r="AD11" i="2" a="1"/>
  <c r="AN10" i="2" a="1"/>
  <c r="AC17" i="2" a="1"/>
  <c r="AM16" i="2" a="1"/>
  <c r="AJ30" i="2" a="1"/>
  <c r="AM11" i="2" a="1"/>
  <c r="AF12" i="2" a="1"/>
  <c r="Z26" i="2" a="1"/>
  <c r="AA27" i="2" a="1"/>
  <c r="AM25" i="2" a="1"/>
  <c r="Y8" i="2" a="1"/>
  <c r="AC4" i="2" a="1"/>
  <c r="AM33" i="2" a="1"/>
  <c r="AE21" i="2" a="1"/>
  <c r="AL30" i="2" a="1"/>
  <c r="AI15" i="2" a="1"/>
  <c r="AL33" i="2" a="1"/>
  <c r="AA20" i="2" a="1"/>
  <c r="AF9" i="2" a="1"/>
  <c r="AM15" i="2" a="1"/>
  <c r="AM13" i="2" a="1"/>
  <c r="U6" i="2" a="1"/>
  <c r="Z28" i="2" a="1"/>
  <c r="AM18" i="2" a="1"/>
  <c r="AG19" i="2" a="1"/>
  <c r="AG12" i="2" a="1"/>
  <c r="AI26" i="2" a="1"/>
  <c r="AD10" i="2" a="1"/>
  <c r="AB14" i="2" a="1"/>
  <c r="AI29" i="2" a="1"/>
  <c r="AF24" i="2" a="1"/>
  <c r="AN17" i="2" a="1"/>
  <c r="AB20" i="2" a="1"/>
  <c r="AM31" i="2" a="1"/>
  <c r="Y18" i="2" a="1"/>
  <c r="AC32" i="2" a="1"/>
  <c r="AN5" i="2" a="1"/>
  <c r="AE12" i="2" a="1"/>
  <c r="Y13" i="2" a="1"/>
  <c r="Y20" i="2" a="1"/>
  <c r="AG18" i="2" a="1"/>
  <c r="AB9" i="2" a="1"/>
  <c r="AJ6" i="2" a="1"/>
  <c r="AB4" i="2" a="1"/>
  <c r="AA5" i="2" a="1"/>
  <c r="AG33" i="2" a="1"/>
  <c r="AJ19" i="2" a="1"/>
  <c r="AI7" i="2" a="1"/>
  <c r="AB6" i="2" a="1"/>
  <c r="AN6" i="2" a="1"/>
  <c r="AC34" i="2" a="1"/>
  <c r="AC5" i="2" a="1"/>
  <c r="AI32" i="2" a="1"/>
  <c r="AA9" i="2" a="1"/>
  <c r="AM4" i="2" a="1"/>
  <c r="AI16" i="2" a="1"/>
  <c r="AK31" i="2" a="1"/>
  <c r="AF25" i="2" a="1"/>
  <c r="AL34" i="2" a="1"/>
  <c r="AC16" i="2" a="1"/>
  <c r="AL28" i="2" a="1"/>
  <c r="AH5" i="2" a="1"/>
  <c r="AH21" i="2" a="1"/>
  <c r="AJ27" i="2" a="1"/>
  <c r="AB29" i="2" a="1"/>
  <c r="AL26" i="2" a="1"/>
  <c r="AF22" i="2" a="1"/>
  <c r="AJ33" i="2" a="1"/>
  <c r="Z29" i="2" a="1"/>
  <c r="AI5" i="2" a="1"/>
  <c r="AB13" i="2" a="1"/>
  <c r="AB30" i="2" a="1"/>
  <c r="AN30" i="2" a="1"/>
  <c r="AH23" i="2" a="1"/>
  <c r="AJ24" i="2" a="1"/>
  <c r="AD24" i="2" a="1"/>
  <c r="AA23" i="2" a="1"/>
  <c r="Y5" i="2" a="1"/>
  <c r="AF18" i="2" a="1"/>
  <c r="Z23" i="2" a="1"/>
  <c r="AK21" i="2" a="1"/>
  <c r="AD9" i="2" a="1"/>
  <c r="AI28" i="2" a="1"/>
  <c r="AF10" i="2" a="1"/>
  <c r="AM17" i="2" a="1"/>
  <c r="AK34" i="2" a="1"/>
  <c r="AA15" i="2" a="1"/>
  <c r="AB17" i="2" a="1"/>
  <c r="AE4" i="2" a="1"/>
  <c r="AL9" i="2" a="1"/>
  <c r="AB22" i="2" a="1"/>
  <c r="AF5" i="2" a="1"/>
  <c r="AI21" i="2" a="1"/>
  <c r="AH28" i="2" a="1"/>
  <c r="AC24" i="2" a="1"/>
  <c r="AN32" i="2" a="1"/>
  <c r="Y10" i="2" a="1"/>
  <c r="Z20" i="2" a="1"/>
  <c r="AF28" i="2" a="1"/>
  <c r="AL23" i="2" a="1"/>
  <c r="AL32" i="2" a="1"/>
  <c r="AC30" i="2" a="1"/>
  <c r="AE30" i="2" a="1"/>
  <c r="AM27" i="2" a="1"/>
  <c r="AL12" i="2" a="1"/>
  <c r="AF20" i="2" a="1"/>
  <c r="AJ28" i="2" a="1"/>
  <c r="AL7" i="2" a="1"/>
  <c r="AC8" i="2" a="1"/>
  <c r="AF32" i="2" a="1"/>
  <c r="AG25" i="2" a="1"/>
  <c r="AK7" i="2" a="1"/>
  <c r="Y4" i="2" a="1"/>
  <c r="AE28" i="2" a="1"/>
  <c r="AD5" i="2" a="1"/>
  <c r="AK24" i="2" a="1"/>
  <c r="AH33" i="2" a="1"/>
  <c r="AC28" i="2" a="1"/>
  <c r="AK28" i="2" a="1"/>
  <c r="AJ34" i="2" a="1"/>
  <c r="AH16" i="2" a="1"/>
  <c r="AA31" i="2" a="1"/>
  <c r="AH25" i="2" a="1"/>
  <c r="AA11" i="2" a="1"/>
  <c r="AE19" i="2" a="1"/>
  <c r="AJ29" i="2" a="1"/>
  <c r="AG30" i="2" a="1"/>
  <c r="AC12" i="2" a="1"/>
  <c r="AG7" i="2" a="1"/>
  <c r="AH31" i="2" a="1"/>
  <c r="AG8" i="2" a="1"/>
  <c r="AN14" i="2" a="1"/>
  <c r="AD17" i="2" a="1"/>
  <c r="AN18" i="2" a="1"/>
  <c r="AB10" i="2" a="1"/>
  <c r="Z9" i="2" a="1"/>
  <c r="AN27" i="2" a="1"/>
  <c r="AG32" i="2" a="1"/>
  <c r="AL8" i="2" a="1"/>
  <c r="AD21" i="2" a="1"/>
  <c r="AG26" i="2" a="1"/>
  <c r="AJ22" i="2" a="1"/>
  <c r="AK33" i="2" a="1"/>
  <c r="AJ14" i="2" a="1"/>
  <c r="AH18" i="2" a="1"/>
  <c r="AL15" i="2" a="1"/>
  <c r="AB34" i="2" a="1"/>
  <c r="AI8" i="2" a="1"/>
  <c r="AL24" i="2" a="1"/>
  <c r="AA6" i="2" a="1"/>
  <c r="AB32" i="2" a="1"/>
  <c r="AJ7" i="2" a="1"/>
  <c r="AL17" i="2" a="1"/>
  <c r="E65" i="1" a="1"/>
  <c r="AC11" i="2" a="1"/>
  <c r="AA28" i="2" a="1"/>
  <c r="AC10" i="2" a="1"/>
  <c r="AH29" i="2" a="1"/>
  <c r="AB16" i="2" a="1"/>
  <c r="AE23" i="2" a="1"/>
  <c r="AG20" i="2" a="1"/>
  <c r="Y30" i="2" l="1"/>
  <c r="AI28" i="2"/>
  <c r="AE13" i="2"/>
  <c r="AN19" i="2"/>
  <c r="AJ12" i="2"/>
  <c r="Z13" i="2"/>
  <c r="AF11" i="2"/>
  <c r="AB24" i="2"/>
  <c r="AE26" i="2"/>
  <c r="AH24" i="2"/>
  <c r="AC21" i="2"/>
  <c r="AC23" i="2"/>
  <c r="AA29" i="2"/>
  <c r="Z15" i="2"/>
  <c r="AK20" i="2"/>
  <c r="AA5" i="2"/>
  <c r="AG28" i="2"/>
  <c r="AA26" i="2"/>
  <c r="AC17" i="2"/>
  <c r="AH20" i="2"/>
  <c r="AH7" i="2"/>
  <c r="AL13" i="2"/>
  <c r="AG8" i="2"/>
  <c r="AG16" i="2"/>
  <c r="AN5" i="2"/>
  <c r="Y8" i="2"/>
  <c r="AL19" i="2"/>
  <c r="AG22" i="2"/>
  <c r="AI12" i="2"/>
  <c r="AF30" i="2"/>
  <c r="AI31" i="2"/>
  <c r="AM10" i="2"/>
  <c r="AJ34" i="2"/>
  <c r="Y19" i="2"/>
  <c r="AF6" i="2"/>
  <c r="AA8" i="2"/>
  <c r="AB23" i="2"/>
  <c r="AL17" i="2"/>
  <c r="AJ19" i="2"/>
  <c r="AH23" i="2"/>
  <c r="AC7" i="2"/>
  <c r="AF33" i="2"/>
  <c r="Y26" i="2"/>
  <c r="AA20" i="2"/>
  <c r="AM25" i="2"/>
  <c r="AH18" i="2"/>
  <c r="AC24" i="2"/>
  <c r="AL32" i="2"/>
  <c r="AN10" i="2"/>
  <c r="AG5" i="2"/>
  <c r="AA13" i="2"/>
  <c r="AK31" i="2"/>
  <c r="Z14" i="2"/>
  <c r="AN12" i="2"/>
  <c r="AJ18" i="2"/>
  <c r="AG7" i="2"/>
  <c r="AN8" i="2"/>
  <c r="AB10" i="2"/>
  <c r="AC28" i="2"/>
  <c r="AL20" i="2"/>
  <c r="AN14" i="2"/>
  <c r="AE6" i="2"/>
  <c r="AN27" i="2"/>
  <c r="AN32" i="2"/>
  <c r="AD18" i="2"/>
  <c r="Y31" i="2"/>
  <c r="AF15" i="2"/>
  <c r="AJ4" i="2"/>
  <c r="Y22" i="2"/>
  <c r="AG34" i="2"/>
  <c r="Z16" i="2"/>
  <c r="AC9" i="2"/>
  <c r="Y7" i="2"/>
  <c r="AE30" i="2"/>
  <c r="AF22" i="2"/>
  <c r="AL33" i="2"/>
  <c r="AK24" i="2"/>
  <c r="AD21" i="2"/>
  <c r="AK32" i="2"/>
  <c r="AG18" i="2"/>
  <c r="AC13" i="2"/>
  <c r="AJ10" i="2"/>
  <c r="AJ11" i="2"/>
  <c r="AA16" i="2"/>
  <c r="AE17" i="2"/>
  <c r="AE14" i="2"/>
  <c r="AF10" i="2"/>
  <c r="AD30" i="2"/>
  <c r="AD27" i="2"/>
  <c r="AB17" i="2"/>
  <c r="AI10" i="2"/>
  <c r="AK4" i="2"/>
  <c r="Y5" i="2"/>
  <c r="AH30" i="2"/>
  <c r="AD11" i="2"/>
  <c r="AM31" i="2"/>
  <c r="AN15" i="2"/>
  <c r="Z12" i="2"/>
  <c r="AI18" i="2"/>
  <c r="AD5" i="2"/>
  <c r="AJ20" i="2"/>
  <c r="Z25" i="2"/>
  <c r="AB32" i="2"/>
  <c r="AC11" i="2"/>
  <c r="AN11" i="2"/>
  <c r="AM26" i="2"/>
  <c r="AL12" i="2"/>
  <c r="AL9" i="2"/>
  <c r="AM12" i="2"/>
  <c r="AH33" i="2"/>
  <c r="AJ27" i="2"/>
  <c r="Y13" i="2"/>
  <c r="AC32" i="2"/>
  <c r="AG15" i="2"/>
  <c r="AK9" i="2"/>
  <c r="AK22" i="2"/>
  <c r="AN22" i="2"/>
  <c r="AL21" i="2"/>
  <c r="Z20" i="2"/>
  <c r="AB29" i="2"/>
  <c r="Y4" i="2"/>
  <c r="AA7" i="2"/>
  <c r="AJ22" i="2"/>
  <c r="U5" i="2"/>
  <c r="AC33" i="2"/>
  <c r="AC19" i="2"/>
  <c r="AC26" i="2"/>
  <c r="AD24" i="2"/>
  <c r="AB13" i="2"/>
  <c r="AK13" i="2"/>
  <c r="AK16" i="2"/>
  <c r="AH31" i="2"/>
  <c r="AJ15" i="2"/>
  <c r="AI32" i="2"/>
  <c r="AB9" i="2"/>
  <c r="AI11" i="2"/>
  <c r="AG32" i="2"/>
  <c r="Y12" i="2"/>
  <c r="AM18" i="2"/>
  <c r="AF4" i="2"/>
  <c r="AB7" i="2"/>
  <c r="AK7" i="2"/>
  <c r="AM8" i="2"/>
  <c r="AL18" i="2"/>
  <c r="AL6" i="2"/>
  <c r="Z6" i="2"/>
  <c r="AB25" i="2"/>
  <c r="Y32" i="2"/>
  <c r="Y6" i="2"/>
  <c r="Z17" i="2"/>
  <c r="AJ26" i="2"/>
  <c r="AK26" i="2"/>
  <c r="AF13" i="2"/>
  <c r="AE19" i="2"/>
  <c r="E68" i="1"/>
  <c r="U6" i="2"/>
  <c r="AN21" i="2"/>
  <c r="AD22" i="2"/>
  <c r="AB26" i="2"/>
  <c r="AK34" i="2"/>
  <c r="AN16" i="2"/>
  <c r="AF12" i="2"/>
  <c r="AD31" i="2"/>
  <c r="AC27" i="2"/>
  <c r="AJ13" i="2"/>
  <c r="Y15" i="2"/>
  <c r="AE4" i="2"/>
  <c r="AE16" i="2"/>
  <c r="AD33" i="2"/>
  <c r="AE23" i="2"/>
  <c r="AD28" i="2"/>
  <c r="AA10" i="2"/>
  <c r="AJ8" i="2"/>
  <c r="AA19" i="2"/>
  <c r="AL34" i="2"/>
  <c r="Y16" i="2"/>
  <c r="AH6" i="2"/>
  <c r="AM14" i="2"/>
  <c r="AM9" i="2"/>
  <c r="AH4" i="2"/>
  <c r="AF5" i="2"/>
  <c r="AJ31" i="2"/>
  <c r="AN23" i="2"/>
  <c r="AD17" i="2"/>
  <c r="Y18" i="2"/>
  <c r="AD6" i="2"/>
  <c r="AI20" i="2"/>
  <c r="Z30" i="2"/>
  <c r="AH14" i="2"/>
  <c r="AA9" i="2"/>
  <c r="AE32" i="2"/>
  <c r="AK21" i="2"/>
  <c r="AM21" i="2"/>
  <c r="AJ33" i="2"/>
  <c r="AB15" i="2"/>
  <c r="AH26" i="2"/>
  <c r="AJ23" i="2"/>
  <c r="AG19" i="2"/>
  <c r="AH22" i="2"/>
  <c r="AC34" i="2"/>
  <c r="AM29" i="2"/>
  <c r="AL24" i="2"/>
  <c r="Y11" i="2"/>
  <c r="Y21" i="2"/>
  <c r="AK12" i="2"/>
  <c r="AK5" i="2"/>
  <c r="AH11" i="2"/>
  <c r="AF9" i="2"/>
  <c r="AL25" i="2"/>
  <c r="AF25" i="2"/>
  <c r="AE7" i="2"/>
  <c r="AB21" i="2"/>
  <c r="AB8" i="2"/>
  <c r="AF17" i="2"/>
  <c r="AF16" i="2"/>
  <c r="AJ28" i="2"/>
  <c r="AA14" i="2"/>
  <c r="AM34" i="2"/>
  <c r="AE11" i="2"/>
  <c r="AJ30" i="2"/>
  <c r="AN26" i="2"/>
  <c r="AK18" i="2"/>
  <c r="AF34" i="2"/>
  <c r="AA6" i="2"/>
  <c r="AG23" i="2"/>
  <c r="AC29" i="2"/>
  <c r="AG30" i="2"/>
  <c r="Z8" i="2"/>
  <c r="AG10" i="2"/>
  <c r="AI6" i="2"/>
  <c r="E64" i="1"/>
  <c r="AN20" i="2"/>
  <c r="AE24" i="2"/>
  <c r="Z10" i="2"/>
  <c r="AF26" i="2"/>
  <c r="AA21" i="2"/>
  <c r="AE31" i="2"/>
  <c r="AI21" i="2"/>
  <c r="AI29" i="2"/>
  <c r="AH16" i="2"/>
  <c r="AH10" i="2"/>
  <c r="AI4" i="2"/>
  <c r="AG27" i="2"/>
  <c r="AE18" i="2"/>
  <c r="AF31" i="2"/>
  <c r="AM4" i="2"/>
  <c r="Z9" i="2"/>
  <c r="AD9" i="2"/>
  <c r="Z28" i="2"/>
  <c r="AA4" i="2"/>
  <c r="AB14" i="2"/>
  <c r="AB22" i="2"/>
  <c r="AB11" i="2"/>
  <c r="AG12" i="2"/>
  <c r="Y24" i="2"/>
  <c r="Z22" i="2"/>
  <c r="AN33" i="2"/>
  <c r="Z34" i="2"/>
  <c r="AI16" i="2"/>
  <c r="AB12" i="2"/>
  <c r="AJ9" i="2"/>
  <c r="AF29" i="2"/>
  <c r="E65" i="1"/>
  <c r="AA32" i="2"/>
  <c r="AF32" i="2"/>
  <c r="AJ5" i="2"/>
  <c r="AL11" i="2"/>
  <c r="AC10" i="2"/>
  <c r="AG29" i="2"/>
  <c r="AM28" i="2"/>
  <c r="Y34" i="2"/>
  <c r="AD14" i="2"/>
  <c r="AB34" i="2"/>
  <c r="Y33" i="2"/>
  <c r="AG24" i="2"/>
  <c r="AL26" i="2"/>
  <c r="AL8" i="2"/>
  <c r="AK10" i="2"/>
  <c r="Z5" i="2"/>
  <c r="AI33" i="2"/>
  <c r="AN28" i="2"/>
  <c r="AM5" i="2"/>
  <c r="AJ32" i="2"/>
  <c r="AG11" i="2"/>
  <c r="AI27" i="2"/>
  <c r="AM7" i="2"/>
  <c r="AI30" i="2"/>
  <c r="Z26" i="2"/>
  <c r="AL27" i="2"/>
  <c r="AM19" i="2"/>
  <c r="AL16" i="2"/>
  <c r="AM23" i="2"/>
  <c r="AL7" i="2"/>
  <c r="AL28" i="2"/>
  <c r="AA24" i="2"/>
  <c r="Z7" i="2"/>
  <c r="AI8" i="2"/>
  <c r="AI19" i="2"/>
  <c r="AK33" i="2"/>
  <c r="AD10" i="2"/>
  <c r="AD32" i="2"/>
  <c r="AK8" i="2"/>
  <c r="AJ25" i="2"/>
  <c r="Y23" i="2"/>
  <c r="AE10" i="2"/>
  <c r="AD12" i="2"/>
  <c r="AL31" i="2"/>
  <c r="AJ21" i="2"/>
  <c r="Y20" i="2"/>
  <c r="AI26" i="2"/>
  <c r="AC8" i="2"/>
  <c r="AC4" i="2"/>
  <c r="AA33" i="2"/>
  <c r="AE5" i="2"/>
  <c r="AE28" i="2"/>
  <c r="AG26" i="2"/>
  <c r="AN9" i="2"/>
  <c r="Y28" i="2"/>
  <c r="AK28" i="2"/>
  <c r="AM22" i="2"/>
  <c r="AG20" i="2"/>
  <c r="AL30" i="2"/>
  <c r="AE25" i="2"/>
  <c r="Y14" i="2"/>
  <c r="AE33" i="2"/>
  <c r="AA30" i="2"/>
  <c r="AJ17" i="2"/>
  <c r="AN25" i="2"/>
  <c r="Z21" i="2"/>
  <c r="U8" i="2"/>
  <c r="AM33" i="2"/>
  <c r="AB28" i="2"/>
  <c r="AD25" i="2"/>
  <c r="AH27" i="2"/>
  <c r="AE34" i="2"/>
  <c r="AF24" i="2"/>
  <c r="Z31" i="2"/>
  <c r="AJ6" i="2"/>
  <c r="AE22" i="2"/>
  <c r="AN30" i="2"/>
  <c r="AG25" i="2"/>
  <c r="AB27" i="2"/>
  <c r="AB4" i="2"/>
  <c r="AG33" i="2"/>
  <c r="Z24" i="2"/>
  <c r="AK11" i="2"/>
  <c r="AF14" i="2"/>
  <c r="Z32" i="2"/>
  <c r="AM15" i="2"/>
  <c r="AD34" i="2"/>
  <c r="AN31" i="2"/>
  <c r="AB30" i="2"/>
  <c r="AD20" i="2"/>
  <c r="AB16" i="2"/>
  <c r="AK19" i="2"/>
  <c r="AF8" i="2"/>
  <c r="AF20" i="2"/>
  <c r="AN17" i="2"/>
  <c r="E66" i="1"/>
  <c r="AJ29" i="2"/>
  <c r="AI23" i="2"/>
  <c r="AB31" i="2"/>
  <c r="AI34" i="2"/>
  <c r="AA25" i="2"/>
  <c r="AA18" i="2"/>
  <c r="AH9" i="2"/>
  <c r="AE21" i="2"/>
  <c r="AD29" i="2"/>
  <c r="AN6" i="2"/>
  <c r="AB5" i="2"/>
  <c r="AM13" i="2"/>
  <c r="AB18" i="2"/>
  <c r="AL22" i="2"/>
  <c r="AI9" i="2"/>
  <c r="AB20" i="2"/>
  <c r="AA23" i="2"/>
  <c r="AM27" i="2"/>
  <c r="AG6" i="2"/>
  <c r="AJ16" i="2"/>
  <c r="Z33" i="2"/>
  <c r="AE8" i="2"/>
  <c r="Z11" i="2"/>
  <c r="AA31" i="2"/>
  <c r="AB6" i="2"/>
  <c r="AM20" i="2"/>
  <c r="AH25" i="2"/>
  <c r="AA22" i="2"/>
  <c r="AE20" i="2"/>
  <c r="AC25" i="2"/>
  <c r="AD7" i="2"/>
  <c r="AH32" i="2"/>
  <c r="AN34" i="2"/>
  <c r="AM17" i="2"/>
  <c r="AK6" i="2"/>
  <c r="AB19" i="2"/>
  <c r="AF21" i="2"/>
  <c r="AM16" i="2"/>
  <c r="AD4" i="2"/>
  <c r="AB33" i="2"/>
  <c r="AJ7" i="2"/>
  <c r="AC30" i="2"/>
  <c r="AI25" i="2"/>
  <c r="Z19" i="2"/>
  <c r="AK15" i="2"/>
  <c r="AG13" i="2"/>
  <c r="AA15" i="2"/>
  <c r="AE12" i="2"/>
  <c r="AF28" i="2"/>
  <c r="AA11" i="2"/>
  <c r="AM24" i="2"/>
  <c r="AC15" i="2"/>
  <c r="AN18" i="2"/>
  <c r="AH13" i="2"/>
  <c r="Y27" i="2"/>
  <c r="Y10" i="2"/>
  <c r="Z23" i="2"/>
  <c r="Z29" i="2"/>
  <c r="AC6" i="2"/>
  <c r="AL23" i="2"/>
  <c r="AH28" i="2"/>
  <c r="AI14" i="2"/>
  <c r="AH29" i="2"/>
  <c r="AC22" i="2"/>
  <c r="AC16" i="2"/>
  <c r="AC31" i="2"/>
  <c r="AK17" i="2"/>
  <c r="Z4" i="2"/>
  <c r="AE9" i="2"/>
  <c r="AJ14" i="2"/>
  <c r="AD15" i="2"/>
  <c r="AK27" i="2"/>
  <c r="AK14" i="2"/>
  <c r="AG21" i="2"/>
  <c r="AH17" i="2"/>
  <c r="Z27" i="2"/>
  <c r="AH15" i="2"/>
  <c r="AF23" i="2"/>
  <c r="AC18" i="2"/>
  <c r="AI22" i="2"/>
  <c r="AA12" i="2"/>
  <c r="AI24" i="2"/>
  <c r="AG31" i="2"/>
  <c r="AI15" i="2"/>
  <c r="Y25" i="2"/>
  <c r="AN29" i="2"/>
  <c r="AG14" i="2"/>
  <c r="AD19" i="2"/>
  <c r="AM11" i="2"/>
  <c r="E67" i="1"/>
  <c r="AN7" i="2"/>
  <c r="AG9" i="2"/>
  <c r="AC5" i="2"/>
  <c r="AK25" i="2"/>
  <c r="AD8" i="2"/>
  <c r="AH21" i="2"/>
  <c r="AM6" i="2"/>
  <c r="AD23" i="2"/>
  <c r="AL5" i="2"/>
  <c r="AA17" i="2"/>
  <c r="AL29" i="2"/>
  <c r="AK30" i="2"/>
  <c r="Z18" i="2"/>
  <c r="AA28" i="2"/>
  <c r="AN24" i="2"/>
  <c r="AI17" i="2"/>
  <c r="AC12" i="2"/>
  <c r="AF19" i="2"/>
  <c r="Y29" i="2"/>
  <c r="AI7" i="2"/>
  <c r="AJ24" i="2"/>
  <c r="AD26" i="2"/>
  <c r="AD16" i="2"/>
  <c r="AL10" i="2"/>
  <c r="AI5" i="2"/>
  <c r="AN4" i="2"/>
  <c r="AF27" i="2"/>
  <c r="AI13" i="2"/>
  <c r="AA27" i="2"/>
  <c r="AK29" i="2"/>
  <c r="AH34" i="2"/>
  <c r="AG4" i="2"/>
  <c r="U4" i="2"/>
  <c r="AH5" i="2"/>
  <c r="AF18" i="2"/>
  <c r="AH8" i="2"/>
  <c r="AL15" i="2"/>
  <c r="AH12" i="2"/>
  <c r="K6" i="2" a="1"/>
  <c r="K6" i="2" s="1"/>
  <c r="T6" i="2" a="1"/>
  <c r="T6" i="2" s="1"/>
  <c r="Q6" i="2" a="1"/>
  <c r="Q6" i="2" s="1"/>
  <c r="U7" i="2"/>
  <c r="M6" i="2"/>
  <c r="L6" i="2"/>
  <c r="S4" i="2"/>
  <c r="L4" i="2"/>
  <c r="K4" i="2"/>
  <c r="M4" i="2"/>
  <c r="R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<sst xmlns="http://schemas.openxmlformats.org/spreadsheetml/2006/main" count="152" uniqueCount="46">
  <si>
    <t>Depth</t>
    <phoneticPr fontId="1"/>
  </si>
  <si>
    <t>CD</t>
    <phoneticPr fontId="1"/>
  </si>
  <si>
    <t>[um]</t>
    <phoneticPr fontId="1"/>
  </si>
  <si>
    <t>Sample ID</t>
    <phoneticPr fontId="1"/>
  </si>
  <si>
    <t>No.</t>
    <phoneticPr fontId="1"/>
  </si>
  <si>
    <t>Profile</t>
    <phoneticPr fontId="1"/>
  </si>
  <si>
    <t>Hard Mask</t>
    <phoneticPr fontId="1"/>
  </si>
  <si>
    <t>HM loss</t>
    <phoneticPr fontId="1"/>
  </si>
  <si>
    <t>dense</t>
    <phoneticPr fontId="1"/>
  </si>
  <si>
    <t>iso</t>
    <phoneticPr fontId="1"/>
  </si>
  <si>
    <t>loading</t>
    <phoneticPr fontId="1"/>
  </si>
  <si>
    <t>(max-top)/2</t>
    <phoneticPr fontId="1"/>
  </si>
  <si>
    <t>(top-mid)/2</t>
    <phoneticPr fontId="1"/>
  </si>
  <si>
    <t>remain</t>
    <phoneticPr fontId="1"/>
  </si>
  <si>
    <t>shoulder</t>
    <phoneticPr fontId="1"/>
  </si>
  <si>
    <t>top</t>
    <phoneticPr fontId="1"/>
  </si>
  <si>
    <t>middle</t>
    <phoneticPr fontId="1"/>
  </si>
  <si>
    <t>bottom</t>
    <phoneticPr fontId="1"/>
  </si>
  <si>
    <t>bowing</t>
    <phoneticPr fontId="1"/>
  </si>
  <si>
    <t>taper</t>
    <phoneticPr fontId="1"/>
  </si>
  <si>
    <t>[um]</t>
  </si>
  <si>
    <t>[nm]</t>
    <phoneticPr fontId="1"/>
  </si>
  <si>
    <t>Ref.</t>
    <phoneticPr fontId="1"/>
  </si>
  <si>
    <t>Vendor</t>
    <phoneticPr fontId="1"/>
  </si>
  <si>
    <t>Model</t>
    <phoneticPr fontId="1"/>
  </si>
  <si>
    <t>RF (Bias)
[W]</t>
    <phoneticPr fontId="1"/>
  </si>
  <si>
    <t>Pres.
[mT]</t>
    <phoneticPr fontId="1"/>
  </si>
  <si>
    <t>RF (Plasma)
[W]</t>
    <phoneticPr fontId="1"/>
  </si>
  <si>
    <t>Temp.
[deg.C]</t>
    <phoneticPr fontId="1"/>
  </si>
  <si>
    <t>Gas
[sccm]</t>
    <phoneticPr fontId="1"/>
  </si>
  <si>
    <t>Other</t>
    <phoneticPr fontId="1"/>
  </si>
  <si>
    <t>[mT]</t>
    <phoneticPr fontId="1"/>
  </si>
  <si>
    <t>[W]</t>
    <phoneticPr fontId="1"/>
  </si>
  <si>
    <t>[deg.C]</t>
    <phoneticPr fontId="1"/>
  </si>
  <si>
    <t>[sccm]</t>
    <phoneticPr fontId="1"/>
  </si>
  <si>
    <t>Graph</t>
    <phoneticPr fontId="1"/>
  </si>
  <si>
    <t>measurement data</t>
    <phoneticPr fontId="1"/>
  </si>
  <si>
    <t>Radian</t>
    <phoneticPr fontId="1"/>
  </si>
  <si>
    <t>rsinθ</t>
    <phoneticPr fontId="1"/>
  </si>
  <si>
    <t>rcosθ</t>
    <phoneticPr fontId="1"/>
  </si>
  <si>
    <t>tanθ</t>
    <phoneticPr fontId="1"/>
  </si>
  <si>
    <t>Angle θ
[deg.]</t>
    <phoneticPr fontId="1"/>
  </si>
  <si>
    <t>r</t>
    <phoneticPr fontId="1"/>
  </si>
  <si>
    <t>mask top CD</t>
    <phoneticPr fontId="1"/>
  </si>
  <si>
    <t>SiO2 CD
[um]</t>
    <phoneticPr fontId="1"/>
  </si>
  <si>
    <t>Note; "CD" means space CD (trench width)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</si>
</sst>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8"/>
      <color theme="1"/>
      <name val="Times New Roman"/>
      <family val="1"/>
    </font>
    <font>
      <sz val="9"/>
      <color theme="1"/>
      <name val="Times New Roman"/>
      <family val="1"/>
    </font>
    <font>
      <sz val="6"/>
      <color theme="1"/>
      <name val="Times New Roman"/>
      <family val="1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8"/>
      <color theme="1"/>
      <name val="Times New Roman"/>
      <family val="1"/>
    </font>
    <font>
      <sz val="10"/>
      <color theme="0"/>
      <name val="ＭＳ Ｐゴシック"/>
      <family val="2"/>
      <charset val="128"/>
      <scheme val="minor"/>
    </font>
    <font>
      <b/>
      <sz val="9"/>
      <color rgb="FF0000FF"/>
      <name val="Times New Roman"/>
      <family val="1"/>
    </font>
    <font>
      <b/>
      <sz val="9"/>
      <color rgb="FFFF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ck">
        <color auto="1"/>
      </top>
      <bottom style="double">
        <color indexed="64"/>
      </bottom>
      <diagonal/>
    </border>
    <border>
      <left style="thin">
        <color theme="0"/>
      </left>
      <right style="thick">
        <color auto="1"/>
      </right>
      <top style="thick">
        <color auto="1"/>
      </top>
      <bottom style="double">
        <color indexed="64"/>
      </bottom>
      <diagonal/>
    </border>
    <border>
      <left style="thick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ck">
        <color auto="1"/>
      </right>
      <top style="double">
        <color indexed="64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ck">
        <color theme="0"/>
      </left>
      <right style="thin">
        <color theme="0"/>
      </right>
      <top style="thick">
        <color auto="1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3" fillId="2" borderId="6" xfId="0" applyFont="1" applyFill="1" applyBorder="1">
      <alignment vertical="center"/>
    </xf>
    <xf numFmtId="0" fontId="3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>
      <alignment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/>
    </xf>
    <xf numFmtId="0" fontId="6" fillId="0" borderId="17" xfId="0" applyFont="1" applyBorder="1">
      <alignment vertical="center"/>
    </xf>
    <xf numFmtId="0" fontId="6" fillId="0" borderId="19" xfId="0" applyFont="1" applyBorder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3" fillId="0" borderId="4" xfId="0" applyFont="1" applyBorder="1">
      <alignment vertical="center"/>
    </xf>
    <xf numFmtId="0" fontId="10" fillId="3" borderId="1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4" fillId="2" borderId="13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0" borderId="9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Profile!$E$17:$E$47</c:f>
              <c:numCache>
                <c:formatCode>General</c:formatCode>
                <c:ptCount val="31"/>
              </c:numCache>
            </c:numRef>
          </c:xVal>
          <c:yVal>
            <c:numRef>
              <c:f>Profile!$D$17:$D$47</c:f>
              <c:numCache>
                <c:formatCode>General</c:formatCode>
                <c:ptCount val="31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-0.3</c:v>
                </c:pt>
                <c:pt idx="4">
                  <c:v>-0.4</c:v>
                </c:pt>
                <c:pt idx="5">
                  <c:v>-0.5</c:v>
                </c:pt>
                <c:pt idx="6">
                  <c:v>-0.6</c:v>
                </c:pt>
                <c:pt idx="7">
                  <c:v>-0.7</c:v>
                </c:pt>
                <c:pt idx="8">
                  <c:v>-0.8</c:v>
                </c:pt>
                <c:pt idx="9">
                  <c:v>-0.9</c:v>
                </c:pt>
                <c:pt idx="10">
                  <c:v>-1</c:v>
                </c:pt>
                <c:pt idx="11">
                  <c:v>-1.1000000000000001</c:v>
                </c:pt>
                <c:pt idx="12">
                  <c:v>-1.2</c:v>
                </c:pt>
                <c:pt idx="13">
                  <c:v>-1.3</c:v>
                </c:pt>
                <c:pt idx="14">
                  <c:v>-1.4</c:v>
                </c:pt>
                <c:pt idx="15">
                  <c:v>-1.5</c:v>
                </c:pt>
                <c:pt idx="16">
                  <c:v>-1.6</c:v>
                </c:pt>
                <c:pt idx="17">
                  <c:v>-1.7</c:v>
                </c:pt>
                <c:pt idx="18">
                  <c:v>-1.8</c:v>
                </c:pt>
                <c:pt idx="19">
                  <c:v>-1.9</c:v>
                </c:pt>
                <c:pt idx="20">
                  <c:v>-2</c:v>
                </c:pt>
                <c:pt idx="21">
                  <c:v>-2.1</c:v>
                </c:pt>
                <c:pt idx="22">
                  <c:v>-2.2000000000000002</c:v>
                </c:pt>
                <c:pt idx="23">
                  <c:v>-2.2999999999999998</c:v>
                </c:pt>
                <c:pt idx="24">
                  <c:v>-2.4</c:v>
                </c:pt>
                <c:pt idx="25">
                  <c:v>-2.5</c:v>
                </c:pt>
                <c:pt idx="26">
                  <c:v>-2.6</c:v>
                </c:pt>
                <c:pt idx="27">
                  <c:v>-2.7</c:v>
                </c:pt>
                <c:pt idx="28">
                  <c:v>-2.8</c:v>
                </c:pt>
                <c:pt idx="29">
                  <c:v>-2.9</c:v>
                </c:pt>
                <c:pt idx="3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7E-4087-92A6-2A0463EC1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27087"/>
        <c:axId val="617129999"/>
      </c:scatterChart>
      <c:valAx>
        <c:axId val="617127087"/>
        <c:scaling>
          <c:orientation val="minMax"/>
          <c:max val="0.9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CD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7129999"/>
        <c:crossesAt val="0"/>
        <c:crossBetween val="midCat"/>
        <c:majorUnit val="0.1"/>
      </c:valAx>
      <c:valAx>
        <c:axId val="617129999"/>
        <c:scaling>
          <c:orientation val="minMax"/>
          <c:min val="-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7127087"/>
        <c:crosses val="autoZero"/>
        <c:crossBetween val="midCat"/>
        <c:majorUnit val="0.2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700" b="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Profile!$F$17:$F$47</c:f>
              <c:numCache>
                <c:formatCode>General</c:formatCode>
                <c:ptCount val="31"/>
              </c:numCache>
            </c:numRef>
          </c:xVal>
          <c:yVal>
            <c:numRef>
              <c:f>Profile!$D$17:$D$47</c:f>
              <c:numCache>
                <c:formatCode>General</c:formatCode>
                <c:ptCount val="31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-0.3</c:v>
                </c:pt>
                <c:pt idx="4">
                  <c:v>-0.4</c:v>
                </c:pt>
                <c:pt idx="5">
                  <c:v>-0.5</c:v>
                </c:pt>
                <c:pt idx="6">
                  <c:v>-0.6</c:v>
                </c:pt>
                <c:pt idx="7">
                  <c:v>-0.7</c:v>
                </c:pt>
                <c:pt idx="8">
                  <c:v>-0.8</c:v>
                </c:pt>
                <c:pt idx="9">
                  <c:v>-0.9</c:v>
                </c:pt>
                <c:pt idx="10">
                  <c:v>-1</c:v>
                </c:pt>
                <c:pt idx="11">
                  <c:v>-1.1000000000000001</c:v>
                </c:pt>
                <c:pt idx="12">
                  <c:v>-1.2</c:v>
                </c:pt>
                <c:pt idx="13">
                  <c:v>-1.3</c:v>
                </c:pt>
                <c:pt idx="14">
                  <c:v>-1.4</c:v>
                </c:pt>
                <c:pt idx="15">
                  <c:v>-1.5</c:v>
                </c:pt>
                <c:pt idx="16">
                  <c:v>-1.6</c:v>
                </c:pt>
                <c:pt idx="17">
                  <c:v>-1.7</c:v>
                </c:pt>
                <c:pt idx="18">
                  <c:v>-1.8</c:v>
                </c:pt>
                <c:pt idx="19">
                  <c:v>-1.9</c:v>
                </c:pt>
                <c:pt idx="20">
                  <c:v>-2</c:v>
                </c:pt>
                <c:pt idx="21">
                  <c:v>-2.1</c:v>
                </c:pt>
                <c:pt idx="22">
                  <c:v>-2.2000000000000002</c:v>
                </c:pt>
                <c:pt idx="23">
                  <c:v>-2.2999999999999998</c:v>
                </c:pt>
                <c:pt idx="24">
                  <c:v>-2.4</c:v>
                </c:pt>
                <c:pt idx="25">
                  <c:v>-2.5</c:v>
                </c:pt>
                <c:pt idx="26">
                  <c:v>-2.6</c:v>
                </c:pt>
                <c:pt idx="27">
                  <c:v>-2.7</c:v>
                </c:pt>
                <c:pt idx="28">
                  <c:v>-2.8</c:v>
                </c:pt>
                <c:pt idx="29">
                  <c:v>-2.9</c:v>
                </c:pt>
                <c:pt idx="3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01-4CF7-9ED1-8274E0B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27087"/>
        <c:axId val="617129999"/>
      </c:scatterChart>
      <c:valAx>
        <c:axId val="617127087"/>
        <c:scaling>
          <c:orientation val="minMax"/>
          <c:max val="0.9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CD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7129999"/>
        <c:crossesAt val="0"/>
        <c:crossBetween val="midCat"/>
        <c:majorUnit val="0.1"/>
      </c:valAx>
      <c:valAx>
        <c:axId val="617129999"/>
        <c:scaling>
          <c:orientation val="minMax"/>
          <c:min val="-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7127087"/>
        <c:crosses val="autoZero"/>
        <c:crossBetween val="midCat"/>
        <c:majorUnit val="0.2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700" b="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Profile!$G$17:$G$47</c:f>
              <c:numCache>
                <c:formatCode>General</c:formatCode>
                <c:ptCount val="31"/>
              </c:numCache>
            </c:numRef>
          </c:xVal>
          <c:yVal>
            <c:numRef>
              <c:f>Profile!$D$17:$D$47</c:f>
              <c:numCache>
                <c:formatCode>General</c:formatCode>
                <c:ptCount val="31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-0.3</c:v>
                </c:pt>
                <c:pt idx="4">
                  <c:v>-0.4</c:v>
                </c:pt>
                <c:pt idx="5">
                  <c:v>-0.5</c:v>
                </c:pt>
                <c:pt idx="6">
                  <c:v>-0.6</c:v>
                </c:pt>
                <c:pt idx="7">
                  <c:v>-0.7</c:v>
                </c:pt>
                <c:pt idx="8">
                  <c:v>-0.8</c:v>
                </c:pt>
                <c:pt idx="9">
                  <c:v>-0.9</c:v>
                </c:pt>
                <c:pt idx="10">
                  <c:v>-1</c:v>
                </c:pt>
                <c:pt idx="11">
                  <c:v>-1.1000000000000001</c:v>
                </c:pt>
                <c:pt idx="12">
                  <c:v>-1.2</c:v>
                </c:pt>
                <c:pt idx="13">
                  <c:v>-1.3</c:v>
                </c:pt>
                <c:pt idx="14">
                  <c:v>-1.4</c:v>
                </c:pt>
                <c:pt idx="15">
                  <c:v>-1.5</c:v>
                </c:pt>
                <c:pt idx="16">
                  <c:v>-1.6</c:v>
                </c:pt>
                <c:pt idx="17">
                  <c:v>-1.7</c:v>
                </c:pt>
                <c:pt idx="18">
                  <c:v>-1.8</c:v>
                </c:pt>
                <c:pt idx="19">
                  <c:v>-1.9</c:v>
                </c:pt>
                <c:pt idx="20">
                  <c:v>-2</c:v>
                </c:pt>
                <c:pt idx="21">
                  <c:v>-2.1</c:v>
                </c:pt>
                <c:pt idx="22">
                  <c:v>-2.2000000000000002</c:v>
                </c:pt>
                <c:pt idx="23">
                  <c:v>-2.2999999999999998</c:v>
                </c:pt>
                <c:pt idx="24">
                  <c:v>-2.4</c:v>
                </c:pt>
                <c:pt idx="25">
                  <c:v>-2.5</c:v>
                </c:pt>
                <c:pt idx="26">
                  <c:v>-2.6</c:v>
                </c:pt>
                <c:pt idx="27">
                  <c:v>-2.7</c:v>
                </c:pt>
                <c:pt idx="28">
                  <c:v>-2.8</c:v>
                </c:pt>
                <c:pt idx="29">
                  <c:v>-2.9</c:v>
                </c:pt>
                <c:pt idx="3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C8-4B06-A8C2-E1044DA2C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27087"/>
        <c:axId val="617129999"/>
      </c:scatterChart>
      <c:valAx>
        <c:axId val="617127087"/>
        <c:scaling>
          <c:orientation val="minMax"/>
          <c:max val="0.9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CD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7129999"/>
        <c:crossesAt val="0"/>
        <c:crossBetween val="midCat"/>
        <c:majorUnit val="0.1"/>
      </c:valAx>
      <c:valAx>
        <c:axId val="617129999"/>
        <c:scaling>
          <c:orientation val="minMax"/>
          <c:min val="-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7127087"/>
        <c:crosses val="autoZero"/>
        <c:crossBetween val="midCat"/>
        <c:majorUnit val="0.2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700" b="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Profile!$H$17:$H$47</c:f>
              <c:numCache>
                <c:formatCode>General</c:formatCode>
                <c:ptCount val="31"/>
              </c:numCache>
            </c:numRef>
          </c:xVal>
          <c:yVal>
            <c:numRef>
              <c:f>Profile!$D$17:$D$47</c:f>
              <c:numCache>
                <c:formatCode>General</c:formatCode>
                <c:ptCount val="31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-0.3</c:v>
                </c:pt>
                <c:pt idx="4">
                  <c:v>-0.4</c:v>
                </c:pt>
                <c:pt idx="5">
                  <c:v>-0.5</c:v>
                </c:pt>
                <c:pt idx="6">
                  <c:v>-0.6</c:v>
                </c:pt>
                <c:pt idx="7">
                  <c:v>-0.7</c:v>
                </c:pt>
                <c:pt idx="8">
                  <c:v>-0.8</c:v>
                </c:pt>
                <c:pt idx="9">
                  <c:v>-0.9</c:v>
                </c:pt>
                <c:pt idx="10">
                  <c:v>-1</c:v>
                </c:pt>
                <c:pt idx="11">
                  <c:v>-1.1000000000000001</c:v>
                </c:pt>
                <c:pt idx="12">
                  <c:v>-1.2</c:v>
                </c:pt>
                <c:pt idx="13">
                  <c:v>-1.3</c:v>
                </c:pt>
                <c:pt idx="14">
                  <c:v>-1.4</c:v>
                </c:pt>
                <c:pt idx="15">
                  <c:v>-1.5</c:v>
                </c:pt>
                <c:pt idx="16">
                  <c:v>-1.6</c:v>
                </c:pt>
                <c:pt idx="17">
                  <c:v>-1.7</c:v>
                </c:pt>
                <c:pt idx="18">
                  <c:v>-1.8</c:v>
                </c:pt>
                <c:pt idx="19">
                  <c:v>-1.9</c:v>
                </c:pt>
                <c:pt idx="20">
                  <c:v>-2</c:v>
                </c:pt>
                <c:pt idx="21">
                  <c:v>-2.1</c:v>
                </c:pt>
                <c:pt idx="22">
                  <c:v>-2.2000000000000002</c:v>
                </c:pt>
                <c:pt idx="23">
                  <c:v>-2.2999999999999998</c:v>
                </c:pt>
                <c:pt idx="24">
                  <c:v>-2.4</c:v>
                </c:pt>
                <c:pt idx="25">
                  <c:v>-2.5</c:v>
                </c:pt>
                <c:pt idx="26">
                  <c:v>-2.6</c:v>
                </c:pt>
                <c:pt idx="27">
                  <c:v>-2.7</c:v>
                </c:pt>
                <c:pt idx="28">
                  <c:v>-2.8</c:v>
                </c:pt>
                <c:pt idx="29">
                  <c:v>-2.9</c:v>
                </c:pt>
                <c:pt idx="3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43-48DA-891D-9E7268BF0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27087"/>
        <c:axId val="617129999"/>
      </c:scatterChart>
      <c:valAx>
        <c:axId val="617127087"/>
        <c:scaling>
          <c:orientation val="minMax"/>
          <c:max val="0.9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CD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7129999"/>
        <c:crossesAt val="0"/>
        <c:crossBetween val="midCat"/>
        <c:majorUnit val="0.1"/>
      </c:valAx>
      <c:valAx>
        <c:axId val="617129999"/>
        <c:scaling>
          <c:orientation val="minMax"/>
          <c:min val="-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7127087"/>
        <c:crosses val="autoZero"/>
        <c:crossBetween val="midCat"/>
        <c:majorUnit val="0.2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700" b="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Profile!$I$17:$I$47</c:f>
              <c:numCache>
                <c:formatCode>General</c:formatCode>
                <c:ptCount val="31"/>
              </c:numCache>
            </c:numRef>
          </c:xVal>
          <c:yVal>
            <c:numRef>
              <c:f>Profile!$D$17:$D$47</c:f>
              <c:numCache>
                <c:formatCode>General</c:formatCode>
                <c:ptCount val="31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-0.3</c:v>
                </c:pt>
                <c:pt idx="4">
                  <c:v>-0.4</c:v>
                </c:pt>
                <c:pt idx="5">
                  <c:v>-0.5</c:v>
                </c:pt>
                <c:pt idx="6">
                  <c:v>-0.6</c:v>
                </c:pt>
                <c:pt idx="7">
                  <c:v>-0.7</c:v>
                </c:pt>
                <c:pt idx="8">
                  <c:v>-0.8</c:v>
                </c:pt>
                <c:pt idx="9">
                  <c:v>-0.9</c:v>
                </c:pt>
                <c:pt idx="10">
                  <c:v>-1</c:v>
                </c:pt>
                <c:pt idx="11">
                  <c:v>-1.1000000000000001</c:v>
                </c:pt>
                <c:pt idx="12">
                  <c:v>-1.2</c:v>
                </c:pt>
                <c:pt idx="13">
                  <c:v>-1.3</c:v>
                </c:pt>
                <c:pt idx="14">
                  <c:v>-1.4</c:v>
                </c:pt>
                <c:pt idx="15">
                  <c:v>-1.5</c:v>
                </c:pt>
                <c:pt idx="16">
                  <c:v>-1.6</c:v>
                </c:pt>
                <c:pt idx="17">
                  <c:v>-1.7</c:v>
                </c:pt>
                <c:pt idx="18">
                  <c:v>-1.8</c:v>
                </c:pt>
                <c:pt idx="19">
                  <c:v>-1.9</c:v>
                </c:pt>
                <c:pt idx="20">
                  <c:v>-2</c:v>
                </c:pt>
                <c:pt idx="21">
                  <c:v>-2.1</c:v>
                </c:pt>
                <c:pt idx="22">
                  <c:v>-2.2000000000000002</c:v>
                </c:pt>
                <c:pt idx="23">
                  <c:v>-2.2999999999999998</c:v>
                </c:pt>
                <c:pt idx="24">
                  <c:v>-2.4</c:v>
                </c:pt>
                <c:pt idx="25">
                  <c:v>-2.5</c:v>
                </c:pt>
                <c:pt idx="26">
                  <c:v>-2.6</c:v>
                </c:pt>
                <c:pt idx="27">
                  <c:v>-2.7</c:v>
                </c:pt>
                <c:pt idx="28">
                  <c:v>-2.8</c:v>
                </c:pt>
                <c:pt idx="29">
                  <c:v>-2.9</c:v>
                </c:pt>
                <c:pt idx="3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27-4BE4-80A9-BC7F35F2F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27087"/>
        <c:axId val="617129999"/>
      </c:scatterChart>
      <c:valAx>
        <c:axId val="617127087"/>
        <c:scaling>
          <c:orientation val="minMax"/>
          <c:max val="0.9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CD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7129999"/>
        <c:crossesAt val="0"/>
        <c:crossBetween val="midCat"/>
        <c:majorUnit val="0.1"/>
      </c:valAx>
      <c:valAx>
        <c:axId val="617129999"/>
        <c:scaling>
          <c:orientation val="minMax"/>
          <c:min val="-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7127087"/>
        <c:crosses val="autoZero"/>
        <c:crossBetween val="midCat"/>
        <c:majorUnit val="0.2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700" b="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Profile!$J$17:$J$47</c:f>
              <c:numCache>
                <c:formatCode>General</c:formatCode>
                <c:ptCount val="31"/>
              </c:numCache>
            </c:numRef>
          </c:xVal>
          <c:yVal>
            <c:numRef>
              <c:f>Profile!$D$17:$D$47</c:f>
              <c:numCache>
                <c:formatCode>General</c:formatCode>
                <c:ptCount val="31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-0.3</c:v>
                </c:pt>
                <c:pt idx="4">
                  <c:v>-0.4</c:v>
                </c:pt>
                <c:pt idx="5">
                  <c:v>-0.5</c:v>
                </c:pt>
                <c:pt idx="6">
                  <c:v>-0.6</c:v>
                </c:pt>
                <c:pt idx="7">
                  <c:v>-0.7</c:v>
                </c:pt>
                <c:pt idx="8">
                  <c:v>-0.8</c:v>
                </c:pt>
                <c:pt idx="9">
                  <c:v>-0.9</c:v>
                </c:pt>
                <c:pt idx="10">
                  <c:v>-1</c:v>
                </c:pt>
                <c:pt idx="11">
                  <c:v>-1.1000000000000001</c:v>
                </c:pt>
                <c:pt idx="12">
                  <c:v>-1.2</c:v>
                </c:pt>
                <c:pt idx="13">
                  <c:v>-1.3</c:v>
                </c:pt>
                <c:pt idx="14">
                  <c:v>-1.4</c:v>
                </c:pt>
                <c:pt idx="15">
                  <c:v>-1.5</c:v>
                </c:pt>
                <c:pt idx="16">
                  <c:v>-1.6</c:v>
                </c:pt>
                <c:pt idx="17">
                  <c:v>-1.7</c:v>
                </c:pt>
                <c:pt idx="18">
                  <c:v>-1.8</c:v>
                </c:pt>
                <c:pt idx="19">
                  <c:v>-1.9</c:v>
                </c:pt>
                <c:pt idx="20">
                  <c:v>-2</c:v>
                </c:pt>
                <c:pt idx="21">
                  <c:v>-2.1</c:v>
                </c:pt>
                <c:pt idx="22">
                  <c:v>-2.2000000000000002</c:v>
                </c:pt>
                <c:pt idx="23">
                  <c:v>-2.2999999999999998</c:v>
                </c:pt>
                <c:pt idx="24">
                  <c:v>-2.4</c:v>
                </c:pt>
                <c:pt idx="25">
                  <c:v>-2.5</c:v>
                </c:pt>
                <c:pt idx="26">
                  <c:v>-2.6</c:v>
                </c:pt>
                <c:pt idx="27">
                  <c:v>-2.7</c:v>
                </c:pt>
                <c:pt idx="28">
                  <c:v>-2.8</c:v>
                </c:pt>
                <c:pt idx="29">
                  <c:v>-2.9</c:v>
                </c:pt>
                <c:pt idx="3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0E-4E5B-AC0B-79A9DF45A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27087"/>
        <c:axId val="617129999"/>
      </c:scatterChart>
      <c:valAx>
        <c:axId val="617127087"/>
        <c:scaling>
          <c:orientation val="minMax"/>
          <c:max val="0.9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CD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7129999"/>
        <c:crossesAt val="0"/>
        <c:crossBetween val="midCat"/>
        <c:majorUnit val="0.1"/>
      </c:valAx>
      <c:valAx>
        <c:axId val="617129999"/>
        <c:scaling>
          <c:orientation val="minMax"/>
          <c:min val="-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7127087"/>
        <c:crosses val="autoZero"/>
        <c:crossBetween val="midCat"/>
        <c:majorUnit val="0.2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700" b="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List!$Y$1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List!$Y$4:$Y$26</c:f>
            </c:numRef>
          </c:xVal>
          <c:yVal>
            <c:numRef>
              <c:f>List!$X$4:$X$34</c:f>
              <c:numCache>
                <c:formatCode>General</c:formatCode>
                <c:ptCount val="31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-0.3</c:v>
                </c:pt>
                <c:pt idx="4">
                  <c:v>-0.4</c:v>
                </c:pt>
                <c:pt idx="5">
                  <c:v>-0.5</c:v>
                </c:pt>
                <c:pt idx="6">
                  <c:v>-0.6</c:v>
                </c:pt>
                <c:pt idx="7">
                  <c:v>-0.7</c:v>
                </c:pt>
                <c:pt idx="8">
                  <c:v>-0.8</c:v>
                </c:pt>
                <c:pt idx="9">
                  <c:v>-0.9</c:v>
                </c:pt>
                <c:pt idx="10">
                  <c:v>-1</c:v>
                </c:pt>
                <c:pt idx="11">
                  <c:v>-1.1000000000000001</c:v>
                </c:pt>
                <c:pt idx="12">
                  <c:v>-1.2</c:v>
                </c:pt>
                <c:pt idx="13">
                  <c:v>-1.3</c:v>
                </c:pt>
                <c:pt idx="14">
                  <c:v>-1.4</c:v>
                </c:pt>
                <c:pt idx="15">
                  <c:v>-1.5</c:v>
                </c:pt>
                <c:pt idx="16">
                  <c:v>-1.6</c:v>
                </c:pt>
                <c:pt idx="17">
                  <c:v>-1.7</c:v>
                </c:pt>
                <c:pt idx="18">
                  <c:v>-1.8</c:v>
                </c:pt>
                <c:pt idx="19">
                  <c:v>-1.9</c:v>
                </c:pt>
                <c:pt idx="20">
                  <c:v>-2</c:v>
                </c:pt>
                <c:pt idx="21">
                  <c:v>-2.1</c:v>
                </c:pt>
                <c:pt idx="22">
                  <c:v>-2.2000000000000002</c:v>
                </c:pt>
                <c:pt idx="23">
                  <c:v>-2.2999999999999998</c:v>
                </c:pt>
                <c:pt idx="24">
                  <c:v>-2.4</c:v>
                </c:pt>
                <c:pt idx="25">
                  <c:v>-2.5</c:v>
                </c:pt>
                <c:pt idx="26">
                  <c:v>-2.6</c:v>
                </c:pt>
                <c:pt idx="27">
                  <c:v>-2.7</c:v>
                </c:pt>
                <c:pt idx="28">
                  <c:v>-2.8</c:v>
                </c:pt>
                <c:pt idx="29">
                  <c:v>-2.9</c:v>
                </c:pt>
                <c:pt idx="3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B-4795-A053-9A4092DE2309}"/>
            </c:ext>
          </c:extLst>
        </c:ser>
        <c:ser>
          <c:idx val="1"/>
          <c:order val="1"/>
          <c:tx>
            <c:strRef>
              <c:f>List!$Z$1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List!$Z$4:$Z$26</c:f>
            </c:numRef>
          </c:xVal>
          <c:yVal>
            <c:numRef>
              <c:f>List!$X$4:$X$34</c:f>
              <c:numCache>
                <c:formatCode>General</c:formatCode>
                <c:ptCount val="31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-0.3</c:v>
                </c:pt>
                <c:pt idx="4">
                  <c:v>-0.4</c:v>
                </c:pt>
                <c:pt idx="5">
                  <c:v>-0.5</c:v>
                </c:pt>
                <c:pt idx="6">
                  <c:v>-0.6</c:v>
                </c:pt>
                <c:pt idx="7">
                  <c:v>-0.7</c:v>
                </c:pt>
                <c:pt idx="8">
                  <c:v>-0.8</c:v>
                </c:pt>
                <c:pt idx="9">
                  <c:v>-0.9</c:v>
                </c:pt>
                <c:pt idx="10">
                  <c:v>-1</c:v>
                </c:pt>
                <c:pt idx="11">
                  <c:v>-1.1000000000000001</c:v>
                </c:pt>
                <c:pt idx="12">
                  <c:v>-1.2</c:v>
                </c:pt>
                <c:pt idx="13">
                  <c:v>-1.3</c:v>
                </c:pt>
                <c:pt idx="14">
                  <c:v>-1.4</c:v>
                </c:pt>
                <c:pt idx="15">
                  <c:v>-1.5</c:v>
                </c:pt>
                <c:pt idx="16">
                  <c:v>-1.6</c:v>
                </c:pt>
                <c:pt idx="17">
                  <c:v>-1.7</c:v>
                </c:pt>
                <c:pt idx="18">
                  <c:v>-1.8</c:v>
                </c:pt>
                <c:pt idx="19">
                  <c:v>-1.9</c:v>
                </c:pt>
                <c:pt idx="20">
                  <c:v>-2</c:v>
                </c:pt>
                <c:pt idx="21">
                  <c:v>-2.1</c:v>
                </c:pt>
                <c:pt idx="22">
                  <c:v>-2.2000000000000002</c:v>
                </c:pt>
                <c:pt idx="23">
                  <c:v>-2.2999999999999998</c:v>
                </c:pt>
                <c:pt idx="24">
                  <c:v>-2.4</c:v>
                </c:pt>
                <c:pt idx="25">
                  <c:v>-2.5</c:v>
                </c:pt>
                <c:pt idx="26">
                  <c:v>-2.6</c:v>
                </c:pt>
                <c:pt idx="27">
                  <c:v>-2.7</c:v>
                </c:pt>
                <c:pt idx="28">
                  <c:v>-2.8</c:v>
                </c:pt>
                <c:pt idx="29">
                  <c:v>-2.9</c:v>
                </c:pt>
                <c:pt idx="3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EB-4795-A053-9A4092DE2309}"/>
            </c:ext>
          </c:extLst>
        </c:ser>
        <c:ser>
          <c:idx val="2"/>
          <c:order val="2"/>
          <c:tx>
            <c:strRef>
              <c:f>List!$AA$1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List!$AA$4:$AA$26</c:f>
            </c:numRef>
          </c:xVal>
          <c:yVal>
            <c:numRef>
              <c:f>List!$X$4:$X$34</c:f>
              <c:numCache>
                <c:formatCode>General</c:formatCode>
                <c:ptCount val="31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-0.3</c:v>
                </c:pt>
                <c:pt idx="4">
                  <c:v>-0.4</c:v>
                </c:pt>
                <c:pt idx="5">
                  <c:v>-0.5</c:v>
                </c:pt>
                <c:pt idx="6">
                  <c:v>-0.6</c:v>
                </c:pt>
                <c:pt idx="7">
                  <c:v>-0.7</c:v>
                </c:pt>
                <c:pt idx="8">
                  <c:v>-0.8</c:v>
                </c:pt>
                <c:pt idx="9">
                  <c:v>-0.9</c:v>
                </c:pt>
                <c:pt idx="10">
                  <c:v>-1</c:v>
                </c:pt>
                <c:pt idx="11">
                  <c:v>-1.1000000000000001</c:v>
                </c:pt>
                <c:pt idx="12">
                  <c:v>-1.2</c:v>
                </c:pt>
                <c:pt idx="13">
                  <c:v>-1.3</c:v>
                </c:pt>
                <c:pt idx="14">
                  <c:v>-1.4</c:v>
                </c:pt>
                <c:pt idx="15">
                  <c:v>-1.5</c:v>
                </c:pt>
                <c:pt idx="16">
                  <c:v>-1.6</c:v>
                </c:pt>
                <c:pt idx="17">
                  <c:v>-1.7</c:v>
                </c:pt>
                <c:pt idx="18">
                  <c:v>-1.8</c:v>
                </c:pt>
                <c:pt idx="19">
                  <c:v>-1.9</c:v>
                </c:pt>
                <c:pt idx="20">
                  <c:v>-2</c:v>
                </c:pt>
                <c:pt idx="21">
                  <c:v>-2.1</c:v>
                </c:pt>
                <c:pt idx="22">
                  <c:v>-2.2000000000000002</c:v>
                </c:pt>
                <c:pt idx="23">
                  <c:v>-2.2999999999999998</c:v>
                </c:pt>
                <c:pt idx="24">
                  <c:v>-2.4</c:v>
                </c:pt>
                <c:pt idx="25">
                  <c:v>-2.5</c:v>
                </c:pt>
                <c:pt idx="26">
                  <c:v>-2.6</c:v>
                </c:pt>
                <c:pt idx="27">
                  <c:v>-2.7</c:v>
                </c:pt>
                <c:pt idx="28">
                  <c:v>-2.8</c:v>
                </c:pt>
                <c:pt idx="29">
                  <c:v>-2.9</c:v>
                </c:pt>
                <c:pt idx="3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EB-4795-A053-9A4092DE2309}"/>
            </c:ext>
          </c:extLst>
        </c:ser>
        <c:ser>
          <c:idx val="3"/>
          <c:order val="3"/>
          <c:tx>
            <c:strRef>
              <c:f>List!$AB$1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List!$AB$4:$AB$26</c:f>
            </c:numRef>
          </c:xVal>
          <c:yVal>
            <c:numRef>
              <c:f>List!$X$4:$X$34</c:f>
              <c:numCache>
                <c:formatCode>General</c:formatCode>
                <c:ptCount val="31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-0.3</c:v>
                </c:pt>
                <c:pt idx="4">
                  <c:v>-0.4</c:v>
                </c:pt>
                <c:pt idx="5">
                  <c:v>-0.5</c:v>
                </c:pt>
                <c:pt idx="6">
                  <c:v>-0.6</c:v>
                </c:pt>
                <c:pt idx="7">
                  <c:v>-0.7</c:v>
                </c:pt>
                <c:pt idx="8">
                  <c:v>-0.8</c:v>
                </c:pt>
                <c:pt idx="9">
                  <c:v>-0.9</c:v>
                </c:pt>
                <c:pt idx="10">
                  <c:v>-1</c:v>
                </c:pt>
                <c:pt idx="11">
                  <c:v>-1.1000000000000001</c:v>
                </c:pt>
                <c:pt idx="12">
                  <c:v>-1.2</c:v>
                </c:pt>
                <c:pt idx="13">
                  <c:v>-1.3</c:v>
                </c:pt>
                <c:pt idx="14">
                  <c:v>-1.4</c:v>
                </c:pt>
                <c:pt idx="15">
                  <c:v>-1.5</c:v>
                </c:pt>
                <c:pt idx="16">
                  <c:v>-1.6</c:v>
                </c:pt>
                <c:pt idx="17">
                  <c:v>-1.7</c:v>
                </c:pt>
                <c:pt idx="18">
                  <c:v>-1.8</c:v>
                </c:pt>
                <c:pt idx="19">
                  <c:v>-1.9</c:v>
                </c:pt>
                <c:pt idx="20">
                  <c:v>-2</c:v>
                </c:pt>
                <c:pt idx="21">
                  <c:v>-2.1</c:v>
                </c:pt>
                <c:pt idx="22">
                  <c:v>-2.2000000000000002</c:v>
                </c:pt>
                <c:pt idx="23">
                  <c:v>-2.2999999999999998</c:v>
                </c:pt>
                <c:pt idx="24">
                  <c:v>-2.4</c:v>
                </c:pt>
                <c:pt idx="25">
                  <c:v>-2.5</c:v>
                </c:pt>
                <c:pt idx="26">
                  <c:v>-2.6</c:v>
                </c:pt>
                <c:pt idx="27">
                  <c:v>-2.7</c:v>
                </c:pt>
                <c:pt idx="28">
                  <c:v>-2.8</c:v>
                </c:pt>
                <c:pt idx="29">
                  <c:v>-2.9</c:v>
                </c:pt>
                <c:pt idx="3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EB-4795-A053-9A4092DE2309}"/>
            </c:ext>
          </c:extLst>
        </c:ser>
        <c:ser>
          <c:idx val="4"/>
          <c:order val="4"/>
          <c:tx>
            <c:strRef>
              <c:f>List!$AC$1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List!$AC$4:$AC$26</c:f>
            </c:numRef>
          </c:xVal>
          <c:yVal>
            <c:numRef>
              <c:f>List!$X$4:$X$34</c:f>
              <c:numCache>
                <c:formatCode>General</c:formatCode>
                <c:ptCount val="31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-0.3</c:v>
                </c:pt>
                <c:pt idx="4">
                  <c:v>-0.4</c:v>
                </c:pt>
                <c:pt idx="5">
                  <c:v>-0.5</c:v>
                </c:pt>
                <c:pt idx="6">
                  <c:v>-0.6</c:v>
                </c:pt>
                <c:pt idx="7">
                  <c:v>-0.7</c:v>
                </c:pt>
                <c:pt idx="8">
                  <c:v>-0.8</c:v>
                </c:pt>
                <c:pt idx="9">
                  <c:v>-0.9</c:v>
                </c:pt>
                <c:pt idx="10">
                  <c:v>-1</c:v>
                </c:pt>
                <c:pt idx="11">
                  <c:v>-1.1000000000000001</c:v>
                </c:pt>
                <c:pt idx="12">
                  <c:v>-1.2</c:v>
                </c:pt>
                <c:pt idx="13">
                  <c:v>-1.3</c:v>
                </c:pt>
                <c:pt idx="14">
                  <c:v>-1.4</c:v>
                </c:pt>
                <c:pt idx="15">
                  <c:v>-1.5</c:v>
                </c:pt>
                <c:pt idx="16">
                  <c:v>-1.6</c:v>
                </c:pt>
                <c:pt idx="17">
                  <c:v>-1.7</c:v>
                </c:pt>
                <c:pt idx="18">
                  <c:v>-1.8</c:v>
                </c:pt>
                <c:pt idx="19">
                  <c:v>-1.9</c:v>
                </c:pt>
                <c:pt idx="20">
                  <c:v>-2</c:v>
                </c:pt>
                <c:pt idx="21">
                  <c:v>-2.1</c:v>
                </c:pt>
                <c:pt idx="22">
                  <c:v>-2.2000000000000002</c:v>
                </c:pt>
                <c:pt idx="23">
                  <c:v>-2.2999999999999998</c:v>
                </c:pt>
                <c:pt idx="24">
                  <c:v>-2.4</c:v>
                </c:pt>
                <c:pt idx="25">
                  <c:v>-2.5</c:v>
                </c:pt>
                <c:pt idx="26">
                  <c:v>-2.6</c:v>
                </c:pt>
                <c:pt idx="27">
                  <c:v>-2.7</c:v>
                </c:pt>
                <c:pt idx="28">
                  <c:v>-2.8</c:v>
                </c:pt>
                <c:pt idx="29">
                  <c:v>-2.9</c:v>
                </c:pt>
                <c:pt idx="3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EB-4795-A053-9A4092DE2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1725695"/>
        <c:axId val="931726527"/>
      </c:scatterChart>
      <c:valAx>
        <c:axId val="931725695"/>
        <c:scaling>
          <c:orientation val="minMax"/>
          <c:max val="1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CD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1726527"/>
        <c:crosses val="autoZero"/>
        <c:crossBetween val="midCat"/>
        <c:majorUnit val="5.000000000000001E-2"/>
      </c:valAx>
      <c:valAx>
        <c:axId val="931726527"/>
        <c:scaling>
          <c:orientation val="minMax"/>
          <c:min val="-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1725695"/>
        <c:crosses val="autoZero"/>
        <c:crossBetween val="midCat"/>
        <c:majorUnit val="0.2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r"/>
      <c:overlay val="1"/>
      <c:spPr>
        <a:solidFill>
          <a:schemeClr val="bg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Sheet1!$A$2:$A$22</c:f>
              <c:numCache>
                <c:formatCode>General</c:formatCode>
                <c:ptCount val="21"/>
                <c:pt idx="0">
                  <c:v>70</c:v>
                </c:pt>
                <c:pt idx="1">
                  <c:v>71</c:v>
                </c:pt>
                <c:pt idx="2">
                  <c:v>72</c:v>
                </c:pt>
                <c:pt idx="3">
                  <c:v>73</c:v>
                </c:pt>
                <c:pt idx="4">
                  <c:v>74</c:v>
                </c:pt>
                <c:pt idx="5">
                  <c:v>75</c:v>
                </c:pt>
                <c:pt idx="6">
                  <c:v>76</c:v>
                </c:pt>
                <c:pt idx="7">
                  <c:v>77</c:v>
                </c:pt>
                <c:pt idx="8">
                  <c:v>78</c:v>
                </c:pt>
                <c:pt idx="9">
                  <c:v>79</c:v>
                </c:pt>
                <c:pt idx="10">
                  <c:v>80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84</c:v>
                </c:pt>
                <c:pt idx="15">
                  <c:v>85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89</c:v>
                </c:pt>
                <c:pt idx="20">
                  <c:v>90</c:v>
                </c:pt>
              </c:numCache>
            </c:numRef>
          </c:xVal>
          <c:yVal>
            <c:numRef>
              <c:f>Sheet1!$G$2:$G$22</c:f>
              <c:numCache>
                <c:formatCode>General</c:formatCode>
                <c:ptCount val="21"/>
                <c:pt idx="0">
                  <c:v>-0.15588093706480977</c:v>
                </c:pt>
                <c:pt idx="1">
                  <c:v>-7.7310453158661252E-2</c:v>
                </c:pt>
                <c:pt idx="2">
                  <c:v>3.2121506837445857E-4</c:v>
                </c:pt>
                <c:pt idx="3">
                  <c:v>7.7077274165358478E-2</c:v>
                </c:pt>
                <c:pt idx="4">
                  <c:v>0.15301845696476835</c:v>
                </c:pt>
                <c:pt idx="5">
                  <c:v>0.22820323027550926</c:v>
                </c:pt>
                <c:pt idx="6">
                  <c:v>0.30268798862727753</c:v>
                </c:pt>
                <c:pt idx="7">
                  <c:v>0.37652723549774791</c:v>
                </c:pt>
                <c:pt idx="8">
                  <c:v>0.44977375331991098</c:v>
                </c:pt>
                <c:pt idx="9">
                  <c:v>0.52247876344912569</c:v>
                </c:pt>
                <c:pt idx="10">
                  <c:v>0.59469207716613981</c:v>
                </c:pt>
                <c:pt idx="11">
                  <c:v>0.66646223870185473</c:v>
                </c:pt>
                <c:pt idx="12">
                  <c:v>0.73783666119043412</c:v>
                </c:pt>
                <c:pt idx="13">
                  <c:v>0.80886175638838165</c:v>
                </c:pt>
                <c:pt idx="14">
                  <c:v>0.87958305893729427</c:v>
                </c:pt>
                <c:pt idx="15">
                  <c:v>0.95004534589630418</c:v>
                </c:pt>
                <c:pt idx="16">
                  <c:v>1.0202927522259586</c:v>
                </c:pt>
                <c:pt idx="17">
                  <c:v>1.0903688828678346</c:v>
                </c:pt>
                <c:pt idx="18">
                  <c:v>1.1603169220330087</c:v>
                </c:pt>
                <c:pt idx="19">
                  <c:v>1.2301797402871293</c:v>
                </c:pt>
                <c:pt idx="20">
                  <c:v>1.2999999999999998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55-4A22-84C4-257ACBDE1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415248"/>
        <c:axId val="1925412336"/>
      </c:scatterChart>
      <c:valAx>
        <c:axId val="1925415248"/>
        <c:scaling>
          <c:orientation val="minMax"/>
          <c:max val="90"/>
          <c:min val="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Angle [Deg.]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25412336"/>
        <c:crosses val="autoZero"/>
        <c:crossBetween val="midCat"/>
        <c:majorUnit val="2"/>
      </c:valAx>
      <c:valAx>
        <c:axId val="192541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SiO</a:t>
                </a:r>
                <a:r>
                  <a:rPr lang="en-US" baseline="-25000"/>
                  <a:t>2</a:t>
                </a:r>
                <a:r>
                  <a:rPr lang="en-US"/>
                  <a:t> HM top CD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25415248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Sheet1!$A$27:$A$47</c:f>
              <c:numCache>
                <c:formatCode>General</c:formatCode>
                <c:ptCount val="21"/>
                <c:pt idx="0">
                  <c:v>70</c:v>
                </c:pt>
                <c:pt idx="1">
                  <c:v>71</c:v>
                </c:pt>
                <c:pt idx="2">
                  <c:v>72</c:v>
                </c:pt>
                <c:pt idx="3">
                  <c:v>73</c:v>
                </c:pt>
                <c:pt idx="4">
                  <c:v>74</c:v>
                </c:pt>
                <c:pt idx="5">
                  <c:v>75</c:v>
                </c:pt>
                <c:pt idx="6">
                  <c:v>76</c:v>
                </c:pt>
                <c:pt idx="7">
                  <c:v>77</c:v>
                </c:pt>
                <c:pt idx="8">
                  <c:v>78</c:v>
                </c:pt>
                <c:pt idx="9">
                  <c:v>79</c:v>
                </c:pt>
                <c:pt idx="10">
                  <c:v>80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84</c:v>
                </c:pt>
                <c:pt idx="15">
                  <c:v>85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89</c:v>
                </c:pt>
                <c:pt idx="20">
                  <c:v>90</c:v>
                </c:pt>
              </c:numCache>
            </c:numRef>
          </c:xVal>
          <c:yVal>
            <c:numRef>
              <c:f>Sheet1!$G$27:$G$47</c:f>
              <c:numCache>
                <c:formatCode>General</c:formatCode>
                <c:ptCount val="21"/>
                <c:pt idx="0">
                  <c:v>-1.6117618741296196</c:v>
                </c:pt>
                <c:pt idx="1">
                  <c:v>-1.4546209063173225</c:v>
                </c:pt>
                <c:pt idx="2">
                  <c:v>-1.2993575698632511</c:v>
                </c:pt>
                <c:pt idx="3">
                  <c:v>-1.1458454516692831</c:v>
                </c:pt>
                <c:pt idx="4">
                  <c:v>-0.99396308607046335</c:v>
                </c:pt>
                <c:pt idx="5">
                  <c:v>-0.84359353944898152</c:v>
                </c:pt>
                <c:pt idx="6">
                  <c:v>-0.69462402274544499</c:v>
                </c:pt>
                <c:pt idx="7">
                  <c:v>-0.54694552900450422</c:v>
                </c:pt>
                <c:pt idx="8">
                  <c:v>-0.40045249336017807</c:v>
                </c:pt>
                <c:pt idx="9">
                  <c:v>-0.25504247310174866</c:v>
                </c:pt>
                <c:pt idx="10">
                  <c:v>-0.11061584566772042</c:v>
                </c:pt>
                <c:pt idx="11">
                  <c:v>3.2924477403709407E-2</c:v>
                </c:pt>
                <c:pt idx="12">
                  <c:v>0.17567332238086819</c:v>
                </c:pt>
                <c:pt idx="13">
                  <c:v>0.31772351277676325</c:v>
                </c:pt>
                <c:pt idx="14">
                  <c:v>0.4591661178745885</c:v>
                </c:pt>
                <c:pt idx="15">
                  <c:v>0.60009069179260832</c:v>
                </c:pt>
                <c:pt idx="16">
                  <c:v>0.74058550445191729</c:v>
                </c:pt>
                <c:pt idx="17">
                  <c:v>0.88073776573566931</c:v>
                </c:pt>
                <c:pt idx="18">
                  <c:v>1.0206338440660172</c:v>
                </c:pt>
                <c:pt idx="19">
                  <c:v>1.1603594805742588</c:v>
                </c:pt>
                <c:pt idx="20">
                  <c:v>1.2999999999999996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20-4E86-A32C-D3D8B9F56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415248"/>
        <c:axId val="1925412336"/>
      </c:scatterChart>
      <c:valAx>
        <c:axId val="1925415248"/>
        <c:scaling>
          <c:orientation val="minMax"/>
          <c:max val="90"/>
          <c:min val="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Angle [Deg.]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25412336"/>
        <c:crosses val="autoZero"/>
        <c:crossBetween val="midCat"/>
        <c:majorUnit val="2"/>
      </c:valAx>
      <c:valAx>
        <c:axId val="192541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SiO</a:t>
                </a:r>
                <a:r>
                  <a:rPr lang="en-US" baseline="-25000"/>
                  <a:t>2</a:t>
                </a:r>
                <a:r>
                  <a:rPr lang="en-US"/>
                  <a:t> HM top CD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25415248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Sheet1!$A$52:$A$72</c:f>
              <c:numCache>
                <c:formatCode>General</c:formatCode>
                <c:ptCount val="21"/>
                <c:pt idx="0">
                  <c:v>70</c:v>
                </c:pt>
                <c:pt idx="1">
                  <c:v>71</c:v>
                </c:pt>
                <c:pt idx="2">
                  <c:v>72</c:v>
                </c:pt>
                <c:pt idx="3">
                  <c:v>73</c:v>
                </c:pt>
                <c:pt idx="4">
                  <c:v>74</c:v>
                </c:pt>
                <c:pt idx="5">
                  <c:v>75</c:v>
                </c:pt>
                <c:pt idx="6">
                  <c:v>76</c:v>
                </c:pt>
                <c:pt idx="7">
                  <c:v>77</c:v>
                </c:pt>
                <c:pt idx="8">
                  <c:v>78</c:v>
                </c:pt>
                <c:pt idx="9">
                  <c:v>79</c:v>
                </c:pt>
                <c:pt idx="10">
                  <c:v>80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84</c:v>
                </c:pt>
                <c:pt idx="15">
                  <c:v>85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89</c:v>
                </c:pt>
                <c:pt idx="20">
                  <c:v>90</c:v>
                </c:pt>
              </c:numCache>
            </c:numRef>
          </c:xVal>
          <c:yVal>
            <c:numRef>
              <c:f>Sheet1!$G$52:$G$72</c:f>
              <c:numCache>
                <c:formatCode>General</c:formatCode>
                <c:ptCount val="21"/>
                <c:pt idx="0">
                  <c:v>-3.0676428111944292</c:v>
                </c:pt>
                <c:pt idx="1">
                  <c:v>-2.8319313594759841</c:v>
                </c:pt>
                <c:pt idx="2">
                  <c:v>-2.5990363547948769</c:v>
                </c:pt>
                <c:pt idx="3">
                  <c:v>-2.3687681775039247</c:v>
                </c:pt>
                <c:pt idx="4">
                  <c:v>-2.1409446291056948</c:v>
                </c:pt>
                <c:pt idx="5">
                  <c:v>-1.9153903091734723</c:v>
                </c:pt>
                <c:pt idx="6">
                  <c:v>-1.6919360341181677</c:v>
                </c:pt>
                <c:pt idx="7">
                  <c:v>-1.470418293506756</c:v>
                </c:pt>
                <c:pt idx="8">
                  <c:v>-1.2506787400402672</c:v>
                </c:pt>
                <c:pt idx="9">
                  <c:v>-1.0325637096526232</c:v>
                </c:pt>
                <c:pt idx="10">
                  <c:v>-0.81592376850158055</c:v>
                </c:pt>
                <c:pt idx="11">
                  <c:v>-0.60061328389443602</c:v>
                </c:pt>
                <c:pt idx="12">
                  <c:v>-0.38649001642869774</c:v>
                </c:pt>
                <c:pt idx="13">
                  <c:v>-0.17341473083485526</c:v>
                </c:pt>
                <c:pt idx="14">
                  <c:v>3.8749176811882835E-2</c:v>
                </c:pt>
                <c:pt idx="15">
                  <c:v>0.25013603768891257</c:v>
                </c:pt>
                <c:pt idx="16">
                  <c:v>0.46087825667787596</c:v>
                </c:pt>
                <c:pt idx="17">
                  <c:v>0.671106648603504</c:v>
                </c:pt>
                <c:pt idx="18">
                  <c:v>0.88095076609902601</c:v>
                </c:pt>
                <c:pt idx="19">
                  <c:v>1.090539220861388</c:v>
                </c:pt>
                <c:pt idx="20">
                  <c:v>1.2999999999999994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26-4EEE-93D5-6DB98406F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415248"/>
        <c:axId val="1925412336"/>
      </c:scatterChart>
      <c:valAx>
        <c:axId val="1925415248"/>
        <c:scaling>
          <c:orientation val="minMax"/>
          <c:max val="90"/>
          <c:min val="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Angle [Deg.]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25412336"/>
        <c:crosses val="autoZero"/>
        <c:crossBetween val="midCat"/>
        <c:majorUnit val="2"/>
      </c:valAx>
      <c:valAx>
        <c:axId val="192541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SiO</a:t>
                </a:r>
                <a:r>
                  <a:rPr lang="en-US" baseline="-25000"/>
                  <a:t>2</a:t>
                </a:r>
                <a:r>
                  <a:rPr lang="en-US"/>
                  <a:t> HM top CD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25415248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2um厚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Sheet1!$A$2:$A$22</c:f>
              <c:numCache>
                <c:formatCode>General</c:formatCode>
                <c:ptCount val="21"/>
                <c:pt idx="0">
                  <c:v>70</c:v>
                </c:pt>
                <c:pt idx="1">
                  <c:v>71</c:v>
                </c:pt>
                <c:pt idx="2">
                  <c:v>72</c:v>
                </c:pt>
                <c:pt idx="3">
                  <c:v>73</c:v>
                </c:pt>
                <c:pt idx="4">
                  <c:v>74</c:v>
                </c:pt>
                <c:pt idx="5">
                  <c:v>75</c:v>
                </c:pt>
                <c:pt idx="6">
                  <c:v>76</c:v>
                </c:pt>
                <c:pt idx="7">
                  <c:v>77</c:v>
                </c:pt>
                <c:pt idx="8">
                  <c:v>78</c:v>
                </c:pt>
                <c:pt idx="9">
                  <c:v>79</c:v>
                </c:pt>
                <c:pt idx="10">
                  <c:v>80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84</c:v>
                </c:pt>
                <c:pt idx="15">
                  <c:v>85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89</c:v>
                </c:pt>
                <c:pt idx="20">
                  <c:v>90</c:v>
                </c:pt>
              </c:numCache>
            </c:numRef>
          </c:xVal>
          <c:yVal>
            <c:numRef>
              <c:f>Sheet1!$G$2:$G$22</c:f>
              <c:numCache>
                <c:formatCode>General</c:formatCode>
                <c:ptCount val="21"/>
                <c:pt idx="0">
                  <c:v>-0.15588093706480977</c:v>
                </c:pt>
                <c:pt idx="1">
                  <c:v>-7.7310453158661252E-2</c:v>
                </c:pt>
                <c:pt idx="2">
                  <c:v>3.2121506837445857E-4</c:v>
                </c:pt>
                <c:pt idx="3">
                  <c:v>7.7077274165358478E-2</c:v>
                </c:pt>
                <c:pt idx="4">
                  <c:v>0.15301845696476835</c:v>
                </c:pt>
                <c:pt idx="5">
                  <c:v>0.22820323027550926</c:v>
                </c:pt>
                <c:pt idx="6">
                  <c:v>0.30268798862727753</c:v>
                </c:pt>
                <c:pt idx="7">
                  <c:v>0.37652723549774791</c:v>
                </c:pt>
                <c:pt idx="8">
                  <c:v>0.44977375331991098</c:v>
                </c:pt>
                <c:pt idx="9">
                  <c:v>0.52247876344912569</c:v>
                </c:pt>
                <c:pt idx="10">
                  <c:v>0.59469207716613981</c:v>
                </c:pt>
                <c:pt idx="11">
                  <c:v>0.66646223870185473</c:v>
                </c:pt>
                <c:pt idx="12">
                  <c:v>0.73783666119043412</c:v>
                </c:pt>
                <c:pt idx="13">
                  <c:v>0.80886175638838165</c:v>
                </c:pt>
                <c:pt idx="14">
                  <c:v>0.87958305893729427</c:v>
                </c:pt>
                <c:pt idx="15">
                  <c:v>0.95004534589630418</c:v>
                </c:pt>
                <c:pt idx="16">
                  <c:v>1.0202927522259586</c:v>
                </c:pt>
                <c:pt idx="17">
                  <c:v>1.0903688828678346</c:v>
                </c:pt>
                <c:pt idx="18">
                  <c:v>1.1603169220330087</c:v>
                </c:pt>
                <c:pt idx="19">
                  <c:v>1.2301797402871293</c:v>
                </c:pt>
                <c:pt idx="20">
                  <c:v>1.2999999999999998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1F-4982-8931-4C543DF0D5C4}"/>
            </c:ext>
          </c:extLst>
        </c:ser>
        <c:ser>
          <c:idx val="1"/>
          <c:order val="1"/>
          <c:tx>
            <c:v>4um厚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Sheet1!$A$27:$A$47</c:f>
              <c:numCache>
                <c:formatCode>General</c:formatCode>
                <c:ptCount val="21"/>
                <c:pt idx="0">
                  <c:v>70</c:v>
                </c:pt>
                <c:pt idx="1">
                  <c:v>71</c:v>
                </c:pt>
                <c:pt idx="2">
                  <c:v>72</c:v>
                </c:pt>
                <c:pt idx="3">
                  <c:v>73</c:v>
                </c:pt>
                <c:pt idx="4">
                  <c:v>74</c:v>
                </c:pt>
                <c:pt idx="5">
                  <c:v>75</c:v>
                </c:pt>
                <c:pt idx="6">
                  <c:v>76</c:v>
                </c:pt>
                <c:pt idx="7">
                  <c:v>77</c:v>
                </c:pt>
                <c:pt idx="8">
                  <c:v>78</c:v>
                </c:pt>
                <c:pt idx="9">
                  <c:v>79</c:v>
                </c:pt>
                <c:pt idx="10">
                  <c:v>80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84</c:v>
                </c:pt>
                <c:pt idx="15">
                  <c:v>85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89</c:v>
                </c:pt>
                <c:pt idx="20">
                  <c:v>90</c:v>
                </c:pt>
              </c:numCache>
            </c:numRef>
          </c:xVal>
          <c:yVal>
            <c:numRef>
              <c:f>Sheet1!$G$27:$G$47</c:f>
              <c:numCache>
                <c:formatCode>General</c:formatCode>
                <c:ptCount val="21"/>
                <c:pt idx="0">
                  <c:v>-1.6117618741296196</c:v>
                </c:pt>
                <c:pt idx="1">
                  <c:v>-1.4546209063173225</c:v>
                </c:pt>
                <c:pt idx="2">
                  <c:v>-1.2993575698632511</c:v>
                </c:pt>
                <c:pt idx="3">
                  <c:v>-1.1458454516692831</c:v>
                </c:pt>
                <c:pt idx="4">
                  <c:v>-0.99396308607046335</c:v>
                </c:pt>
                <c:pt idx="5">
                  <c:v>-0.84359353944898152</c:v>
                </c:pt>
                <c:pt idx="6">
                  <c:v>-0.69462402274544499</c:v>
                </c:pt>
                <c:pt idx="7">
                  <c:v>-0.54694552900450422</c:v>
                </c:pt>
                <c:pt idx="8">
                  <c:v>-0.40045249336017807</c:v>
                </c:pt>
                <c:pt idx="9">
                  <c:v>-0.25504247310174866</c:v>
                </c:pt>
                <c:pt idx="10">
                  <c:v>-0.11061584566772042</c:v>
                </c:pt>
                <c:pt idx="11">
                  <c:v>3.2924477403709407E-2</c:v>
                </c:pt>
                <c:pt idx="12">
                  <c:v>0.17567332238086819</c:v>
                </c:pt>
                <c:pt idx="13">
                  <c:v>0.31772351277676325</c:v>
                </c:pt>
                <c:pt idx="14">
                  <c:v>0.4591661178745885</c:v>
                </c:pt>
                <c:pt idx="15">
                  <c:v>0.60009069179260832</c:v>
                </c:pt>
                <c:pt idx="16">
                  <c:v>0.74058550445191729</c:v>
                </c:pt>
                <c:pt idx="17">
                  <c:v>0.88073776573566931</c:v>
                </c:pt>
                <c:pt idx="18">
                  <c:v>1.0206338440660172</c:v>
                </c:pt>
                <c:pt idx="19">
                  <c:v>1.1603594805742588</c:v>
                </c:pt>
                <c:pt idx="20">
                  <c:v>1.2999999999999996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1F-4982-8931-4C543DF0D5C4}"/>
            </c:ext>
          </c:extLst>
        </c:ser>
        <c:ser>
          <c:idx val="2"/>
          <c:order val="2"/>
          <c:tx>
            <c:v>6um厚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Sheet1!$A$52:$A$72</c:f>
              <c:numCache>
                <c:formatCode>General</c:formatCode>
                <c:ptCount val="21"/>
                <c:pt idx="0">
                  <c:v>70</c:v>
                </c:pt>
                <c:pt idx="1">
                  <c:v>71</c:v>
                </c:pt>
                <c:pt idx="2">
                  <c:v>72</c:v>
                </c:pt>
                <c:pt idx="3">
                  <c:v>73</c:v>
                </c:pt>
                <c:pt idx="4">
                  <c:v>74</c:v>
                </c:pt>
                <c:pt idx="5">
                  <c:v>75</c:v>
                </c:pt>
                <c:pt idx="6">
                  <c:v>76</c:v>
                </c:pt>
                <c:pt idx="7">
                  <c:v>77</c:v>
                </c:pt>
                <c:pt idx="8">
                  <c:v>78</c:v>
                </c:pt>
                <c:pt idx="9">
                  <c:v>79</c:v>
                </c:pt>
                <c:pt idx="10">
                  <c:v>80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84</c:v>
                </c:pt>
                <c:pt idx="15">
                  <c:v>85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89</c:v>
                </c:pt>
                <c:pt idx="20">
                  <c:v>90</c:v>
                </c:pt>
              </c:numCache>
            </c:numRef>
          </c:xVal>
          <c:yVal>
            <c:numRef>
              <c:f>Sheet1!$G$52:$G$72</c:f>
              <c:numCache>
                <c:formatCode>General</c:formatCode>
                <c:ptCount val="21"/>
                <c:pt idx="0">
                  <c:v>-3.0676428111944292</c:v>
                </c:pt>
                <c:pt idx="1">
                  <c:v>-2.8319313594759841</c:v>
                </c:pt>
                <c:pt idx="2">
                  <c:v>-2.5990363547948769</c:v>
                </c:pt>
                <c:pt idx="3">
                  <c:v>-2.3687681775039247</c:v>
                </c:pt>
                <c:pt idx="4">
                  <c:v>-2.1409446291056948</c:v>
                </c:pt>
                <c:pt idx="5">
                  <c:v>-1.9153903091734723</c:v>
                </c:pt>
                <c:pt idx="6">
                  <c:v>-1.6919360341181677</c:v>
                </c:pt>
                <c:pt idx="7">
                  <c:v>-1.470418293506756</c:v>
                </c:pt>
                <c:pt idx="8">
                  <c:v>-1.2506787400402672</c:v>
                </c:pt>
                <c:pt idx="9">
                  <c:v>-1.0325637096526232</c:v>
                </c:pt>
                <c:pt idx="10">
                  <c:v>-0.81592376850158055</c:v>
                </c:pt>
                <c:pt idx="11">
                  <c:v>-0.60061328389443602</c:v>
                </c:pt>
                <c:pt idx="12">
                  <c:v>-0.38649001642869774</c:v>
                </c:pt>
                <c:pt idx="13">
                  <c:v>-0.17341473083485526</c:v>
                </c:pt>
                <c:pt idx="14">
                  <c:v>3.8749176811882835E-2</c:v>
                </c:pt>
                <c:pt idx="15">
                  <c:v>0.25013603768891257</c:v>
                </c:pt>
                <c:pt idx="16">
                  <c:v>0.46087825667787596</c:v>
                </c:pt>
                <c:pt idx="17">
                  <c:v>0.671106648603504</c:v>
                </c:pt>
                <c:pt idx="18">
                  <c:v>0.88095076609902601</c:v>
                </c:pt>
                <c:pt idx="19">
                  <c:v>1.090539220861388</c:v>
                </c:pt>
                <c:pt idx="20">
                  <c:v>1.2999999999999994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1F-4982-8931-4C543DF0D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415248"/>
        <c:axId val="1925412336"/>
      </c:scatterChart>
      <c:valAx>
        <c:axId val="1925415248"/>
        <c:scaling>
          <c:orientation val="minMax"/>
          <c:max val="90"/>
          <c:min val="7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Angle [Deg.]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25412336"/>
        <c:crosses val="autoZero"/>
        <c:crossBetween val="midCat"/>
        <c:majorUnit val="1"/>
      </c:valAx>
      <c:valAx>
        <c:axId val="1925412336"/>
        <c:scaling>
          <c:orientation val="minMax"/>
          <c:max val="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SiO</a:t>
                </a:r>
                <a:r>
                  <a:rPr lang="en-US" baseline="-25000"/>
                  <a:t>2</a:t>
                </a:r>
                <a:r>
                  <a:rPr lang="en-US"/>
                  <a:t> HM Top CD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25415248"/>
        <c:crossesAt val="0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47</xdr:row>
      <xdr:rowOff>1358</xdr:rowOff>
    </xdr:from>
    <xdr:to>
      <xdr:col>4</xdr:col>
      <xdr:colOff>1620000</xdr:colOff>
      <xdr:row>62</xdr:row>
      <xdr:rowOff>122150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47</xdr:row>
      <xdr:rowOff>0</xdr:rowOff>
    </xdr:from>
    <xdr:to>
      <xdr:col>5</xdr:col>
      <xdr:colOff>1620000</xdr:colOff>
      <xdr:row>62</xdr:row>
      <xdr:rowOff>120792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47</xdr:row>
      <xdr:rowOff>0</xdr:rowOff>
    </xdr:from>
    <xdr:to>
      <xdr:col>6</xdr:col>
      <xdr:colOff>1620000</xdr:colOff>
      <xdr:row>62</xdr:row>
      <xdr:rowOff>120792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7</xdr:col>
      <xdr:colOff>1620000</xdr:colOff>
      <xdr:row>62</xdr:row>
      <xdr:rowOff>120792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47</xdr:row>
      <xdr:rowOff>0</xdr:rowOff>
    </xdr:from>
    <xdr:to>
      <xdr:col>8</xdr:col>
      <xdr:colOff>1620000</xdr:colOff>
      <xdr:row>62</xdr:row>
      <xdr:rowOff>120792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21771</xdr:colOff>
          <xdr:row>48</xdr:row>
          <xdr:rowOff>32657</xdr:rowOff>
        </xdr:from>
        <xdr:to>
          <xdr:col>2</xdr:col>
          <xdr:colOff>729343</xdr:colOff>
          <xdr:row>50</xdr:row>
          <xdr:rowOff>97971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Add data &amp; graph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47</xdr:row>
      <xdr:rowOff>0</xdr:rowOff>
    </xdr:from>
    <xdr:to>
      <xdr:col>9</xdr:col>
      <xdr:colOff>1620000</xdr:colOff>
      <xdr:row>62</xdr:row>
      <xdr:rowOff>120792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21771</xdr:colOff>
          <xdr:row>51</xdr:row>
          <xdr:rowOff>32657</xdr:rowOff>
        </xdr:from>
        <xdr:to>
          <xdr:col>2</xdr:col>
          <xdr:colOff>729343</xdr:colOff>
          <xdr:row>53</xdr:row>
          <xdr:rowOff>97971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Delete data &amp;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6</xdr:col>
      <xdr:colOff>514286</xdr:colOff>
      <xdr:row>38</xdr:row>
      <xdr:rowOff>71057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15</xdr:col>
      <xdr:colOff>401143</xdr:colOff>
      <xdr:row>22</xdr:row>
      <xdr:rowOff>56700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609599</xdr:colOff>
      <xdr:row>14</xdr:row>
      <xdr:rowOff>114299</xdr:rowOff>
    </xdr:from>
    <xdr:to>
      <xdr:col>10</xdr:col>
      <xdr:colOff>532456</xdr:colOff>
      <xdr:row>18</xdr:row>
      <xdr:rowOff>15385</xdr:rowOff>
    </xdr:to>
    <xdr:sp macro="" textlink="">
      <xdr:nvSpPr>
        <xdr:cNvPr id="4" name="台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315199" y="2645228"/>
          <a:ext cx="576000" cy="576000"/>
        </a:xfrm>
        <a:prstGeom prst="trapezoid">
          <a:avLst>
            <a:gd name="adj" fmla="val 38229"/>
          </a:avLst>
        </a:prstGeom>
        <a:solidFill>
          <a:schemeClr val="accent1">
            <a:lumMod val="40000"/>
            <a:lumOff val="60000"/>
          </a:schemeClr>
        </a:solidFill>
        <a:ln w="63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r>
            <a:rPr kumimoji="1" lang="en-US" altLang="ja-JP" sz="1100">
              <a:solidFill>
                <a:srgbClr val="0000FF"/>
              </a:solidFill>
            </a:rPr>
            <a:t>SiO</a:t>
          </a:r>
          <a:r>
            <a:rPr kumimoji="1" lang="en-US" altLang="ja-JP" sz="1100" baseline="-25000">
              <a:solidFill>
                <a:srgbClr val="0000FF"/>
              </a:solidFill>
            </a:rPr>
            <a:t>2</a:t>
          </a:r>
          <a:r>
            <a:rPr kumimoji="1" lang="en-US" altLang="ja-JP" sz="1100">
              <a:solidFill>
                <a:srgbClr val="0000FF"/>
              </a:solidFill>
            </a:rPr>
            <a:t> HM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65313</xdr:colOff>
      <xdr:row>10</xdr:row>
      <xdr:rowOff>152399</xdr:rowOff>
    </xdr:from>
    <xdr:to>
      <xdr:col>12</xdr:col>
      <xdr:colOff>641313</xdr:colOff>
      <xdr:row>14</xdr:row>
      <xdr:rowOff>53484</xdr:rowOff>
    </xdr:to>
    <xdr:sp macro="" textlink="">
      <xdr:nvSpPr>
        <xdr:cNvPr id="5" name="台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730342" y="2008413"/>
          <a:ext cx="576000" cy="576000"/>
        </a:xfrm>
        <a:prstGeom prst="trapezoid">
          <a:avLst>
            <a:gd name="adj" fmla="val 19331"/>
          </a:avLst>
        </a:prstGeom>
        <a:solidFill>
          <a:schemeClr val="accent1">
            <a:lumMod val="40000"/>
            <a:lumOff val="60000"/>
          </a:schemeClr>
        </a:solidFill>
        <a:ln w="63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r>
            <a:rPr kumimoji="1" lang="en-US" altLang="ja-JP" sz="1100">
              <a:solidFill>
                <a:srgbClr val="0000FF"/>
              </a:solidFill>
            </a:rPr>
            <a:t>SiO</a:t>
          </a:r>
          <a:r>
            <a:rPr kumimoji="1" lang="en-US" altLang="ja-JP" sz="1100" baseline="-25000">
              <a:solidFill>
                <a:srgbClr val="0000FF"/>
              </a:solidFill>
            </a:rPr>
            <a:t>2</a:t>
          </a:r>
          <a:r>
            <a:rPr kumimoji="1" lang="en-US" altLang="ja-JP" sz="1100">
              <a:solidFill>
                <a:srgbClr val="0000FF"/>
              </a:solidFill>
            </a:rPr>
            <a:t> HM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14</xdr:col>
      <xdr:colOff>223158</xdr:colOff>
      <xdr:row>6</xdr:row>
      <xdr:rowOff>157843</xdr:rowOff>
    </xdr:from>
    <xdr:to>
      <xdr:col>15</xdr:col>
      <xdr:colOff>146015</xdr:colOff>
      <xdr:row>10</xdr:row>
      <xdr:rowOff>58929</xdr:rowOff>
    </xdr:to>
    <xdr:sp macro="" textlink="">
      <xdr:nvSpPr>
        <xdr:cNvPr id="6" name="台形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0194472" y="1338943"/>
          <a:ext cx="576000" cy="576000"/>
        </a:xfrm>
        <a:prstGeom prst="trapezoid">
          <a:avLst>
            <a:gd name="adj" fmla="val 6615"/>
          </a:avLst>
        </a:prstGeom>
        <a:solidFill>
          <a:schemeClr val="accent1">
            <a:lumMod val="40000"/>
            <a:lumOff val="60000"/>
          </a:schemeClr>
        </a:solidFill>
        <a:ln w="63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r>
            <a:rPr kumimoji="1" lang="en-US" altLang="ja-JP" sz="1100">
              <a:solidFill>
                <a:srgbClr val="0000FF"/>
              </a:solidFill>
            </a:rPr>
            <a:t>SiO</a:t>
          </a:r>
          <a:r>
            <a:rPr kumimoji="1" lang="en-US" altLang="ja-JP" sz="1100" baseline="-25000">
              <a:solidFill>
                <a:srgbClr val="0000FF"/>
              </a:solidFill>
            </a:rPr>
            <a:t>2</a:t>
          </a:r>
          <a:r>
            <a:rPr kumimoji="1" lang="en-US" altLang="ja-JP" sz="1100" baseline="0">
              <a:solidFill>
                <a:srgbClr val="0000FF"/>
              </a:solidFill>
            </a:rPr>
            <a:t> HM</a:t>
          </a:r>
          <a:endParaRPr kumimoji="1" lang="ja-JP" altLang="en-US" sz="1100" baseline="0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15</xdr:col>
      <xdr:colOff>401143</xdr:colOff>
      <xdr:row>47</xdr:row>
      <xdr:rowOff>56700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609599</xdr:colOff>
      <xdr:row>39</xdr:row>
      <xdr:rowOff>114299</xdr:rowOff>
    </xdr:from>
    <xdr:to>
      <xdr:col>10</xdr:col>
      <xdr:colOff>532456</xdr:colOff>
      <xdr:row>43</xdr:row>
      <xdr:rowOff>15385</xdr:rowOff>
    </xdr:to>
    <xdr:sp macro="" textlink="">
      <xdr:nvSpPr>
        <xdr:cNvPr id="8" name="台形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7315199" y="2645228"/>
          <a:ext cx="576000" cy="576000"/>
        </a:xfrm>
        <a:prstGeom prst="trapezoid">
          <a:avLst>
            <a:gd name="adj" fmla="val 38229"/>
          </a:avLst>
        </a:prstGeom>
        <a:solidFill>
          <a:schemeClr val="accent1">
            <a:lumMod val="40000"/>
            <a:lumOff val="60000"/>
          </a:schemeClr>
        </a:solidFill>
        <a:ln w="63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r>
            <a:rPr kumimoji="1" lang="en-US" altLang="ja-JP" sz="1100">
              <a:solidFill>
                <a:srgbClr val="0000FF"/>
              </a:solidFill>
            </a:rPr>
            <a:t>SiO</a:t>
          </a:r>
          <a:r>
            <a:rPr kumimoji="1" lang="en-US" altLang="ja-JP" sz="1100" baseline="-25000">
              <a:solidFill>
                <a:srgbClr val="0000FF"/>
              </a:solidFill>
            </a:rPr>
            <a:t>2</a:t>
          </a:r>
          <a:r>
            <a:rPr kumimoji="1" lang="en-US" altLang="ja-JP" sz="1100">
              <a:solidFill>
                <a:srgbClr val="0000FF"/>
              </a:solidFill>
            </a:rPr>
            <a:t> HM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65313</xdr:colOff>
      <xdr:row>35</xdr:row>
      <xdr:rowOff>152399</xdr:rowOff>
    </xdr:from>
    <xdr:to>
      <xdr:col>12</xdr:col>
      <xdr:colOff>641313</xdr:colOff>
      <xdr:row>39</xdr:row>
      <xdr:rowOff>53484</xdr:rowOff>
    </xdr:to>
    <xdr:sp macro="" textlink="">
      <xdr:nvSpPr>
        <xdr:cNvPr id="9" name="台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8730342" y="2008413"/>
          <a:ext cx="576000" cy="576000"/>
        </a:xfrm>
        <a:prstGeom prst="trapezoid">
          <a:avLst>
            <a:gd name="adj" fmla="val 19331"/>
          </a:avLst>
        </a:prstGeom>
        <a:solidFill>
          <a:schemeClr val="accent1">
            <a:lumMod val="40000"/>
            <a:lumOff val="60000"/>
          </a:schemeClr>
        </a:solidFill>
        <a:ln w="63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r>
            <a:rPr kumimoji="1" lang="en-US" altLang="ja-JP" sz="1100">
              <a:solidFill>
                <a:srgbClr val="0000FF"/>
              </a:solidFill>
            </a:rPr>
            <a:t>SiO</a:t>
          </a:r>
          <a:r>
            <a:rPr kumimoji="1" lang="en-US" altLang="ja-JP" sz="1100" baseline="-25000">
              <a:solidFill>
                <a:srgbClr val="0000FF"/>
              </a:solidFill>
            </a:rPr>
            <a:t>2</a:t>
          </a:r>
          <a:r>
            <a:rPr kumimoji="1" lang="en-US" altLang="ja-JP" sz="1100">
              <a:solidFill>
                <a:srgbClr val="0000FF"/>
              </a:solidFill>
            </a:rPr>
            <a:t> HM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14</xdr:col>
      <xdr:colOff>223158</xdr:colOff>
      <xdr:row>31</xdr:row>
      <xdr:rowOff>157843</xdr:rowOff>
    </xdr:from>
    <xdr:to>
      <xdr:col>15</xdr:col>
      <xdr:colOff>146015</xdr:colOff>
      <xdr:row>35</xdr:row>
      <xdr:rowOff>58929</xdr:rowOff>
    </xdr:to>
    <xdr:sp macro="" textlink="">
      <xdr:nvSpPr>
        <xdr:cNvPr id="10" name="台形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0194472" y="1338943"/>
          <a:ext cx="576000" cy="576000"/>
        </a:xfrm>
        <a:prstGeom prst="trapezoid">
          <a:avLst>
            <a:gd name="adj" fmla="val 6615"/>
          </a:avLst>
        </a:prstGeom>
        <a:solidFill>
          <a:schemeClr val="accent1">
            <a:lumMod val="40000"/>
            <a:lumOff val="60000"/>
          </a:schemeClr>
        </a:solidFill>
        <a:ln w="63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r>
            <a:rPr kumimoji="1" lang="en-US" altLang="ja-JP" sz="1100">
              <a:solidFill>
                <a:srgbClr val="0000FF"/>
              </a:solidFill>
            </a:rPr>
            <a:t>SiO</a:t>
          </a:r>
          <a:r>
            <a:rPr kumimoji="1" lang="en-US" altLang="ja-JP" sz="1100" baseline="-25000">
              <a:solidFill>
                <a:srgbClr val="0000FF"/>
              </a:solidFill>
            </a:rPr>
            <a:t>2</a:t>
          </a:r>
          <a:r>
            <a:rPr kumimoji="1" lang="en-US" altLang="ja-JP" sz="1100" baseline="0">
              <a:solidFill>
                <a:srgbClr val="0000FF"/>
              </a:solidFill>
            </a:rPr>
            <a:t> HM</a:t>
          </a:r>
          <a:endParaRPr kumimoji="1" lang="ja-JP" altLang="en-US" sz="1100" baseline="0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15</xdr:col>
      <xdr:colOff>401143</xdr:colOff>
      <xdr:row>72</xdr:row>
      <xdr:rowOff>56700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609599</xdr:colOff>
      <xdr:row>64</xdr:row>
      <xdr:rowOff>114299</xdr:rowOff>
    </xdr:from>
    <xdr:to>
      <xdr:col>10</xdr:col>
      <xdr:colOff>532456</xdr:colOff>
      <xdr:row>68</xdr:row>
      <xdr:rowOff>15385</xdr:rowOff>
    </xdr:to>
    <xdr:sp macro="" textlink="">
      <xdr:nvSpPr>
        <xdr:cNvPr id="12" name="台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315199" y="7032170"/>
          <a:ext cx="576000" cy="576001"/>
        </a:xfrm>
        <a:prstGeom prst="trapezoid">
          <a:avLst>
            <a:gd name="adj" fmla="val 38229"/>
          </a:avLst>
        </a:prstGeom>
        <a:solidFill>
          <a:schemeClr val="accent1">
            <a:lumMod val="40000"/>
            <a:lumOff val="60000"/>
          </a:schemeClr>
        </a:solidFill>
        <a:ln w="63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r>
            <a:rPr kumimoji="1" lang="en-US" altLang="ja-JP" sz="1100">
              <a:solidFill>
                <a:srgbClr val="0000FF"/>
              </a:solidFill>
            </a:rPr>
            <a:t>SiO</a:t>
          </a:r>
          <a:r>
            <a:rPr kumimoji="1" lang="en-US" altLang="ja-JP" sz="1100" baseline="-25000">
              <a:solidFill>
                <a:srgbClr val="0000FF"/>
              </a:solidFill>
            </a:rPr>
            <a:t>2</a:t>
          </a:r>
          <a:r>
            <a:rPr kumimoji="1" lang="en-US" altLang="ja-JP" sz="1100">
              <a:solidFill>
                <a:srgbClr val="0000FF"/>
              </a:solidFill>
            </a:rPr>
            <a:t> HM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65313</xdr:colOff>
      <xdr:row>60</xdr:row>
      <xdr:rowOff>152399</xdr:rowOff>
    </xdr:from>
    <xdr:to>
      <xdr:col>12</xdr:col>
      <xdr:colOff>641313</xdr:colOff>
      <xdr:row>64</xdr:row>
      <xdr:rowOff>53484</xdr:rowOff>
    </xdr:to>
    <xdr:sp macro="" textlink="">
      <xdr:nvSpPr>
        <xdr:cNvPr id="13" name="台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730342" y="6395356"/>
          <a:ext cx="576000" cy="575999"/>
        </a:xfrm>
        <a:prstGeom prst="trapezoid">
          <a:avLst>
            <a:gd name="adj" fmla="val 19331"/>
          </a:avLst>
        </a:prstGeom>
        <a:solidFill>
          <a:schemeClr val="accent1">
            <a:lumMod val="40000"/>
            <a:lumOff val="60000"/>
          </a:schemeClr>
        </a:solidFill>
        <a:ln w="63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r>
            <a:rPr kumimoji="1" lang="en-US" altLang="ja-JP" sz="1100">
              <a:solidFill>
                <a:srgbClr val="0000FF"/>
              </a:solidFill>
            </a:rPr>
            <a:t>SiO</a:t>
          </a:r>
          <a:r>
            <a:rPr kumimoji="1" lang="en-US" altLang="ja-JP" sz="1100" baseline="-25000">
              <a:solidFill>
                <a:srgbClr val="0000FF"/>
              </a:solidFill>
            </a:rPr>
            <a:t>2</a:t>
          </a:r>
          <a:r>
            <a:rPr kumimoji="1" lang="en-US" altLang="ja-JP" sz="1100">
              <a:solidFill>
                <a:srgbClr val="0000FF"/>
              </a:solidFill>
            </a:rPr>
            <a:t> HM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14</xdr:col>
      <xdr:colOff>223158</xdr:colOff>
      <xdr:row>56</xdr:row>
      <xdr:rowOff>157843</xdr:rowOff>
    </xdr:from>
    <xdr:to>
      <xdr:col>15</xdr:col>
      <xdr:colOff>146015</xdr:colOff>
      <xdr:row>60</xdr:row>
      <xdr:rowOff>58929</xdr:rowOff>
    </xdr:to>
    <xdr:sp macro="" textlink="">
      <xdr:nvSpPr>
        <xdr:cNvPr id="14" name="台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0194472" y="5725886"/>
          <a:ext cx="576000" cy="576000"/>
        </a:xfrm>
        <a:prstGeom prst="trapezoid">
          <a:avLst>
            <a:gd name="adj" fmla="val 6615"/>
          </a:avLst>
        </a:prstGeom>
        <a:solidFill>
          <a:schemeClr val="accent1">
            <a:lumMod val="40000"/>
            <a:lumOff val="60000"/>
          </a:schemeClr>
        </a:solidFill>
        <a:ln w="63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r>
            <a:rPr kumimoji="1" lang="en-US" altLang="ja-JP" sz="1100">
              <a:solidFill>
                <a:srgbClr val="0000FF"/>
              </a:solidFill>
            </a:rPr>
            <a:t>SiO</a:t>
          </a:r>
          <a:r>
            <a:rPr kumimoji="1" lang="en-US" altLang="ja-JP" sz="1100" baseline="-25000">
              <a:solidFill>
                <a:srgbClr val="0000FF"/>
              </a:solidFill>
            </a:rPr>
            <a:t>2</a:t>
          </a:r>
          <a:r>
            <a:rPr kumimoji="1" lang="en-US" altLang="ja-JP" sz="1100" baseline="0">
              <a:solidFill>
                <a:srgbClr val="0000FF"/>
              </a:solidFill>
            </a:rPr>
            <a:t> HM</a:t>
          </a:r>
          <a:endParaRPr kumimoji="1" lang="ja-JP" altLang="en-US" sz="1100" baseline="0">
            <a:solidFill>
              <a:srgbClr val="0000FF"/>
            </a:solidFill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22</xdr:col>
      <xdr:colOff>401143</xdr:colOff>
      <xdr:row>22</xdr:row>
      <xdr:rowOff>56700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163284</xdr:colOff>
      <xdr:row>6</xdr:row>
      <xdr:rowOff>48985</xdr:rowOff>
    </xdr:from>
    <xdr:to>
      <xdr:col>17</xdr:col>
      <xdr:colOff>523284</xdr:colOff>
      <xdr:row>8</xdr:row>
      <xdr:rowOff>71528</xdr:rowOff>
    </xdr:to>
    <xdr:sp macro="" textlink="">
      <xdr:nvSpPr>
        <xdr:cNvPr id="17" name="台形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299370" y="1230085"/>
          <a:ext cx="360000" cy="360000"/>
        </a:xfrm>
        <a:prstGeom prst="trapezoid">
          <a:avLst>
            <a:gd name="adj" fmla="val 38229"/>
          </a:avLst>
        </a:prstGeom>
        <a:solidFill>
          <a:schemeClr val="accent1">
            <a:lumMod val="40000"/>
            <a:lumOff val="60000"/>
          </a:schemeClr>
        </a:solidFill>
        <a:ln w="63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r>
            <a:rPr kumimoji="1" lang="en-US" altLang="ja-JP" sz="900">
              <a:solidFill>
                <a:srgbClr val="0000FF"/>
              </a:solidFill>
            </a:rPr>
            <a:t>SiO</a:t>
          </a:r>
          <a:r>
            <a:rPr kumimoji="1" lang="en-US" altLang="ja-JP" sz="900" baseline="-25000">
              <a:solidFill>
                <a:srgbClr val="0000FF"/>
              </a:solidFill>
            </a:rPr>
            <a:t>2</a:t>
          </a:r>
          <a:r>
            <a:rPr kumimoji="1" lang="ja-JP" altLang="en-US" sz="900">
              <a:solidFill>
                <a:srgbClr val="0000FF"/>
              </a:solidFill>
            </a:rPr>
            <a:t>厚膜</a:t>
          </a:r>
        </a:p>
      </xdr:txBody>
    </xdr:sp>
    <xdr:clientData/>
  </xdr:twoCellAnchor>
  <xdr:twoCellAnchor>
    <xdr:from>
      <xdr:col>19</xdr:col>
      <xdr:colOff>266697</xdr:colOff>
      <xdr:row>5</xdr:row>
      <xdr:rowOff>10883</xdr:rowOff>
    </xdr:from>
    <xdr:to>
      <xdr:col>19</xdr:col>
      <xdr:colOff>626697</xdr:colOff>
      <xdr:row>7</xdr:row>
      <xdr:rowOff>33425</xdr:rowOff>
    </xdr:to>
    <xdr:sp macro="" textlink="">
      <xdr:nvSpPr>
        <xdr:cNvPr id="18" name="台形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12709068" y="1023254"/>
          <a:ext cx="360000" cy="360000"/>
        </a:xfrm>
        <a:prstGeom prst="trapezoid">
          <a:avLst>
            <a:gd name="adj" fmla="val 19331"/>
          </a:avLst>
        </a:prstGeom>
        <a:solidFill>
          <a:schemeClr val="accent1">
            <a:lumMod val="40000"/>
            <a:lumOff val="60000"/>
          </a:schemeClr>
        </a:solidFill>
        <a:ln w="63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r>
            <a:rPr kumimoji="1" lang="en-US" altLang="ja-JP" sz="900">
              <a:solidFill>
                <a:srgbClr val="0000FF"/>
              </a:solidFill>
            </a:rPr>
            <a:t>SiO</a:t>
          </a:r>
          <a:r>
            <a:rPr kumimoji="1" lang="en-US" altLang="ja-JP" sz="900" baseline="-25000">
              <a:solidFill>
                <a:srgbClr val="0000FF"/>
              </a:solidFill>
            </a:rPr>
            <a:t>2</a:t>
          </a:r>
          <a:r>
            <a:rPr kumimoji="1" lang="ja-JP" altLang="en-US" sz="900">
              <a:solidFill>
                <a:srgbClr val="0000FF"/>
              </a:solidFill>
            </a:rPr>
            <a:t>厚膜</a:t>
          </a:r>
        </a:p>
      </xdr:txBody>
    </xdr:sp>
    <xdr:clientData/>
  </xdr:twoCellAnchor>
  <xdr:twoCellAnchor>
    <xdr:from>
      <xdr:col>21</xdr:col>
      <xdr:colOff>375558</xdr:colOff>
      <xdr:row>3</xdr:row>
      <xdr:rowOff>125186</xdr:rowOff>
    </xdr:from>
    <xdr:to>
      <xdr:col>22</xdr:col>
      <xdr:colOff>82415</xdr:colOff>
      <xdr:row>5</xdr:row>
      <xdr:rowOff>147729</xdr:rowOff>
    </xdr:to>
    <xdr:sp macro="" textlink="">
      <xdr:nvSpPr>
        <xdr:cNvPr id="19" name="台形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4124215" y="800100"/>
          <a:ext cx="360000" cy="360000"/>
        </a:xfrm>
        <a:prstGeom prst="trapezoid">
          <a:avLst>
            <a:gd name="adj" fmla="val 6615"/>
          </a:avLst>
        </a:prstGeom>
        <a:solidFill>
          <a:schemeClr val="accent1">
            <a:lumMod val="40000"/>
            <a:lumOff val="60000"/>
          </a:schemeClr>
        </a:solidFill>
        <a:ln w="63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r>
            <a:rPr kumimoji="1" lang="en-US" altLang="ja-JP" sz="900">
              <a:solidFill>
                <a:srgbClr val="0000FF"/>
              </a:solidFill>
            </a:rPr>
            <a:t>SiO</a:t>
          </a:r>
          <a:r>
            <a:rPr kumimoji="1" lang="en-US" altLang="ja-JP" sz="900" baseline="-25000">
              <a:solidFill>
                <a:srgbClr val="0000FF"/>
              </a:solidFill>
            </a:rPr>
            <a:t>2</a:t>
          </a:r>
          <a:r>
            <a:rPr kumimoji="1" lang="ja-JP" altLang="en-US" sz="900" baseline="0">
              <a:solidFill>
                <a:srgbClr val="0000FF"/>
              </a:solidFill>
            </a:rPr>
            <a:t>厚膜</a:t>
          </a:r>
        </a:p>
      </xdr:txBody>
    </xdr:sp>
    <xdr:clientData/>
  </xdr:twoCellAnchor>
  <xdr:twoCellAnchor>
    <xdr:from>
      <xdr:col>17</xdr:col>
      <xdr:colOff>168727</xdr:colOff>
      <xdr:row>15</xdr:row>
      <xdr:rowOff>130627</xdr:rowOff>
    </xdr:from>
    <xdr:to>
      <xdr:col>17</xdr:col>
      <xdr:colOff>528727</xdr:colOff>
      <xdr:row>17</xdr:row>
      <xdr:rowOff>9170</xdr:rowOff>
    </xdr:to>
    <xdr:sp macro="" textlink="">
      <xdr:nvSpPr>
        <xdr:cNvPr id="20" name="台形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1304813" y="2830284"/>
          <a:ext cx="360000" cy="216000"/>
        </a:xfrm>
        <a:prstGeom prst="trapezoid">
          <a:avLst>
            <a:gd name="adj" fmla="val 83333"/>
          </a:avLst>
        </a:prstGeom>
        <a:solidFill>
          <a:schemeClr val="accent1">
            <a:lumMod val="40000"/>
            <a:lumOff val="60000"/>
          </a:schemeClr>
        </a:solidFill>
        <a:ln w="63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r>
            <a:rPr kumimoji="1" lang="en-US" altLang="ja-JP" sz="900">
              <a:solidFill>
                <a:srgbClr val="0000FF"/>
              </a:solidFill>
            </a:rPr>
            <a:t>SiO</a:t>
          </a:r>
          <a:r>
            <a:rPr kumimoji="1" lang="en-US" altLang="ja-JP" sz="900" baseline="-25000">
              <a:solidFill>
                <a:srgbClr val="0000FF"/>
              </a:solidFill>
            </a:rPr>
            <a:t>2</a:t>
          </a:r>
          <a:r>
            <a:rPr kumimoji="1" lang="ja-JP" altLang="en-US" sz="900">
              <a:solidFill>
                <a:srgbClr val="0000FF"/>
              </a:solidFill>
            </a:rPr>
            <a:t>厚膜</a:t>
          </a:r>
        </a:p>
      </xdr:txBody>
    </xdr:sp>
    <xdr:clientData/>
  </xdr:twoCellAnchor>
  <xdr:twoCellAnchor>
    <xdr:from>
      <xdr:col>19</xdr:col>
      <xdr:colOff>272138</xdr:colOff>
      <xdr:row>11</xdr:row>
      <xdr:rowOff>114297</xdr:rowOff>
    </xdr:from>
    <xdr:to>
      <xdr:col>19</xdr:col>
      <xdr:colOff>632138</xdr:colOff>
      <xdr:row>13</xdr:row>
      <xdr:rowOff>136840</xdr:rowOff>
    </xdr:to>
    <xdr:sp macro="" textlink="">
      <xdr:nvSpPr>
        <xdr:cNvPr id="21" name="台形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12714509" y="2139040"/>
          <a:ext cx="360000" cy="360000"/>
        </a:xfrm>
        <a:prstGeom prst="trapezoid">
          <a:avLst>
            <a:gd name="adj" fmla="val 43522"/>
          </a:avLst>
        </a:prstGeom>
        <a:solidFill>
          <a:schemeClr val="accent1">
            <a:lumMod val="40000"/>
            <a:lumOff val="60000"/>
          </a:schemeClr>
        </a:solidFill>
        <a:ln w="63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r>
            <a:rPr kumimoji="1" lang="en-US" altLang="ja-JP" sz="900">
              <a:solidFill>
                <a:srgbClr val="0000FF"/>
              </a:solidFill>
            </a:rPr>
            <a:t>SiO</a:t>
          </a:r>
          <a:r>
            <a:rPr kumimoji="1" lang="en-US" altLang="ja-JP" sz="900" baseline="-25000">
              <a:solidFill>
                <a:srgbClr val="0000FF"/>
              </a:solidFill>
            </a:rPr>
            <a:t>2</a:t>
          </a:r>
          <a:r>
            <a:rPr kumimoji="1" lang="ja-JP" altLang="en-US" sz="900">
              <a:solidFill>
                <a:srgbClr val="0000FF"/>
              </a:solidFill>
            </a:rPr>
            <a:t>厚膜</a:t>
          </a:r>
        </a:p>
      </xdr:txBody>
    </xdr:sp>
    <xdr:clientData/>
  </xdr:twoCellAnchor>
  <xdr:twoCellAnchor>
    <xdr:from>
      <xdr:col>21</xdr:col>
      <xdr:colOff>381001</xdr:colOff>
      <xdr:row>8</xdr:row>
      <xdr:rowOff>10885</xdr:rowOff>
    </xdr:from>
    <xdr:to>
      <xdr:col>22</xdr:col>
      <xdr:colOff>87858</xdr:colOff>
      <xdr:row>10</xdr:row>
      <xdr:rowOff>33428</xdr:rowOff>
    </xdr:to>
    <xdr:sp macro="" textlink="">
      <xdr:nvSpPr>
        <xdr:cNvPr id="22" name="台形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4129658" y="1529442"/>
          <a:ext cx="360000" cy="360000"/>
        </a:xfrm>
        <a:prstGeom prst="trapezoid">
          <a:avLst>
            <a:gd name="adj" fmla="val 17198"/>
          </a:avLst>
        </a:prstGeom>
        <a:solidFill>
          <a:schemeClr val="accent1">
            <a:lumMod val="40000"/>
            <a:lumOff val="60000"/>
          </a:schemeClr>
        </a:solidFill>
        <a:ln w="63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r>
            <a:rPr kumimoji="1" lang="en-US" altLang="ja-JP" sz="900">
              <a:solidFill>
                <a:srgbClr val="0000FF"/>
              </a:solidFill>
            </a:rPr>
            <a:t>SiO</a:t>
          </a:r>
          <a:r>
            <a:rPr kumimoji="1" lang="en-US" altLang="ja-JP" sz="900" baseline="-25000">
              <a:solidFill>
                <a:srgbClr val="0000FF"/>
              </a:solidFill>
            </a:rPr>
            <a:t>2</a:t>
          </a:r>
          <a:r>
            <a:rPr kumimoji="1" lang="ja-JP" altLang="en-US" sz="900" baseline="0">
              <a:solidFill>
                <a:srgbClr val="0000FF"/>
              </a:solidFill>
            </a:rPr>
            <a:t>厚膜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51954-8735-4C42-8D12-F6CD0CE2EEF0}">
  <sheetPr codeName="Sheet1"/>
  <dimension ref="A1:K501"/>
  <sheetViews>
    <sheetView workbookViewId="0">
      <pane ySplit="1" topLeftCell="A2" activePane="bottomLeft" state="frozen"/>
      <selection pane="bottomLeft"/>
    </sheetView>
  </sheetViews>
  <sheetFormatPr defaultRowHeight="11.6" x14ac:dyDescent="0.25"/>
  <cols>
    <col min="1" max="1" width="4.921875" style="30" customWidth="1"/>
    <col min="2" max="2" width="11.07421875" style="36" customWidth="1"/>
    <col min="3" max="5" width="9.23046875" style="37"/>
    <col min="6" max="7" width="12.3046875" style="37" customWidth="1"/>
    <col min="8" max="8" width="9.23046875" style="37"/>
    <col min="9" max="9" width="27.69140625" style="37" customWidth="1"/>
    <col min="10" max="10" width="9.23046875" style="37"/>
    <col min="11" max="11" width="46.15234375" style="29" customWidth="1"/>
    <col min="12" max="16384" width="9.23046875" style="23"/>
  </cols>
  <sheetData>
    <row r="1" spans="1:11" s="24" customFormat="1" ht="24" thickTop="1" thickBot="1" x14ac:dyDescent="0.3">
      <c r="A1" s="39" t="s">
        <v>4</v>
      </c>
      <c r="B1" s="40" t="s">
        <v>3</v>
      </c>
      <c r="C1" s="25" t="s">
        <v>23</v>
      </c>
      <c r="D1" s="25" t="s">
        <v>24</v>
      </c>
      <c r="E1" s="26" t="s">
        <v>26</v>
      </c>
      <c r="F1" s="26" t="s">
        <v>27</v>
      </c>
      <c r="G1" s="26" t="s">
        <v>25</v>
      </c>
      <c r="H1" s="26" t="s">
        <v>28</v>
      </c>
      <c r="I1" s="26" t="s">
        <v>29</v>
      </c>
      <c r="J1" s="26" t="s">
        <v>30</v>
      </c>
      <c r="K1" s="27" t="s">
        <v>22</v>
      </c>
    </row>
    <row r="2" spans="1:11" ht="12" thickTop="1" x14ac:dyDescent="0.25">
      <c r="A2" s="30">
        <v>1</v>
      </c>
      <c r="B2" s="34"/>
      <c r="C2" s="35"/>
      <c r="D2" s="35"/>
      <c r="E2" s="35"/>
      <c r="F2" s="35"/>
      <c r="G2" s="35"/>
      <c r="H2" s="35"/>
      <c r="I2" s="35"/>
      <c r="J2" s="35"/>
      <c r="K2" s="28"/>
    </row>
    <row r="3" spans="1:11" x14ac:dyDescent="0.25">
      <c r="A3" s="30">
        <v>2</v>
      </c>
    </row>
    <row r="4" spans="1:11" x14ac:dyDescent="0.25">
      <c r="A4" s="30">
        <v>3</v>
      </c>
    </row>
    <row r="5" spans="1:11" x14ac:dyDescent="0.25">
      <c r="A5" s="30">
        <v>4</v>
      </c>
    </row>
    <row r="6" spans="1:11" x14ac:dyDescent="0.25">
      <c r="A6" s="30">
        <v>5</v>
      </c>
    </row>
    <row r="7" spans="1:11" x14ac:dyDescent="0.25">
      <c r="A7" s="30">
        <v>6</v>
      </c>
    </row>
    <row r="8" spans="1:11" x14ac:dyDescent="0.25">
      <c r="A8" s="30">
        <v>7</v>
      </c>
    </row>
    <row r="9" spans="1:11" x14ac:dyDescent="0.25">
      <c r="A9" s="30">
        <v>8</v>
      </c>
    </row>
    <row r="10" spans="1:11" x14ac:dyDescent="0.25">
      <c r="A10" s="30">
        <v>9</v>
      </c>
    </row>
    <row r="11" spans="1:11" x14ac:dyDescent="0.25">
      <c r="A11" s="30">
        <v>10</v>
      </c>
    </row>
    <row r="12" spans="1:11" x14ac:dyDescent="0.25">
      <c r="A12" s="30">
        <v>11</v>
      </c>
    </row>
    <row r="13" spans="1:11" x14ac:dyDescent="0.25">
      <c r="A13" s="30">
        <v>12</v>
      </c>
    </row>
    <row r="14" spans="1:11" x14ac:dyDescent="0.25">
      <c r="A14" s="30">
        <v>13</v>
      </c>
    </row>
    <row r="15" spans="1:11" x14ac:dyDescent="0.25">
      <c r="A15" s="30">
        <v>14</v>
      </c>
    </row>
    <row r="16" spans="1:11" x14ac:dyDescent="0.25">
      <c r="A16" s="30">
        <v>15</v>
      </c>
    </row>
    <row r="17" spans="1:1" x14ac:dyDescent="0.25">
      <c r="A17" s="30">
        <v>16</v>
      </c>
    </row>
    <row r="18" spans="1:1" x14ac:dyDescent="0.25">
      <c r="A18" s="30">
        <v>17</v>
      </c>
    </row>
    <row r="19" spans="1:1" x14ac:dyDescent="0.25">
      <c r="A19" s="30">
        <v>18</v>
      </c>
    </row>
    <row r="20" spans="1:1" x14ac:dyDescent="0.25">
      <c r="A20" s="30">
        <v>19</v>
      </c>
    </row>
    <row r="21" spans="1:1" x14ac:dyDescent="0.25">
      <c r="A21" s="30">
        <v>20</v>
      </c>
    </row>
    <row r="22" spans="1:1" x14ac:dyDescent="0.25">
      <c r="A22" s="30">
        <v>21</v>
      </c>
    </row>
    <row r="23" spans="1:1" x14ac:dyDescent="0.25">
      <c r="A23" s="30">
        <v>22</v>
      </c>
    </row>
    <row r="24" spans="1:1" x14ac:dyDescent="0.25">
      <c r="A24" s="30">
        <v>23</v>
      </c>
    </row>
    <row r="25" spans="1:1" x14ac:dyDescent="0.25">
      <c r="A25" s="30">
        <v>24</v>
      </c>
    </row>
    <row r="26" spans="1:1" x14ac:dyDescent="0.25">
      <c r="A26" s="30">
        <v>25</v>
      </c>
    </row>
    <row r="27" spans="1:1" x14ac:dyDescent="0.25">
      <c r="A27" s="30">
        <v>26</v>
      </c>
    </row>
    <row r="28" spans="1:1" x14ac:dyDescent="0.25">
      <c r="A28" s="30">
        <v>27</v>
      </c>
    </row>
    <row r="29" spans="1:1" x14ac:dyDescent="0.25">
      <c r="A29" s="30">
        <v>28</v>
      </c>
    </row>
    <row r="30" spans="1:1" x14ac:dyDescent="0.25">
      <c r="A30" s="30">
        <v>29</v>
      </c>
    </row>
    <row r="31" spans="1:1" x14ac:dyDescent="0.25">
      <c r="A31" s="30">
        <v>30</v>
      </c>
    </row>
    <row r="32" spans="1:1" x14ac:dyDescent="0.25">
      <c r="A32" s="30">
        <v>31</v>
      </c>
    </row>
    <row r="33" spans="1:1" x14ac:dyDescent="0.25">
      <c r="A33" s="30">
        <v>32</v>
      </c>
    </row>
    <row r="34" spans="1:1" x14ac:dyDescent="0.25">
      <c r="A34" s="30">
        <v>33</v>
      </c>
    </row>
    <row r="35" spans="1:1" x14ac:dyDescent="0.25">
      <c r="A35" s="30">
        <v>34</v>
      </c>
    </row>
    <row r="36" spans="1:1" x14ac:dyDescent="0.25">
      <c r="A36" s="30">
        <v>35</v>
      </c>
    </row>
    <row r="37" spans="1:1" x14ac:dyDescent="0.25">
      <c r="A37" s="30">
        <v>36</v>
      </c>
    </row>
    <row r="38" spans="1:1" x14ac:dyDescent="0.25">
      <c r="A38" s="30">
        <v>37</v>
      </c>
    </row>
    <row r="39" spans="1:1" x14ac:dyDescent="0.25">
      <c r="A39" s="30">
        <v>38</v>
      </c>
    </row>
    <row r="40" spans="1:1" x14ac:dyDescent="0.25">
      <c r="A40" s="30">
        <v>39</v>
      </c>
    </row>
    <row r="41" spans="1:1" x14ac:dyDescent="0.25">
      <c r="A41" s="30">
        <v>40</v>
      </c>
    </row>
    <row r="42" spans="1:1" x14ac:dyDescent="0.25">
      <c r="A42" s="30">
        <v>41</v>
      </c>
    </row>
    <row r="43" spans="1:1" x14ac:dyDescent="0.25">
      <c r="A43" s="30">
        <v>42</v>
      </c>
    </row>
    <row r="44" spans="1:1" x14ac:dyDescent="0.25">
      <c r="A44" s="30">
        <v>43</v>
      </c>
    </row>
    <row r="45" spans="1:1" x14ac:dyDescent="0.25">
      <c r="A45" s="30">
        <v>44</v>
      </c>
    </row>
    <row r="46" spans="1:1" x14ac:dyDescent="0.25">
      <c r="A46" s="30">
        <v>45</v>
      </c>
    </row>
    <row r="47" spans="1:1" x14ac:dyDescent="0.25">
      <c r="A47" s="30">
        <v>46</v>
      </c>
    </row>
    <row r="48" spans="1:1" x14ac:dyDescent="0.25">
      <c r="A48" s="30">
        <v>47</v>
      </c>
    </row>
    <row r="49" spans="1:1" x14ac:dyDescent="0.25">
      <c r="A49" s="30">
        <v>48</v>
      </c>
    </row>
    <row r="50" spans="1:1" x14ac:dyDescent="0.25">
      <c r="A50" s="30">
        <v>49</v>
      </c>
    </row>
    <row r="51" spans="1:1" x14ac:dyDescent="0.25">
      <c r="A51" s="30">
        <v>50</v>
      </c>
    </row>
    <row r="52" spans="1:1" x14ac:dyDescent="0.25">
      <c r="A52" s="30">
        <v>51</v>
      </c>
    </row>
    <row r="53" spans="1:1" x14ac:dyDescent="0.25">
      <c r="A53" s="30">
        <v>52</v>
      </c>
    </row>
    <row r="54" spans="1:1" x14ac:dyDescent="0.25">
      <c r="A54" s="30">
        <v>53</v>
      </c>
    </row>
    <row r="55" spans="1:1" x14ac:dyDescent="0.25">
      <c r="A55" s="30">
        <v>54</v>
      </c>
    </row>
    <row r="56" spans="1:1" x14ac:dyDescent="0.25">
      <c r="A56" s="30">
        <v>55</v>
      </c>
    </row>
    <row r="57" spans="1:1" x14ac:dyDescent="0.25">
      <c r="A57" s="30">
        <v>56</v>
      </c>
    </row>
    <row r="58" spans="1:1" x14ac:dyDescent="0.25">
      <c r="A58" s="30">
        <v>57</v>
      </c>
    </row>
    <row r="59" spans="1:1" x14ac:dyDescent="0.25">
      <c r="A59" s="30">
        <v>58</v>
      </c>
    </row>
    <row r="60" spans="1:1" x14ac:dyDescent="0.25">
      <c r="A60" s="30">
        <v>59</v>
      </c>
    </row>
    <row r="61" spans="1:1" x14ac:dyDescent="0.25">
      <c r="A61" s="30">
        <v>60</v>
      </c>
    </row>
    <row r="62" spans="1:1" x14ac:dyDescent="0.25">
      <c r="A62" s="30">
        <v>61</v>
      </c>
    </row>
    <row r="63" spans="1:1" x14ac:dyDescent="0.25">
      <c r="A63" s="30">
        <v>62</v>
      </c>
    </row>
    <row r="64" spans="1:1" x14ac:dyDescent="0.25">
      <c r="A64" s="30">
        <v>63</v>
      </c>
    </row>
    <row r="65" spans="1:1" x14ac:dyDescent="0.25">
      <c r="A65" s="30">
        <v>64</v>
      </c>
    </row>
    <row r="66" spans="1:1" x14ac:dyDescent="0.25">
      <c r="A66" s="30">
        <v>65</v>
      </c>
    </row>
    <row r="67" spans="1:1" x14ac:dyDescent="0.25">
      <c r="A67" s="30">
        <v>66</v>
      </c>
    </row>
    <row r="68" spans="1:1" x14ac:dyDescent="0.25">
      <c r="A68" s="30">
        <v>67</v>
      </c>
    </row>
    <row r="69" spans="1:1" x14ac:dyDescent="0.25">
      <c r="A69" s="30">
        <v>68</v>
      </c>
    </row>
    <row r="70" spans="1:1" x14ac:dyDescent="0.25">
      <c r="A70" s="30">
        <v>69</v>
      </c>
    </row>
    <row r="71" spans="1:1" x14ac:dyDescent="0.25">
      <c r="A71" s="30">
        <v>70</v>
      </c>
    </row>
    <row r="72" spans="1:1" x14ac:dyDescent="0.25">
      <c r="A72" s="30">
        <v>71</v>
      </c>
    </row>
    <row r="73" spans="1:1" x14ac:dyDescent="0.25">
      <c r="A73" s="30">
        <v>72</v>
      </c>
    </row>
    <row r="74" spans="1:1" x14ac:dyDescent="0.25">
      <c r="A74" s="30">
        <v>73</v>
      </c>
    </row>
    <row r="75" spans="1:1" x14ac:dyDescent="0.25">
      <c r="A75" s="30">
        <v>74</v>
      </c>
    </row>
    <row r="76" spans="1:1" x14ac:dyDescent="0.25">
      <c r="A76" s="30">
        <v>75</v>
      </c>
    </row>
    <row r="77" spans="1:1" x14ac:dyDescent="0.25">
      <c r="A77" s="30">
        <v>76</v>
      </c>
    </row>
    <row r="78" spans="1:1" x14ac:dyDescent="0.25">
      <c r="A78" s="30">
        <v>77</v>
      </c>
    </row>
    <row r="79" spans="1:1" x14ac:dyDescent="0.25">
      <c r="A79" s="30">
        <v>78</v>
      </c>
    </row>
    <row r="80" spans="1:1" x14ac:dyDescent="0.25">
      <c r="A80" s="30">
        <v>79</v>
      </c>
    </row>
    <row r="81" spans="1:1" x14ac:dyDescent="0.25">
      <c r="A81" s="30">
        <v>80</v>
      </c>
    </row>
    <row r="82" spans="1:1" x14ac:dyDescent="0.25">
      <c r="A82" s="30">
        <v>81</v>
      </c>
    </row>
    <row r="83" spans="1:1" x14ac:dyDescent="0.25">
      <c r="A83" s="30">
        <v>82</v>
      </c>
    </row>
    <row r="84" spans="1:1" x14ac:dyDescent="0.25">
      <c r="A84" s="30">
        <v>83</v>
      </c>
    </row>
    <row r="85" spans="1:1" x14ac:dyDescent="0.25">
      <c r="A85" s="30">
        <v>84</v>
      </c>
    </row>
    <row r="86" spans="1:1" x14ac:dyDescent="0.25">
      <c r="A86" s="30">
        <v>85</v>
      </c>
    </row>
    <row r="87" spans="1:1" x14ac:dyDescent="0.25">
      <c r="A87" s="30">
        <v>86</v>
      </c>
    </row>
    <row r="88" spans="1:1" x14ac:dyDescent="0.25">
      <c r="A88" s="30">
        <v>87</v>
      </c>
    </row>
    <row r="89" spans="1:1" x14ac:dyDescent="0.25">
      <c r="A89" s="30">
        <v>88</v>
      </c>
    </row>
    <row r="90" spans="1:1" x14ac:dyDescent="0.25">
      <c r="A90" s="30">
        <v>89</v>
      </c>
    </row>
    <row r="91" spans="1:1" x14ac:dyDescent="0.25">
      <c r="A91" s="30">
        <v>90</v>
      </c>
    </row>
    <row r="92" spans="1:1" x14ac:dyDescent="0.25">
      <c r="A92" s="30">
        <v>91</v>
      </c>
    </row>
    <row r="93" spans="1:1" x14ac:dyDescent="0.25">
      <c r="A93" s="30">
        <v>92</v>
      </c>
    </row>
    <row r="94" spans="1:1" x14ac:dyDescent="0.25">
      <c r="A94" s="30">
        <v>93</v>
      </c>
    </row>
    <row r="95" spans="1:1" x14ac:dyDescent="0.25">
      <c r="A95" s="30">
        <v>94</v>
      </c>
    </row>
    <row r="96" spans="1:1" x14ac:dyDescent="0.25">
      <c r="A96" s="30">
        <v>95</v>
      </c>
    </row>
    <row r="97" spans="1:1" x14ac:dyDescent="0.25">
      <c r="A97" s="30">
        <v>96</v>
      </c>
    </row>
    <row r="98" spans="1:1" x14ac:dyDescent="0.25">
      <c r="A98" s="30">
        <v>97</v>
      </c>
    </row>
    <row r="99" spans="1:1" x14ac:dyDescent="0.25">
      <c r="A99" s="30">
        <v>98</v>
      </c>
    </row>
    <row r="100" spans="1:1" x14ac:dyDescent="0.25">
      <c r="A100" s="30">
        <v>99</v>
      </c>
    </row>
    <row r="101" spans="1:1" x14ac:dyDescent="0.25">
      <c r="A101" s="30">
        <v>100</v>
      </c>
    </row>
    <row r="102" spans="1:1" x14ac:dyDescent="0.25">
      <c r="A102" s="30">
        <v>101</v>
      </c>
    </row>
    <row r="103" spans="1:1" x14ac:dyDescent="0.25">
      <c r="A103" s="30">
        <v>102</v>
      </c>
    </row>
    <row r="104" spans="1:1" x14ac:dyDescent="0.25">
      <c r="A104" s="30">
        <v>103</v>
      </c>
    </row>
    <row r="105" spans="1:1" x14ac:dyDescent="0.25">
      <c r="A105" s="30">
        <v>104</v>
      </c>
    </row>
    <row r="106" spans="1:1" x14ac:dyDescent="0.25">
      <c r="A106" s="30">
        <v>105</v>
      </c>
    </row>
    <row r="107" spans="1:1" x14ac:dyDescent="0.25">
      <c r="A107" s="30">
        <v>106</v>
      </c>
    </row>
    <row r="108" spans="1:1" x14ac:dyDescent="0.25">
      <c r="A108" s="30">
        <v>107</v>
      </c>
    </row>
    <row r="109" spans="1:1" x14ac:dyDescent="0.25">
      <c r="A109" s="30">
        <v>108</v>
      </c>
    </row>
    <row r="110" spans="1:1" x14ac:dyDescent="0.25">
      <c r="A110" s="30">
        <v>109</v>
      </c>
    </row>
    <row r="111" spans="1:1" x14ac:dyDescent="0.25">
      <c r="A111" s="30">
        <v>110</v>
      </c>
    </row>
    <row r="112" spans="1:1" x14ac:dyDescent="0.25">
      <c r="A112" s="30">
        <v>111</v>
      </c>
    </row>
    <row r="113" spans="1:1" x14ac:dyDescent="0.25">
      <c r="A113" s="30">
        <v>112</v>
      </c>
    </row>
    <row r="114" spans="1:1" x14ac:dyDescent="0.25">
      <c r="A114" s="30">
        <v>113</v>
      </c>
    </row>
    <row r="115" spans="1:1" x14ac:dyDescent="0.25">
      <c r="A115" s="30">
        <v>114</v>
      </c>
    </row>
    <row r="116" spans="1:1" x14ac:dyDescent="0.25">
      <c r="A116" s="30">
        <v>115</v>
      </c>
    </row>
    <row r="117" spans="1:1" x14ac:dyDescent="0.25">
      <c r="A117" s="30">
        <v>116</v>
      </c>
    </row>
    <row r="118" spans="1:1" x14ac:dyDescent="0.25">
      <c r="A118" s="30">
        <v>117</v>
      </c>
    </row>
    <row r="119" spans="1:1" x14ac:dyDescent="0.25">
      <c r="A119" s="30">
        <v>118</v>
      </c>
    </row>
    <row r="120" spans="1:1" x14ac:dyDescent="0.25">
      <c r="A120" s="30">
        <v>119</v>
      </c>
    </row>
    <row r="121" spans="1:1" x14ac:dyDescent="0.25">
      <c r="A121" s="30">
        <v>120</v>
      </c>
    </row>
    <row r="122" spans="1:1" x14ac:dyDescent="0.25">
      <c r="A122" s="30">
        <v>121</v>
      </c>
    </row>
    <row r="123" spans="1:1" x14ac:dyDescent="0.25">
      <c r="A123" s="30">
        <v>122</v>
      </c>
    </row>
    <row r="124" spans="1:1" x14ac:dyDescent="0.25">
      <c r="A124" s="30">
        <v>123</v>
      </c>
    </row>
    <row r="125" spans="1:1" x14ac:dyDescent="0.25">
      <c r="A125" s="30">
        <v>124</v>
      </c>
    </row>
    <row r="126" spans="1:1" x14ac:dyDescent="0.25">
      <c r="A126" s="30">
        <v>125</v>
      </c>
    </row>
    <row r="127" spans="1:1" x14ac:dyDescent="0.25">
      <c r="A127" s="30">
        <v>126</v>
      </c>
    </row>
    <row r="128" spans="1:1" x14ac:dyDescent="0.25">
      <c r="A128" s="30">
        <v>127</v>
      </c>
    </row>
    <row r="129" spans="1:1" x14ac:dyDescent="0.25">
      <c r="A129" s="30">
        <v>128</v>
      </c>
    </row>
    <row r="130" spans="1:1" x14ac:dyDescent="0.25">
      <c r="A130" s="30">
        <v>129</v>
      </c>
    </row>
    <row r="131" spans="1:1" x14ac:dyDescent="0.25">
      <c r="A131" s="30">
        <v>130</v>
      </c>
    </row>
    <row r="132" spans="1:1" x14ac:dyDescent="0.25">
      <c r="A132" s="30">
        <v>131</v>
      </c>
    </row>
    <row r="133" spans="1:1" x14ac:dyDescent="0.25">
      <c r="A133" s="30">
        <v>132</v>
      </c>
    </row>
    <row r="134" spans="1:1" x14ac:dyDescent="0.25">
      <c r="A134" s="30">
        <v>133</v>
      </c>
    </row>
    <row r="135" spans="1:1" x14ac:dyDescent="0.25">
      <c r="A135" s="30">
        <v>134</v>
      </c>
    </row>
    <row r="136" spans="1:1" x14ac:dyDescent="0.25">
      <c r="A136" s="30">
        <v>135</v>
      </c>
    </row>
    <row r="137" spans="1:1" x14ac:dyDescent="0.25">
      <c r="A137" s="30">
        <v>136</v>
      </c>
    </row>
    <row r="138" spans="1:1" x14ac:dyDescent="0.25">
      <c r="A138" s="30">
        <v>137</v>
      </c>
    </row>
    <row r="139" spans="1:1" x14ac:dyDescent="0.25">
      <c r="A139" s="30">
        <v>138</v>
      </c>
    </row>
    <row r="140" spans="1:1" x14ac:dyDescent="0.25">
      <c r="A140" s="30">
        <v>139</v>
      </c>
    </row>
    <row r="141" spans="1:1" x14ac:dyDescent="0.25">
      <c r="A141" s="30">
        <v>140</v>
      </c>
    </row>
    <row r="142" spans="1:1" x14ac:dyDescent="0.25">
      <c r="A142" s="30">
        <v>141</v>
      </c>
    </row>
    <row r="143" spans="1:1" x14ac:dyDescent="0.25">
      <c r="A143" s="30">
        <v>142</v>
      </c>
    </row>
    <row r="144" spans="1:1" x14ac:dyDescent="0.25">
      <c r="A144" s="30">
        <v>143</v>
      </c>
    </row>
    <row r="145" spans="1:1" x14ac:dyDescent="0.25">
      <c r="A145" s="30">
        <v>144</v>
      </c>
    </row>
    <row r="146" spans="1:1" x14ac:dyDescent="0.25">
      <c r="A146" s="30">
        <v>145</v>
      </c>
    </row>
    <row r="147" spans="1:1" x14ac:dyDescent="0.25">
      <c r="A147" s="30">
        <v>146</v>
      </c>
    </row>
    <row r="148" spans="1:1" x14ac:dyDescent="0.25">
      <c r="A148" s="30">
        <v>147</v>
      </c>
    </row>
    <row r="149" spans="1:1" x14ac:dyDescent="0.25">
      <c r="A149" s="30">
        <v>148</v>
      </c>
    </row>
    <row r="150" spans="1:1" x14ac:dyDescent="0.25">
      <c r="A150" s="30">
        <v>149</v>
      </c>
    </row>
    <row r="151" spans="1:1" x14ac:dyDescent="0.25">
      <c r="A151" s="30">
        <v>150</v>
      </c>
    </row>
    <row r="152" spans="1:1" x14ac:dyDescent="0.25">
      <c r="A152" s="30">
        <v>151</v>
      </c>
    </row>
    <row r="153" spans="1:1" x14ac:dyDescent="0.25">
      <c r="A153" s="30">
        <v>152</v>
      </c>
    </row>
    <row r="154" spans="1:1" x14ac:dyDescent="0.25">
      <c r="A154" s="30">
        <v>153</v>
      </c>
    </row>
    <row r="155" spans="1:1" x14ac:dyDescent="0.25">
      <c r="A155" s="30">
        <v>154</v>
      </c>
    </row>
    <row r="156" spans="1:1" x14ac:dyDescent="0.25">
      <c r="A156" s="30">
        <v>155</v>
      </c>
    </row>
    <row r="157" spans="1:1" x14ac:dyDescent="0.25">
      <c r="A157" s="30">
        <v>156</v>
      </c>
    </row>
    <row r="158" spans="1:1" x14ac:dyDescent="0.25">
      <c r="A158" s="30">
        <v>157</v>
      </c>
    </row>
    <row r="159" spans="1:1" x14ac:dyDescent="0.25">
      <c r="A159" s="30">
        <v>158</v>
      </c>
    </row>
    <row r="160" spans="1:1" x14ac:dyDescent="0.25">
      <c r="A160" s="30">
        <v>159</v>
      </c>
    </row>
    <row r="161" spans="1:1" x14ac:dyDescent="0.25">
      <c r="A161" s="30">
        <v>160</v>
      </c>
    </row>
    <row r="162" spans="1:1" x14ac:dyDescent="0.25">
      <c r="A162" s="30">
        <v>161</v>
      </c>
    </row>
    <row r="163" spans="1:1" x14ac:dyDescent="0.25">
      <c r="A163" s="30">
        <v>162</v>
      </c>
    </row>
    <row r="164" spans="1:1" x14ac:dyDescent="0.25">
      <c r="A164" s="30">
        <v>163</v>
      </c>
    </row>
    <row r="165" spans="1:1" x14ac:dyDescent="0.25">
      <c r="A165" s="30">
        <v>164</v>
      </c>
    </row>
    <row r="166" spans="1:1" x14ac:dyDescent="0.25">
      <c r="A166" s="30">
        <v>165</v>
      </c>
    </row>
    <row r="167" spans="1:1" x14ac:dyDescent="0.25">
      <c r="A167" s="30">
        <v>166</v>
      </c>
    </row>
    <row r="168" spans="1:1" x14ac:dyDescent="0.25">
      <c r="A168" s="30">
        <v>167</v>
      </c>
    </row>
    <row r="169" spans="1:1" x14ac:dyDescent="0.25">
      <c r="A169" s="30">
        <v>168</v>
      </c>
    </row>
    <row r="170" spans="1:1" x14ac:dyDescent="0.25">
      <c r="A170" s="30">
        <v>169</v>
      </c>
    </row>
    <row r="171" spans="1:1" x14ac:dyDescent="0.25">
      <c r="A171" s="30">
        <v>170</v>
      </c>
    </row>
    <row r="172" spans="1:1" x14ac:dyDescent="0.25">
      <c r="A172" s="30">
        <v>171</v>
      </c>
    </row>
    <row r="173" spans="1:1" x14ac:dyDescent="0.25">
      <c r="A173" s="30">
        <v>172</v>
      </c>
    </row>
    <row r="174" spans="1:1" x14ac:dyDescent="0.25">
      <c r="A174" s="30">
        <v>173</v>
      </c>
    </row>
    <row r="175" spans="1:1" x14ac:dyDescent="0.25">
      <c r="A175" s="30">
        <v>174</v>
      </c>
    </row>
    <row r="176" spans="1:1" x14ac:dyDescent="0.25">
      <c r="A176" s="30">
        <v>175</v>
      </c>
    </row>
    <row r="177" spans="1:1" x14ac:dyDescent="0.25">
      <c r="A177" s="30">
        <v>176</v>
      </c>
    </row>
    <row r="178" spans="1:1" x14ac:dyDescent="0.25">
      <c r="A178" s="30">
        <v>177</v>
      </c>
    </row>
    <row r="179" spans="1:1" x14ac:dyDescent="0.25">
      <c r="A179" s="30">
        <v>178</v>
      </c>
    </row>
    <row r="180" spans="1:1" x14ac:dyDescent="0.25">
      <c r="A180" s="30">
        <v>179</v>
      </c>
    </row>
    <row r="181" spans="1:1" x14ac:dyDescent="0.25">
      <c r="A181" s="30">
        <v>180</v>
      </c>
    </row>
    <row r="182" spans="1:1" x14ac:dyDescent="0.25">
      <c r="A182" s="30">
        <v>181</v>
      </c>
    </row>
    <row r="183" spans="1:1" x14ac:dyDescent="0.25">
      <c r="A183" s="30">
        <v>182</v>
      </c>
    </row>
    <row r="184" spans="1:1" x14ac:dyDescent="0.25">
      <c r="A184" s="30">
        <v>183</v>
      </c>
    </row>
    <row r="185" spans="1:1" x14ac:dyDescent="0.25">
      <c r="A185" s="30">
        <v>184</v>
      </c>
    </row>
    <row r="186" spans="1:1" x14ac:dyDescent="0.25">
      <c r="A186" s="30">
        <v>185</v>
      </c>
    </row>
    <row r="187" spans="1:1" x14ac:dyDescent="0.25">
      <c r="A187" s="30">
        <v>186</v>
      </c>
    </row>
    <row r="188" spans="1:1" x14ac:dyDescent="0.25">
      <c r="A188" s="30">
        <v>187</v>
      </c>
    </row>
    <row r="189" spans="1:1" x14ac:dyDescent="0.25">
      <c r="A189" s="30">
        <v>188</v>
      </c>
    </row>
    <row r="190" spans="1:1" x14ac:dyDescent="0.25">
      <c r="A190" s="30">
        <v>189</v>
      </c>
    </row>
    <row r="191" spans="1:1" x14ac:dyDescent="0.25">
      <c r="A191" s="30">
        <v>190</v>
      </c>
    </row>
    <row r="192" spans="1:1" x14ac:dyDescent="0.25">
      <c r="A192" s="30">
        <v>191</v>
      </c>
    </row>
    <row r="193" spans="1:1" x14ac:dyDescent="0.25">
      <c r="A193" s="30">
        <v>192</v>
      </c>
    </row>
    <row r="194" spans="1:1" x14ac:dyDescent="0.25">
      <c r="A194" s="30">
        <v>193</v>
      </c>
    </row>
    <row r="195" spans="1:1" x14ac:dyDescent="0.25">
      <c r="A195" s="30">
        <v>194</v>
      </c>
    </row>
    <row r="196" spans="1:1" x14ac:dyDescent="0.25">
      <c r="A196" s="30">
        <v>195</v>
      </c>
    </row>
    <row r="197" spans="1:1" x14ac:dyDescent="0.25">
      <c r="A197" s="30">
        <v>196</v>
      </c>
    </row>
    <row r="198" spans="1:1" x14ac:dyDescent="0.25">
      <c r="A198" s="30">
        <v>197</v>
      </c>
    </row>
    <row r="199" spans="1:1" x14ac:dyDescent="0.25">
      <c r="A199" s="30">
        <v>198</v>
      </c>
    </row>
    <row r="200" spans="1:1" x14ac:dyDescent="0.25">
      <c r="A200" s="30">
        <v>199</v>
      </c>
    </row>
    <row r="201" spans="1:1" x14ac:dyDescent="0.25">
      <c r="A201" s="30">
        <v>200</v>
      </c>
    </row>
    <row r="202" spans="1:1" x14ac:dyDescent="0.25">
      <c r="A202" s="30">
        <v>201</v>
      </c>
    </row>
    <row r="203" spans="1:1" x14ac:dyDescent="0.25">
      <c r="A203" s="30">
        <v>202</v>
      </c>
    </row>
    <row r="204" spans="1:1" x14ac:dyDescent="0.25">
      <c r="A204" s="30">
        <v>203</v>
      </c>
    </row>
    <row r="205" spans="1:1" x14ac:dyDescent="0.25">
      <c r="A205" s="30">
        <v>204</v>
      </c>
    </row>
    <row r="206" spans="1:1" x14ac:dyDescent="0.25">
      <c r="A206" s="30">
        <v>205</v>
      </c>
    </row>
    <row r="207" spans="1:1" x14ac:dyDescent="0.25">
      <c r="A207" s="30">
        <v>206</v>
      </c>
    </row>
    <row r="208" spans="1:1" x14ac:dyDescent="0.25">
      <c r="A208" s="30">
        <v>207</v>
      </c>
    </row>
    <row r="209" spans="1:1" x14ac:dyDescent="0.25">
      <c r="A209" s="30">
        <v>208</v>
      </c>
    </row>
    <row r="210" spans="1:1" x14ac:dyDescent="0.25">
      <c r="A210" s="30">
        <v>209</v>
      </c>
    </row>
    <row r="211" spans="1:1" x14ac:dyDescent="0.25">
      <c r="A211" s="30">
        <v>210</v>
      </c>
    </row>
    <row r="212" spans="1:1" x14ac:dyDescent="0.25">
      <c r="A212" s="30">
        <v>211</v>
      </c>
    </row>
    <row r="213" spans="1:1" x14ac:dyDescent="0.25">
      <c r="A213" s="30">
        <v>212</v>
      </c>
    </row>
    <row r="214" spans="1:1" x14ac:dyDescent="0.25">
      <c r="A214" s="30">
        <v>213</v>
      </c>
    </row>
    <row r="215" spans="1:1" x14ac:dyDescent="0.25">
      <c r="A215" s="30">
        <v>214</v>
      </c>
    </row>
    <row r="216" spans="1:1" x14ac:dyDescent="0.25">
      <c r="A216" s="30">
        <v>215</v>
      </c>
    </row>
    <row r="217" spans="1:1" x14ac:dyDescent="0.25">
      <c r="A217" s="30">
        <v>216</v>
      </c>
    </row>
    <row r="218" spans="1:1" x14ac:dyDescent="0.25">
      <c r="A218" s="30">
        <v>217</v>
      </c>
    </row>
    <row r="219" spans="1:1" x14ac:dyDescent="0.25">
      <c r="A219" s="30">
        <v>218</v>
      </c>
    </row>
    <row r="220" spans="1:1" x14ac:dyDescent="0.25">
      <c r="A220" s="30">
        <v>219</v>
      </c>
    </row>
    <row r="221" spans="1:1" x14ac:dyDescent="0.25">
      <c r="A221" s="30">
        <v>220</v>
      </c>
    </row>
    <row r="222" spans="1:1" x14ac:dyDescent="0.25">
      <c r="A222" s="30">
        <v>221</v>
      </c>
    </row>
    <row r="223" spans="1:1" x14ac:dyDescent="0.25">
      <c r="A223" s="30">
        <v>222</v>
      </c>
    </row>
    <row r="224" spans="1:1" x14ac:dyDescent="0.25">
      <c r="A224" s="30">
        <v>223</v>
      </c>
    </row>
    <row r="225" spans="1:1" x14ac:dyDescent="0.25">
      <c r="A225" s="30">
        <v>224</v>
      </c>
    </row>
    <row r="226" spans="1:1" x14ac:dyDescent="0.25">
      <c r="A226" s="30">
        <v>225</v>
      </c>
    </row>
    <row r="227" spans="1:1" x14ac:dyDescent="0.25">
      <c r="A227" s="30">
        <v>226</v>
      </c>
    </row>
    <row r="228" spans="1:1" x14ac:dyDescent="0.25">
      <c r="A228" s="30">
        <v>227</v>
      </c>
    </row>
    <row r="229" spans="1:1" x14ac:dyDescent="0.25">
      <c r="A229" s="30">
        <v>228</v>
      </c>
    </row>
    <row r="230" spans="1:1" x14ac:dyDescent="0.25">
      <c r="A230" s="30">
        <v>229</v>
      </c>
    </row>
    <row r="231" spans="1:1" x14ac:dyDescent="0.25">
      <c r="A231" s="30">
        <v>230</v>
      </c>
    </row>
    <row r="232" spans="1:1" x14ac:dyDescent="0.25">
      <c r="A232" s="30">
        <v>231</v>
      </c>
    </row>
    <row r="233" spans="1:1" x14ac:dyDescent="0.25">
      <c r="A233" s="30">
        <v>232</v>
      </c>
    </row>
    <row r="234" spans="1:1" x14ac:dyDescent="0.25">
      <c r="A234" s="30">
        <v>233</v>
      </c>
    </row>
    <row r="235" spans="1:1" x14ac:dyDescent="0.25">
      <c r="A235" s="30">
        <v>234</v>
      </c>
    </row>
    <row r="236" spans="1:1" x14ac:dyDescent="0.25">
      <c r="A236" s="30">
        <v>235</v>
      </c>
    </row>
    <row r="237" spans="1:1" x14ac:dyDescent="0.25">
      <c r="A237" s="30">
        <v>236</v>
      </c>
    </row>
    <row r="238" spans="1:1" x14ac:dyDescent="0.25">
      <c r="A238" s="30">
        <v>237</v>
      </c>
    </row>
    <row r="239" spans="1:1" x14ac:dyDescent="0.25">
      <c r="A239" s="30">
        <v>238</v>
      </c>
    </row>
    <row r="240" spans="1:1" x14ac:dyDescent="0.25">
      <c r="A240" s="30">
        <v>239</v>
      </c>
    </row>
    <row r="241" spans="1:1" x14ac:dyDescent="0.25">
      <c r="A241" s="30">
        <v>240</v>
      </c>
    </row>
    <row r="242" spans="1:1" x14ac:dyDescent="0.25">
      <c r="A242" s="30">
        <v>241</v>
      </c>
    </row>
    <row r="243" spans="1:1" x14ac:dyDescent="0.25">
      <c r="A243" s="30">
        <v>242</v>
      </c>
    </row>
    <row r="244" spans="1:1" x14ac:dyDescent="0.25">
      <c r="A244" s="30">
        <v>243</v>
      </c>
    </row>
    <row r="245" spans="1:1" x14ac:dyDescent="0.25">
      <c r="A245" s="30">
        <v>244</v>
      </c>
    </row>
    <row r="246" spans="1:1" x14ac:dyDescent="0.25">
      <c r="A246" s="30">
        <v>245</v>
      </c>
    </row>
    <row r="247" spans="1:1" x14ac:dyDescent="0.25">
      <c r="A247" s="30">
        <v>246</v>
      </c>
    </row>
    <row r="248" spans="1:1" x14ac:dyDescent="0.25">
      <c r="A248" s="30">
        <v>247</v>
      </c>
    </row>
    <row r="249" spans="1:1" x14ac:dyDescent="0.25">
      <c r="A249" s="30">
        <v>248</v>
      </c>
    </row>
    <row r="250" spans="1:1" x14ac:dyDescent="0.25">
      <c r="A250" s="30">
        <v>249</v>
      </c>
    </row>
    <row r="251" spans="1:1" x14ac:dyDescent="0.25">
      <c r="A251" s="30">
        <v>250</v>
      </c>
    </row>
    <row r="252" spans="1:1" x14ac:dyDescent="0.25">
      <c r="A252" s="30">
        <v>251</v>
      </c>
    </row>
    <row r="253" spans="1:1" x14ac:dyDescent="0.25">
      <c r="A253" s="30">
        <v>252</v>
      </c>
    </row>
    <row r="254" spans="1:1" x14ac:dyDescent="0.25">
      <c r="A254" s="30">
        <v>253</v>
      </c>
    </row>
    <row r="255" spans="1:1" x14ac:dyDescent="0.25">
      <c r="A255" s="30">
        <v>254</v>
      </c>
    </row>
    <row r="256" spans="1:1" x14ac:dyDescent="0.25">
      <c r="A256" s="30">
        <v>255</v>
      </c>
    </row>
    <row r="257" spans="1:1" x14ac:dyDescent="0.25">
      <c r="A257" s="30">
        <v>256</v>
      </c>
    </row>
    <row r="258" spans="1:1" x14ac:dyDescent="0.25">
      <c r="A258" s="30">
        <v>257</v>
      </c>
    </row>
    <row r="259" spans="1:1" x14ac:dyDescent="0.25">
      <c r="A259" s="30">
        <v>258</v>
      </c>
    </row>
    <row r="260" spans="1:1" x14ac:dyDescent="0.25">
      <c r="A260" s="30">
        <v>259</v>
      </c>
    </row>
    <row r="261" spans="1:1" x14ac:dyDescent="0.25">
      <c r="A261" s="30">
        <v>260</v>
      </c>
    </row>
    <row r="262" spans="1:1" x14ac:dyDescent="0.25">
      <c r="A262" s="30">
        <v>261</v>
      </c>
    </row>
    <row r="263" spans="1:1" x14ac:dyDescent="0.25">
      <c r="A263" s="30">
        <v>262</v>
      </c>
    </row>
    <row r="264" spans="1:1" x14ac:dyDescent="0.25">
      <c r="A264" s="30">
        <v>263</v>
      </c>
    </row>
    <row r="265" spans="1:1" x14ac:dyDescent="0.25">
      <c r="A265" s="30">
        <v>264</v>
      </c>
    </row>
    <row r="266" spans="1:1" x14ac:dyDescent="0.25">
      <c r="A266" s="30">
        <v>265</v>
      </c>
    </row>
    <row r="267" spans="1:1" x14ac:dyDescent="0.25">
      <c r="A267" s="30">
        <v>266</v>
      </c>
    </row>
    <row r="268" spans="1:1" x14ac:dyDescent="0.25">
      <c r="A268" s="30">
        <v>267</v>
      </c>
    </row>
    <row r="269" spans="1:1" x14ac:dyDescent="0.25">
      <c r="A269" s="30">
        <v>268</v>
      </c>
    </row>
    <row r="270" spans="1:1" x14ac:dyDescent="0.25">
      <c r="A270" s="30">
        <v>269</v>
      </c>
    </row>
    <row r="271" spans="1:1" x14ac:dyDescent="0.25">
      <c r="A271" s="30">
        <v>270</v>
      </c>
    </row>
    <row r="272" spans="1:1" x14ac:dyDescent="0.25">
      <c r="A272" s="30">
        <v>271</v>
      </c>
    </row>
    <row r="273" spans="1:1" x14ac:dyDescent="0.25">
      <c r="A273" s="30">
        <v>272</v>
      </c>
    </row>
    <row r="274" spans="1:1" x14ac:dyDescent="0.25">
      <c r="A274" s="30">
        <v>273</v>
      </c>
    </row>
    <row r="275" spans="1:1" x14ac:dyDescent="0.25">
      <c r="A275" s="30">
        <v>274</v>
      </c>
    </row>
    <row r="276" spans="1:1" x14ac:dyDescent="0.25">
      <c r="A276" s="30">
        <v>275</v>
      </c>
    </row>
    <row r="277" spans="1:1" x14ac:dyDescent="0.25">
      <c r="A277" s="30">
        <v>276</v>
      </c>
    </row>
    <row r="278" spans="1:1" x14ac:dyDescent="0.25">
      <c r="A278" s="30">
        <v>277</v>
      </c>
    </row>
    <row r="279" spans="1:1" x14ac:dyDescent="0.25">
      <c r="A279" s="30">
        <v>278</v>
      </c>
    </row>
    <row r="280" spans="1:1" x14ac:dyDescent="0.25">
      <c r="A280" s="30">
        <v>279</v>
      </c>
    </row>
    <row r="281" spans="1:1" x14ac:dyDescent="0.25">
      <c r="A281" s="30">
        <v>280</v>
      </c>
    </row>
    <row r="282" spans="1:1" x14ac:dyDescent="0.25">
      <c r="A282" s="30">
        <v>281</v>
      </c>
    </row>
    <row r="283" spans="1:1" x14ac:dyDescent="0.25">
      <c r="A283" s="30">
        <v>282</v>
      </c>
    </row>
    <row r="284" spans="1:1" x14ac:dyDescent="0.25">
      <c r="A284" s="30">
        <v>283</v>
      </c>
    </row>
    <row r="285" spans="1:1" x14ac:dyDescent="0.25">
      <c r="A285" s="30">
        <v>284</v>
      </c>
    </row>
    <row r="286" spans="1:1" x14ac:dyDescent="0.25">
      <c r="A286" s="30">
        <v>285</v>
      </c>
    </row>
    <row r="287" spans="1:1" x14ac:dyDescent="0.25">
      <c r="A287" s="30">
        <v>286</v>
      </c>
    </row>
    <row r="288" spans="1:1" x14ac:dyDescent="0.25">
      <c r="A288" s="30">
        <v>287</v>
      </c>
    </row>
    <row r="289" spans="1:1" x14ac:dyDescent="0.25">
      <c r="A289" s="30">
        <v>288</v>
      </c>
    </row>
    <row r="290" spans="1:1" x14ac:dyDescent="0.25">
      <c r="A290" s="30">
        <v>289</v>
      </c>
    </row>
    <row r="291" spans="1:1" x14ac:dyDescent="0.25">
      <c r="A291" s="30">
        <v>290</v>
      </c>
    </row>
    <row r="292" spans="1:1" x14ac:dyDescent="0.25">
      <c r="A292" s="30">
        <v>291</v>
      </c>
    </row>
    <row r="293" spans="1:1" x14ac:dyDescent="0.25">
      <c r="A293" s="30">
        <v>292</v>
      </c>
    </row>
    <row r="294" spans="1:1" x14ac:dyDescent="0.25">
      <c r="A294" s="30">
        <v>293</v>
      </c>
    </row>
    <row r="295" spans="1:1" x14ac:dyDescent="0.25">
      <c r="A295" s="30">
        <v>294</v>
      </c>
    </row>
    <row r="296" spans="1:1" x14ac:dyDescent="0.25">
      <c r="A296" s="30">
        <v>295</v>
      </c>
    </row>
    <row r="297" spans="1:1" x14ac:dyDescent="0.25">
      <c r="A297" s="30">
        <v>296</v>
      </c>
    </row>
    <row r="298" spans="1:1" x14ac:dyDescent="0.25">
      <c r="A298" s="30">
        <v>297</v>
      </c>
    </row>
    <row r="299" spans="1:1" x14ac:dyDescent="0.25">
      <c r="A299" s="30">
        <v>298</v>
      </c>
    </row>
    <row r="300" spans="1:1" x14ac:dyDescent="0.25">
      <c r="A300" s="30">
        <v>299</v>
      </c>
    </row>
    <row r="301" spans="1:1" x14ac:dyDescent="0.25">
      <c r="A301" s="30">
        <v>300</v>
      </c>
    </row>
    <row r="302" spans="1:1" x14ac:dyDescent="0.25">
      <c r="A302" s="30">
        <v>301</v>
      </c>
    </row>
    <row r="303" spans="1:1" x14ac:dyDescent="0.25">
      <c r="A303" s="30">
        <v>302</v>
      </c>
    </row>
    <row r="304" spans="1:1" x14ac:dyDescent="0.25">
      <c r="A304" s="30">
        <v>303</v>
      </c>
    </row>
    <row r="305" spans="1:1" x14ac:dyDescent="0.25">
      <c r="A305" s="30">
        <v>304</v>
      </c>
    </row>
    <row r="306" spans="1:1" x14ac:dyDescent="0.25">
      <c r="A306" s="30">
        <v>305</v>
      </c>
    </row>
    <row r="307" spans="1:1" x14ac:dyDescent="0.25">
      <c r="A307" s="30">
        <v>306</v>
      </c>
    </row>
    <row r="308" spans="1:1" x14ac:dyDescent="0.25">
      <c r="A308" s="30">
        <v>307</v>
      </c>
    </row>
    <row r="309" spans="1:1" x14ac:dyDescent="0.25">
      <c r="A309" s="30">
        <v>308</v>
      </c>
    </row>
    <row r="310" spans="1:1" x14ac:dyDescent="0.25">
      <c r="A310" s="30">
        <v>309</v>
      </c>
    </row>
    <row r="311" spans="1:1" x14ac:dyDescent="0.25">
      <c r="A311" s="30">
        <v>310</v>
      </c>
    </row>
    <row r="312" spans="1:1" x14ac:dyDescent="0.25">
      <c r="A312" s="30">
        <v>311</v>
      </c>
    </row>
    <row r="313" spans="1:1" x14ac:dyDescent="0.25">
      <c r="A313" s="30">
        <v>312</v>
      </c>
    </row>
    <row r="314" spans="1:1" x14ac:dyDescent="0.25">
      <c r="A314" s="30">
        <v>313</v>
      </c>
    </row>
    <row r="315" spans="1:1" x14ac:dyDescent="0.25">
      <c r="A315" s="30">
        <v>314</v>
      </c>
    </row>
    <row r="316" spans="1:1" x14ac:dyDescent="0.25">
      <c r="A316" s="30">
        <v>315</v>
      </c>
    </row>
    <row r="317" spans="1:1" x14ac:dyDescent="0.25">
      <c r="A317" s="30">
        <v>316</v>
      </c>
    </row>
    <row r="318" spans="1:1" x14ac:dyDescent="0.25">
      <c r="A318" s="30">
        <v>317</v>
      </c>
    </row>
    <row r="319" spans="1:1" x14ac:dyDescent="0.25">
      <c r="A319" s="30">
        <v>318</v>
      </c>
    </row>
    <row r="320" spans="1:1" x14ac:dyDescent="0.25">
      <c r="A320" s="30">
        <v>319</v>
      </c>
    </row>
    <row r="321" spans="1:1" x14ac:dyDescent="0.25">
      <c r="A321" s="30">
        <v>320</v>
      </c>
    </row>
    <row r="322" spans="1:1" x14ac:dyDescent="0.25">
      <c r="A322" s="30">
        <v>321</v>
      </c>
    </row>
    <row r="323" spans="1:1" x14ac:dyDescent="0.25">
      <c r="A323" s="30">
        <v>322</v>
      </c>
    </row>
    <row r="324" spans="1:1" x14ac:dyDescent="0.25">
      <c r="A324" s="30">
        <v>323</v>
      </c>
    </row>
    <row r="325" spans="1:1" x14ac:dyDescent="0.25">
      <c r="A325" s="30">
        <v>324</v>
      </c>
    </row>
    <row r="326" spans="1:1" x14ac:dyDescent="0.25">
      <c r="A326" s="30">
        <v>325</v>
      </c>
    </row>
    <row r="327" spans="1:1" x14ac:dyDescent="0.25">
      <c r="A327" s="30">
        <v>326</v>
      </c>
    </row>
    <row r="328" spans="1:1" x14ac:dyDescent="0.25">
      <c r="A328" s="30">
        <v>327</v>
      </c>
    </row>
    <row r="329" spans="1:1" x14ac:dyDescent="0.25">
      <c r="A329" s="30">
        <v>328</v>
      </c>
    </row>
    <row r="330" spans="1:1" x14ac:dyDescent="0.25">
      <c r="A330" s="30">
        <v>329</v>
      </c>
    </row>
    <row r="331" spans="1:1" x14ac:dyDescent="0.25">
      <c r="A331" s="30">
        <v>330</v>
      </c>
    </row>
    <row r="332" spans="1:1" x14ac:dyDescent="0.25">
      <c r="A332" s="30">
        <v>331</v>
      </c>
    </row>
    <row r="333" spans="1:1" x14ac:dyDescent="0.25">
      <c r="A333" s="30">
        <v>332</v>
      </c>
    </row>
    <row r="334" spans="1:1" x14ac:dyDescent="0.25">
      <c r="A334" s="30">
        <v>333</v>
      </c>
    </row>
    <row r="335" spans="1:1" x14ac:dyDescent="0.25">
      <c r="A335" s="30">
        <v>334</v>
      </c>
    </row>
    <row r="336" spans="1:1" x14ac:dyDescent="0.25">
      <c r="A336" s="30">
        <v>335</v>
      </c>
    </row>
    <row r="337" spans="1:1" x14ac:dyDescent="0.25">
      <c r="A337" s="30">
        <v>336</v>
      </c>
    </row>
    <row r="338" spans="1:1" x14ac:dyDescent="0.25">
      <c r="A338" s="30">
        <v>337</v>
      </c>
    </row>
    <row r="339" spans="1:1" x14ac:dyDescent="0.25">
      <c r="A339" s="30">
        <v>338</v>
      </c>
    </row>
    <row r="340" spans="1:1" x14ac:dyDescent="0.25">
      <c r="A340" s="30">
        <v>339</v>
      </c>
    </row>
    <row r="341" spans="1:1" x14ac:dyDescent="0.25">
      <c r="A341" s="30">
        <v>340</v>
      </c>
    </row>
    <row r="342" spans="1:1" x14ac:dyDescent="0.25">
      <c r="A342" s="30">
        <v>341</v>
      </c>
    </row>
    <row r="343" spans="1:1" x14ac:dyDescent="0.25">
      <c r="A343" s="30">
        <v>342</v>
      </c>
    </row>
    <row r="344" spans="1:1" x14ac:dyDescent="0.25">
      <c r="A344" s="30">
        <v>343</v>
      </c>
    </row>
    <row r="345" spans="1:1" x14ac:dyDescent="0.25">
      <c r="A345" s="30">
        <v>344</v>
      </c>
    </row>
    <row r="346" spans="1:1" x14ac:dyDescent="0.25">
      <c r="A346" s="30">
        <v>345</v>
      </c>
    </row>
    <row r="347" spans="1:1" x14ac:dyDescent="0.25">
      <c r="A347" s="30">
        <v>346</v>
      </c>
    </row>
    <row r="348" spans="1:1" x14ac:dyDescent="0.25">
      <c r="A348" s="30">
        <v>347</v>
      </c>
    </row>
    <row r="349" spans="1:1" x14ac:dyDescent="0.25">
      <c r="A349" s="30">
        <v>348</v>
      </c>
    </row>
    <row r="350" spans="1:1" x14ac:dyDescent="0.25">
      <c r="A350" s="30">
        <v>349</v>
      </c>
    </row>
    <row r="351" spans="1:1" x14ac:dyDescent="0.25">
      <c r="A351" s="30">
        <v>350</v>
      </c>
    </row>
    <row r="352" spans="1:1" x14ac:dyDescent="0.25">
      <c r="A352" s="30">
        <v>351</v>
      </c>
    </row>
    <row r="353" spans="1:1" x14ac:dyDescent="0.25">
      <c r="A353" s="30">
        <v>352</v>
      </c>
    </row>
    <row r="354" spans="1:1" x14ac:dyDescent="0.25">
      <c r="A354" s="30">
        <v>353</v>
      </c>
    </row>
    <row r="355" spans="1:1" x14ac:dyDescent="0.25">
      <c r="A355" s="30">
        <v>354</v>
      </c>
    </row>
    <row r="356" spans="1:1" x14ac:dyDescent="0.25">
      <c r="A356" s="30">
        <v>355</v>
      </c>
    </row>
    <row r="357" spans="1:1" x14ac:dyDescent="0.25">
      <c r="A357" s="30">
        <v>356</v>
      </c>
    </row>
    <row r="358" spans="1:1" x14ac:dyDescent="0.25">
      <c r="A358" s="30">
        <v>357</v>
      </c>
    </row>
    <row r="359" spans="1:1" x14ac:dyDescent="0.25">
      <c r="A359" s="30">
        <v>358</v>
      </c>
    </row>
    <row r="360" spans="1:1" x14ac:dyDescent="0.25">
      <c r="A360" s="30">
        <v>359</v>
      </c>
    </row>
    <row r="361" spans="1:1" x14ac:dyDescent="0.25">
      <c r="A361" s="30">
        <v>360</v>
      </c>
    </row>
    <row r="362" spans="1:1" x14ac:dyDescent="0.25">
      <c r="A362" s="30">
        <v>361</v>
      </c>
    </row>
    <row r="363" spans="1:1" x14ac:dyDescent="0.25">
      <c r="A363" s="30">
        <v>362</v>
      </c>
    </row>
    <row r="364" spans="1:1" x14ac:dyDescent="0.25">
      <c r="A364" s="30">
        <v>363</v>
      </c>
    </row>
    <row r="365" spans="1:1" x14ac:dyDescent="0.25">
      <c r="A365" s="30">
        <v>364</v>
      </c>
    </row>
    <row r="366" spans="1:1" x14ac:dyDescent="0.25">
      <c r="A366" s="30">
        <v>365</v>
      </c>
    </row>
    <row r="367" spans="1:1" x14ac:dyDescent="0.25">
      <c r="A367" s="30">
        <v>366</v>
      </c>
    </row>
    <row r="368" spans="1:1" x14ac:dyDescent="0.25">
      <c r="A368" s="30">
        <v>367</v>
      </c>
    </row>
    <row r="369" spans="1:1" x14ac:dyDescent="0.25">
      <c r="A369" s="30">
        <v>368</v>
      </c>
    </row>
    <row r="370" spans="1:1" x14ac:dyDescent="0.25">
      <c r="A370" s="30">
        <v>369</v>
      </c>
    </row>
    <row r="371" spans="1:1" x14ac:dyDescent="0.25">
      <c r="A371" s="30">
        <v>370</v>
      </c>
    </row>
    <row r="372" spans="1:1" x14ac:dyDescent="0.25">
      <c r="A372" s="30">
        <v>371</v>
      </c>
    </row>
    <row r="373" spans="1:1" x14ac:dyDescent="0.25">
      <c r="A373" s="30">
        <v>372</v>
      </c>
    </row>
    <row r="374" spans="1:1" x14ac:dyDescent="0.25">
      <c r="A374" s="30">
        <v>373</v>
      </c>
    </row>
    <row r="375" spans="1:1" x14ac:dyDescent="0.25">
      <c r="A375" s="30">
        <v>374</v>
      </c>
    </row>
    <row r="376" spans="1:1" x14ac:dyDescent="0.25">
      <c r="A376" s="30">
        <v>375</v>
      </c>
    </row>
    <row r="377" spans="1:1" x14ac:dyDescent="0.25">
      <c r="A377" s="30">
        <v>376</v>
      </c>
    </row>
    <row r="378" spans="1:1" x14ac:dyDescent="0.25">
      <c r="A378" s="30">
        <v>377</v>
      </c>
    </row>
    <row r="379" spans="1:1" x14ac:dyDescent="0.25">
      <c r="A379" s="30">
        <v>378</v>
      </c>
    </row>
    <row r="380" spans="1:1" x14ac:dyDescent="0.25">
      <c r="A380" s="30">
        <v>379</v>
      </c>
    </row>
    <row r="381" spans="1:1" x14ac:dyDescent="0.25">
      <c r="A381" s="30">
        <v>380</v>
      </c>
    </row>
    <row r="382" spans="1:1" x14ac:dyDescent="0.25">
      <c r="A382" s="30">
        <v>381</v>
      </c>
    </row>
    <row r="383" spans="1:1" x14ac:dyDescent="0.25">
      <c r="A383" s="30">
        <v>382</v>
      </c>
    </row>
    <row r="384" spans="1:1" x14ac:dyDescent="0.25">
      <c r="A384" s="30">
        <v>383</v>
      </c>
    </row>
    <row r="385" spans="1:1" x14ac:dyDescent="0.25">
      <c r="A385" s="30">
        <v>384</v>
      </c>
    </row>
    <row r="386" spans="1:1" x14ac:dyDescent="0.25">
      <c r="A386" s="30">
        <v>385</v>
      </c>
    </row>
    <row r="387" spans="1:1" x14ac:dyDescent="0.25">
      <c r="A387" s="30">
        <v>386</v>
      </c>
    </row>
    <row r="388" spans="1:1" x14ac:dyDescent="0.25">
      <c r="A388" s="30">
        <v>387</v>
      </c>
    </row>
    <row r="389" spans="1:1" x14ac:dyDescent="0.25">
      <c r="A389" s="30">
        <v>388</v>
      </c>
    </row>
    <row r="390" spans="1:1" x14ac:dyDescent="0.25">
      <c r="A390" s="30">
        <v>389</v>
      </c>
    </row>
    <row r="391" spans="1:1" x14ac:dyDescent="0.25">
      <c r="A391" s="30">
        <v>390</v>
      </c>
    </row>
    <row r="392" spans="1:1" x14ac:dyDescent="0.25">
      <c r="A392" s="30">
        <v>391</v>
      </c>
    </row>
    <row r="393" spans="1:1" x14ac:dyDescent="0.25">
      <c r="A393" s="30">
        <v>392</v>
      </c>
    </row>
    <row r="394" spans="1:1" x14ac:dyDescent="0.25">
      <c r="A394" s="30">
        <v>393</v>
      </c>
    </row>
    <row r="395" spans="1:1" x14ac:dyDescent="0.25">
      <c r="A395" s="30">
        <v>394</v>
      </c>
    </row>
    <row r="396" spans="1:1" x14ac:dyDescent="0.25">
      <c r="A396" s="30">
        <v>395</v>
      </c>
    </row>
    <row r="397" spans="1:1" x14ac:dyDescent="0.25">
      <c r="A397" s="30">
        <v>396</v>
      </c>
    </row>
    <row r="398" spans="1:1" x14ac:dyDescent="0.25">
      <c r="A398" s="30">
        <v>397</v>
      </c>
    </row>
    <row r="399" spans="1:1" x14ac:dyDescent="0.25">
      <c r="A399" s="30">
        <v>398</v>
      </c>
    </row>
    <row r="400" spans="1:1" x14ac:dyDescent="0.25">
      <c r="A400" s="30">
        <v>399</v>
      </c>
    </row>
    <row r="401" spans="1:1" x14ac:dyDescent="0.25">
      <c r="A401" s="30">
        <v>400</v>
      </c>
    </row>
    <row r="402" spans="1:1" x14ac:dyDescent="0.25">
      <c r="A402" s="30">
        <v>401</v>
      </c>
    </row>
    <row r="403" spans="1:1" x14ac:dyDescent="0.25">
      <c r="A403" s="30">
        <v>402</v>
      </c>
    </row>
    <row r="404" spans="1:1" x14ac:dyDescent="0.25">
      <c r="A404" s="30">
        <v>403</v>
      </c>
    </row>
    <row r="405" spans="1:1" x14ac:dyDescent="0.25">
      <c r="A405" s="30">
        <v>404</v>
      </c>
    </row>
    <row r="406" spans="1:1" x14ac:dyDescent="0.25">
      <c r="A406" s="30">
        <v>405</v>
      </c>
    </row>
    <row r="407" spans="1:1" x14ac:dyDescent="0.25">
      <c r="A407" s="30">
        <v>406</v>
      </c>
    </row>
    <row r="408" spans="1:1" x14ac:dyDescent="0.25">
      <c r="A408" s="30">
        <v>407</v>
      </c>
    </row>
    <row r="409" spans="1:1" x14ac:dyDescent="0.25">
      <c r="A409" s="30">
        <v>408</v>
      </c>
    </row>
    <row r="410" spans="1:1" x14ac:dyDescent="0.25">
      <c r="A410" s="30">
        <v>409</v>
      </c>
    </row>
    <row r="411" spans="1:1" x14ac:dyDescent="0.25">
      <c r="A411" s="30">
        <v>410</v>
      </c>
    </row>
    <row r="412" spans="1:1" x14ac:dyDescent="0.25">
      <c r="A412" s="30">
        <v>411</v>
      </c>
    </row>
    <row r="413" spans="1:1" x14ac:dyDescent="0.25">
      <c r="A413" s="30">
        <v>412</v>
      </c>
    </row>
    <row r="414" spans="1:1" x14ac:dyDescent="0.25">
      <c r="A414" s="30">
        <v>413</v>
      </c>
    </row>
    <row r="415" spans="1:1" x14ac:dyDescent="0.25">
      <c r="A415" s="30">
        <v>414</v>
      </c>
    </row>
    <row r="416" spans="1:1" x14ac:dyDescent="0.25">
      <c r="A416" s="30">
        <v>415</v>
      </c>
    </row>
    <row r="417" spans="1:1" x14ac:dyDescent="0.25">
      <c r="A417" s="30">
        <v>416</v>
      </c>
    </row>
    <row r="418" spans="1:1" x14ac:dyDescent="0.25">
      <c r="A418" s="30">
        <v>417</v>
      </c>
    </row>
    <row r="419" spans="1:1" x14ac:dyDescent="0.25">
      <c r="A419" s="30">
        <v>418</v>
      </c>
    </row>
    <row r="420" spans="1:1" x14ac:dyDescent="0.25">
      <c r="A420" s="30">
        <v>419</v>
      </c>
    </row>
    <row r="421" spans="1:1" x14ac:dyDescent="0.25">
      <c r="A421" s="30">
        <v>420</v>
      </c>
    </row>
    <row r="422" spans="1:1" x14ac:dyDescent="0.25">
      <c r="A422" s="30">
        <v>421</v>
      </c>
    </row>
    <row r="423" spans="1:1" x14ac:dyDescent="0.25">
      <c r="A423" s="30">
        <v>422</v>
      </c>
    </row>
    <row r="424" spans="1:1" x14ac:dyDescent="0.25">
      <c r="A424" s="30">
        <v>423</v>
      </c>
    </row>
    <row r="425" spans="1:1" x14ac:dyDescent="0.25">
      <c r="A425" s="30">
        <v>424</v>
      </c>
    </row>
    <row r="426" spans="1:1" x14ac:dyDescent="0.25">
      <c r="A426" s="30">
        <v>425</v>
      </c>
    </row>
    <row r="427" spans="1:1" x14ac:dyDescent="0.25">
      <c r="A427" s="30">
        <v>426</v>
      </c>
    </row>
    <row r="428" spans="1:1" x14ac:dyDescent="0.25">
      <c r="A428" s="30">
        <v>427</v>
      </c>
    </row>
    <row r="429" spans="1:1" x14ac:dyDescent="0.25">
      <c r="A429" s="30">
        <v>428</v>
      </c>
    </row>
    <row r="430" spans="1:1" x14ac:dyDescent="0.25">
      <c r="A430" s="30">
        <v>429</v>
      </c>
    </row>
    <row r="431" spans="1:1" x14ac:dyDescent="0.25">
      <c r="A431" s="30">
        <v>430</v>
      </c>
    </row>
    <row r="432" spans="1:1" x14ac:dyDescent="0.25">
      <c r="A432" s="30">
        <v>431</v>
      </c>
    </row>
    <row r="433" spans="1:1" x14ac:dyDescent="0.25">
      <c r="A433" s="30">
        <v>432</v>
      </c>
    </row>
    <row r="434" spans="1:1" x14ac:dyDescent="0.25">
      <c r="A434" s="30">
        <v>433</v>
      </c>
    </row>
    <row r="435" spans="1:1" x14ac:dyDescent="0.25">
      <c r="A435" s="30">
        <v>434</v>
      </c>
    </row>
    <row r="436" spans="1:1" x14ac:dyDescent="0.25">
      <c r="A436" s="30">
        <v>435</v>
      </c>
    </row>
    <row r="437" spans="1:1" x14ac:dyDescent="0.25">
      <c r="A437" s="30">
        <v>436</v>
      </c>
    </row>
    <row r="438" spans="1:1" x14ac:dyDescent="0.25">
      <c r="A438" s="30">
        <v>437</v>
      </c>
    </row>
    <row r="439" spans="1:1" x14ac:dyDescent="0.25">
      <c r="A439" s="30">
        <v>438</v>
      </c>
    </row>
    <row r="440" spans="1:1" x14ac:dyDescent="0.25">
      <c r="A440" s="30">
        <v>439</v>
      </c>
    </row>
    <row r="441" spans="1:1" x14ac:dyDescent="0.25">
      <c r="A441" s="30">
        <v>440</v>
      </c>
    </row>
    <row r="442" spans="1:1" x14ac:dyDescent="0.25">
      <c r="A442" s="30">
        <v>441</v>
      </c>
    </row>
    <row r="443" spans="1:1" x14ac:dyDescent="0.25">
      <c r="A443" s="30">
        <v>442</v>
      </c>
    </row>
    <row r="444" spans="1:1" x14ac:dyDescent="0.25">
      <c r="A444" s="30">
        <v>443</v>
      </c>
    </row>
    <row r="445" spans="1:1" x14ac:dyDescent="0.25">
      <c r="A445" s="30">
        <v>444</v>
      </c>
    </row>
    <row r="446" spans="1:1" x14ac:dyDescent="0.25">
      <c r="A446" s="30">
        <v>445</v>
      </c>
    </row>
    <row r="447" spans="1:1" x14ac:dyDescent="0.25">
      <c r="A447" s="30">
        <v>446</v>
      </c>
    </row>
    <row r="448" spans="1:1" x14ac:dyDescent="0.25">
      <c r="A448" s="30">
        <v>447</v>
      </c>
    </row>
    <row r="449" spans="1:1" x14ac:dyDescent="0.25">
      <c r="A449" s="30">
        <v>448</v>
      </c>
    </row>
    <row r="450" spans="1:1" x14ac:dyDescent="0.25">
      <c r="A450" s="30">
        <v>449</v>
      </c>
    </row>
    <row r="451" spans="1:1" x14ac:dyDescent="0.25">
      <c r="A451" s="30">
        <v>450</v>
      </c>
    </row>
    <row r="452" spans="1:1" x14ac:dyDescent="0.25">
      <c r="A452" s="30">
        <v>451</v>
      </c>
    </row>
    <row r="453" spans="1:1" x14ac:dyDescent="0.25">
      <c r="A453" s="30">
        <v>452</v>
      </c>
    </row>
    <row r="454" spans="1:1" x14ac:dyDescent="0.25">
      <c r="A454" s="30">
        <v>453</v>
      </c>
    </row>
    <row r="455" spans="1:1" x14ac:dyDescent="0.25">
      <c r="A455" s="30">
        <v>454</v>
      </c>
    </row>
    <row r="456" spans="1:1" x14ac:dyDescent="0.25">
      <c r="A456" s="30">
        <v>455</v>
      </c>
    </row>
    <row r="457" spans="1:1" x14ac:dyDescent="0.25">
      <c r="A457" s="30">
        <v>456</v>
      </c>
    </row>
    <row r="458" spans="1:1" x14ac:dyDescent="0.25">
      <c r="A458" s="30">
        <v>457</v>
      </c>
    </row>
    <row r="459" spans="1:1" x14ac:dyDescent="0.25">
      <c r="A459" s="30">
        <v>458</v>
      </c>
    </row>
    <row r="460" spans="1:1" x14ac:dyDescent="0.25">
      <c r="A460" s="30">
        <v>459</v>
      </c>
    </row>
    <row r="461" spans="1:1" x14ac:dyDescent="0.25">
      <c r="A461" s="30">
        <v>460</v>
      </c>
    </row>
    <row r="462" spans="1:1" x14ac:dyDescent="0.25">
      <c r="A462" s="30">
        <v>461</v>
      </c>
    </row>
    <row r="463" spans="1:1" x14ac:dyDescent="0.25">
      <c r="A463" s="30">
        <v>462</v>
      </c>
    </row>
    <row r="464" spans="1:1" x14ac:dyDescent="0.25">
      <c r="A464" s="30">
        <v>463</v>
      </c>
    </row>
    <row r="465" spans="1:1" x14ac:dyDescent="0.25">
      <c r="A465" s="30">
        <v>464</v>
      </c>
    </row>
    <row r="466" spans="1:1" x14ac:dyDescent="0.25">
      <c r="A466" s="30">
        <v>465</v>
      </c>
    </row>
    <row r="467" spans="1:1" x14ac:dyDescent="0.25">
      <c r="A467" s="30">
        <v>466</v>
      </c>
    </row>
    <row r="468" spans="1:1" x14ac:dyDescent="0.25">
      <c r="A468" s="30">
        <v>467</v>
      </c>
    </row>
    <row r="469" spans="1:1" x14ac:dyDescent="0.25">
      <c r="A469" s="30">
        <v>468</v>
      </c>
    </row>
    <row r="470" spans="1:1" x14ac:dyDescent="0.25">
      <c r="A470" s="30">
        <v>469</v>
      </c>
    </row>
    <row r="471" spans="1:1" x14ac:dyDescent="0.25">
      <c r="A471" s="30">
        <v>470</v>
      </c>
    </row>
    <row r="472" spans="1:1" x14ac:dyDescent="0.25">
      <c r="A472" s="30">
        <v>471</v>
      </c>
    </row>
    <row r="473" spans="1:1" x14ac:dyDescent="0.25">
      <c r="A473" s="30">
        <v>472</v>
      </c>
    </row>
    <row r="474" spans="1:1" x14ac:dyDescent="0.25">
      <c r="A474" s="30">
        <v>473</v>
      </c>
    </row>
    <row r="475" spans="1:1" x14ac:dyDescent="0.25">
      <c r="A475" s="30">
        <v>474</v>
      </c>
    </row>
    <row r="476" spans="1:1" x14ac:dyDescent="0.25">
      <c r="A476" s="30">
        <v>475</v>
      </c>
    </row>
    <row r="477" spans="1:1" x14ac:dyDescent="0.25">
      <c r="A477" s="30">
        <v>476</v>
      </c>
    </row>
    <row r="478" spans="1:1" x14ac:dyDescent="0.25">
      <c r="A478" s="30">
        <v>477</v>
      </c>
    </row>
    <row r="479" spans="1:1" x14ac:dyDescent="0.25">
      <c r="A479" s="30">
        <v>478</v>
      </c>
    </row>
    <row r="480" spans="1:1" x14ac:dyDescent="0.25">
      <c r="A480" s="30">
        <v>479</v>
      </c>
    </row>
    <row r="481" spans="1:1" x14ac:dyDescent="0.25">
      <c r="A481" s="30">
        <v>480</v>
      </c>
    </row>
    <row r="482" spans="1:1" x14ac:dyDescent="0.25">
      <c r="A482" s="30">
        <v>481</v>
      </c>
    </row>
    <row r="483" spans="1:1" x14ac:dyDescent="0.25">
      <c r="A483" s="30">
        <v>482</v>
      </c>
    </row>
    <row r="484" spans="1:1" x14ac:dyDescent="0.25">
      <c r="A484" s="30">
        <v>483</v>
      </c>
    </row>
    <row r="485" spans="1:1" x14ac:dyDescent="0.25">
      <c r="A485" s="30">
        <v>484</v>
      </c>
    </row>
    <row r="486" spans="1:1" x14ac:dyDescent="0.25">
      <c r="A486" s="30">
        <v>485</v>
      </c>
    </row>
    <row r="487" spans="1:1" x14ac:dyDescent="0.25">
      <c r="A487" s="30">
        <v>486</v>
      </c>
    </row>
    <row r="488" spans="1:1" x14ac:dyDescent="0.25">
      <c r="A488" s="30">
        <v>487</v>
      </c>
    </row>
    <row r="489" spans="1:1" x14ac:dyDescent="0.25">
      <c r="A489" s="30">
        <v>488</v>
      </c>
    </row>
    <row r="490" spans="1:1" x14ac:dyDescent="0.25">
      <c r="A490" s="30">
        <v>489</v>
      </c>
    </row>
    <row r="491" spans="1:1" x14ac:dyDescent="0.25">
      <c r="A491" s="30">
        <v>490</v>
      </c>
    </row>
    <row r="492" spans="1:1" x14ac:dyDescent="0.25">
      <c r="A492" s="30">
        <v>491</v>
      </c>
    </row>
    <row r="493" spans="1:1" x14ac:dyDescent="0.25">
      <c r="A493" s="30">
        <v>492</v>
      </c>
    </row>
    <row r="494" spans="1:1" x14ac:dyDescent="0.25">
      <c r="A494" s="30">
        <v>493</v>
      </c>
    </row>
    <row r="495" spans="1:1" x14ac:dyDescent="0.25">
      <c r="A495" s="30">
        <v>494</v>
      </c>
    </row>
    <row r="496" spans="1:1" x14ac:dyDescent="0.25">
      <c r="A496" s="30">
        <v>495</v>
      </c>
    </row>
    <row r="497" spans="1:1" x14ac:dyDescent="0.25">
      <c r="A497" s="30">
        <v>496</v>
      </c>
    </row>
    <row r="498" spans="1:1" x14ac:dyDescent="0.25">
      <c r="A498" s="30">
        <v>497</v>
      </c>
    </row>
    <row r="499" spans="1:1" x14ac:dyDescent="0.25">
      <c r="A499" s="30">
        <v>498</v>
      </c>
    </row>
    <row r="500" spans="1:1" x14ac:dyDescent="0.25">
      <c r="A500" s="30">
        <v>499</v>
      </c>
    </row>
    <row r="501" spans="1:1" x14ac:dyDescent="0.25">
      <c r="A501" s="30">
        <v>500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68"/>
  <sheetViews>
    <sheetView tabSelected="1" zoomScaleNormal="100" workbookViewId="0">
      <pane xSplit="4" ySplit="12" topLeftCell="E48" activePane="bottomRight" state="frozen"/>
      <selection pane="topRight" activeCell="E1" sqref="E1"/>
      <selection pane="bottomLeft" activeCell="A13" sqref="A13"/>
      <selection pane="bottomRight" sqref="A1:D1"/>
    </sheetView>
  </sheetViews>
  <sheetFormatPr defaultRowHeight="11.6" x14ac:dyDescent="0.25"/>
  <cols>
    <col min="1" max="1" width="9.23046875" style="5" customWidth="1"/>
    <col min="2" max="2" width="9.23046875" style="2" customWidth="1"/>
    <col min="3" max="3" width="10.765625" style="2" customWidth="1"/>
    <col min="4" max="4" width="6.921875" style="15" customWidth="1"/>
    <col min="5" max="5" width="23.07421875" style="7" customWidth="1"/>
    <col min="6" max="10" width="23.07421875" style="44" customWidth="1"/>
    <col min="11" max="16384" width="9.23046875" style="3"/>
  </cols>
  <sheetData>
    <row r="1" spans="1:10" ht="13.85" customHeight="1" x14ac:dyDescent="0.25">
      <c r="A1" s="55" t="s">
        <v>4</v>
      </c>
      <c r="B1" s="55"/>
      <c r="C1" s="55"/>
      <c r="D1" s="55"/>
      <c r="E1" s="7">
        <v>1</v>
      </c>
      <c r="F1" s="44">
        <v>2</v>
      </c>
      <c r="G1" s="44">
        <v>3</v>
      </c>
      <c r="H1" s="44">
        <v>4</v>
      </c>
      <c r="I1" s="44">
        <v>5</v>
      </c>
      <c r="J1" s="44">
        <v>6</v>
      </c>
    </row>
    <row r="2" spans="1:10" s="10" customFormat="1" ht="13.85" customHeight="1" thickBot="1" x14ac:dyDescent="0.3">
      <c r="A2" s="56" t="s">
        <v>3</v>
      </c>
      <c r="B2" s="56"/>
      <c r="C2" s="56"/>
      <c r="D2" s="56"/>
      <c r="E2" s="8" t="str" cm="1">
        <f t="array" aca="1" ref="E2" ca="1">IF(INDIRECT("ID"&amp;"!"&amp;ADDRESS(MATCH(E$1,ID!$A:$A,0),MATCH(Profile!$A$2,ID!$1:$1,0),4))="","",INDIRECT("ID"&amp;"!"&amp;ADDRESS(MATCH(E$1,ID!$A:$A,0),MATCH(Profile!$A$2,ID!$1:$1,0),4)))</f>
        <v/>
      </c>
      <c r="F2" s="45" t="str" cm="1">
        <f t="array" aca="1" ref="F2" ca="1">IF(INDIRECT("ID"&amp;"!"&amp;ADDRESS(MATCH(F$1,ID!$A:$A,0),MATCH(Profile!$A$2,ID!$1:$1,0),4))="","",INDIRECT("ID"&amp;"!"&amp;ADDRESS(MATCH(F$1,ID!$A:$A,0),MATCH(Profile!$A$2,ID!$1:$1,0),4)))</f>
        <v/>
      </c>
      <c r="G2" s="45" t="str" cm="1">
        <f t="array" aca="1" ref="G2" ca="1">IF(INDIRECT("ID"&amp;"!"&amp;ADDRESS(MATCH(G$1,ID!$A:$A,0),MATCH(Profile!$A$2,ID!$1:$1,0),4))="","",INDIRECT("ID"&amp;"!"&amp;ADDRESS(MATCH(G$1,ID!$A:$A,0),MATCH(Profile!$A$2,ID!$1:$1,0),4)))</f>
        <v/>
      </c>
      <c r="H2" s="45" t="str" cm="1">
        <f t="array" aca="1" ref="H2" ca="1">IF(INDIRECT("ID"&amp;"!"&amp;ADDRESS(MATCH(H$1,ID!$A:$A,0),MATCH(Profile!$A$2,ID!$1:$1,0),4))="","",INDIRECT("ID"&amp;"!"&amp;ADDRESS(MATCH(H$1,ID!$A:$A,0),MATCH(Profile!$A$2,ID!$1:$1,0),4)))</f>
        <v/>
      </c>
      <c r="I2" s="45" t="str" cm="1">
        <f t="array" aca="1" ref="I2" ca="1">IF(INDIRECT("ID"&amp;"!"&amp;ADDRESS(MATCH(I$1,ID!$A:$A,0),MATCH(Profile!$A$2,ID!$1:$1,0),4))="","",INDIRECT("ID"&amp;"!"&amp;ADDRESS(MATCH(I$1,ID!$A:$A,0),MATCH(Profile!$A$2,ID!$1:$1,0),4)))</f>
        <v/>
      </c>
      <c r="J2" s="45" t="str" cm="1">
        <f t="array" aca="1" ref="J2" ca="1">IF(INDIRECT("ID"&amp;"!"&amp;ADDRESS(MATCH(J$1,ID!$A:$A,0),MATCH(Profile!$A$2,ID!$1:$1,0),4))="","",INDIRECT("ID"&amp;"!"&amp;ADDRESS(MATCH(J$1,ID!$A:$A,0),MATCH(Profile!$A$2,ID!$1:$1,0),4)))</f>
        <v/>
      </c>
    </row>
    <row r="3" spans="1:10" ht="13.85" customHeight="1" thickTop="1" x14ac:dyDescent="0.25">
      <c r="A3" s="58" t="s">
        <v>6</v>
      </c>
      <c r="B3" s="55" t="s">
        <v>7</v>
      </c>
      <c r="C3" s="32" t="s">
        <v>13</v>
      </c>
      <c r="D3" s="20" t="s">
        <v>2</v>
      </c>
    </row>
    <row r="4" spans="1:10" ht="13.85" customHeight="1" x14ac:dyDescent="0.25">
      <c r="A4" s="55"/>
      <c r="B4" s="55"/>
      <c r="C4" s="32" t="s">
        <v>14</v>
      </c>
      <c r="D4" s="15" t="s">
        <v>2</v>
      </c>
    </row>
    <row r="5" spans="1:10" ht="13.85" customHeight="1" x14ac:dyDescent="0.25">
      <c r="A5" s="55" t="s">
        <v>5</v>
      </c>
      <c r="B5" s="55" t="s">
        <v>0</v>
      </c>
      <c r="C5" s="32" t="s">
        <v>8</v>
      </c>
      <c r="D5" s="15" t="s">
        <v>2</v>
      </c>
    </row>
    <row r="6" spans="1:10" ht="13.85" customHeight="1" x14ac:dyDescent="0.25">
      <c r="A6" s="55"/>
      <c r="B6" s="55"/>
      <c r="C6" s="32" t="s">
        <v>9</v>
      </c>
      <c r="D6" s="15" t="s">
        <v>2</v>
      </c>
    </row>
    <row r="7" spans="1:10" ht="13.85" customHeight="1" x14ac:dyDescent="0.25">
      <c r="A7" s="55"/>
      <c r="B7" s="55"/>
      <c r="C7" s="32" t="s">
        <v>10</v>
      </c>
      <c r="D7" s="15" t="s">
        <v>2</v>
      </c>
      <c r="E7" s="7" t="str">
        <f t="shared" ref="E7:J7" si="0">IF(E$6="","",E$5-E$6)</f>
        <v/>
      </c>
      <c r="F7" s="44" t="str">
        <f t="shared" si="0"/>
        <v/>
      </c>
      <c r="G7" s="44" t="str">
        <f t="shared" si="0"/>
        <v/>
      </c>
      <c r="H7" s="44" t="str">
        <f t="shared" si="0"/>
        <v/>
      </c>
      <c r="I7" s="44" t="str">
        <f t="shared" si="0"/>
        <v/>
      </c>
      <c r="J7" s="44" t="str">
        <f t="shared" si="0"/>
        <v/>
      </c>
    </row>
    <row r="8" spans="1:10" ht="13.85" customHeight="1" x14ac:dyDescent="0.25">
      <c r="A8" s="55"/>
      <c r="B8" s="57" t="s">
        <v>1</v>
      </c>
      <c r="C8" s="32" t="s">
        <v>15</v>
      </c>
      <c r="D8" s="15" t="s">
        <v>2</v>
      </c>
      <c r="E8" s="7" t="str">
        <f t="shared" ref="E8:J8" si="1">IF(E$17="","",E$17)</f>
        <v/>
      </c>
      <c r="F8" s="44" t="str">
        <f t="shared" si="1"/>
        <v/>
      </c>
      <c r="G8" s="44" t="str">
        <f t="shared" si="1"/>
        <v/>
      </c>
      <c r="H8" s="44" t="str">
        <f t="shared" si="1"/>
        <v/>
      </c>
      <c r="I8" s="44" t="str">
        <f t="shared" si="1"/>
        <v/>
      </c>
      <c r="J8" s="44" t="str">
        <f t="shared" si="1"/>
        <v/>
      </c>
    </row>
    <row r="9" spans="1:10" ht="13.85" customHeight="1" x14ac:dyDescent="0.25">
      <c r="A9" s="55"/>
      <c r="B9" s="57"/>
      <c r="C9" s="32" t="s">
        <v>16</v>
      </c>
      <c r="D9" s="15" t="s">
        <v>2</v>
      </c>
      <c r="E9" s="7" t="str">
        <f t="shared" ref="E9:J9" si="2">IF(E$34="","",E$34)</f>
        <v/>
      </c>
      <c r="F9" s="44" t="str">
        <f t="shared" si="2"/>
        <v/>
      </c>
      <c r="G9" s="44" t="str">
        <f t="shared" si="2"/>
        <v/>
      </c>
      <c r="H9" s="44" t="str">
        <f t="shared" si="2"/>
        <v/>
      </c>
      <c r="I9" s="44" t="str">
        <f t="shared" si="2"/>
        <v/>
      </c>
      <c r="J9" s="44" t="str">
        <f t="shared" si="2"/>
        <v/>
      </c>
    </row>
    <row r="10" spans="1:10" ht="13.85" customHeight="1" x14ac:dyDescent="0.25">
      <c r="A10" s="55"/>
      <c r="B10" s="57"/>
      <c r="C10" s="32" t="s">
        <v>17</v>
      </c>
      <c r="D10" s="15" t="s">
        <v>2</v>
      </c>
      <c r="E10" s="7" t="str" cm="1">
        <f t="array" aca="1" ref="E10" ca="1">IF(INDIRECT(ADDRESS(MATCH($B$5,$D:$D,0)+E14-1,COLUMN(),4))=E16,"",INDIRECT(ADDRESS(MATCH($B$5,$D:$D,0)+E14-1,COLUMN(),4)))</f>
        <v/>
      </c>
      <c r="F10" s="44" t="str" cm="1">
        <f t="array" aca="1" ref="F10" ca="1">IF(INDIRECT(ADDRESS(MATCH($B$5,$D:$D,0)+F14-1,COLUMN(),4))=F16,"",INDIRECT(ADDRESS(MATCH($B$5,$D:$D,0)+F14-1,COLUMN(),4)))</f>
        <v/>
      </c>
      <c r="G10" s="44" t="str" cm="1">
        <f t="array" aca="1" ref="G10" ca="1">IF(INDIRECT(ADDRESS(MATCH($B$5,$D:$D,0)+G14-1,COLUMN(),4))=G16,"",INDIRECT(ADDRESS(MATCH($B$5,$D:$D,0)+G14-1,COLUMN(),4)))</f>
        <v/>
      </c>
      <c r="H10" s="44" t="str" cm="1">
        <f t="array" aca="1" ref="H10" ca="1">IF(INDIRECT(ADDRESS(MATCH($B$5,$D:$D,0)+H14-1,COLUMN(),4))=H16,"",INDIRECT(ADDRESS(MATCH($B$5,$D:$D,0)+H14-1,COLUMN(),4)))</f>
        <v/>
      </c>
      <c r="I10" s="44" t="str" cm="1">
        <f t="array" aca="1" ref="I10" ca="1">IF(INDIRECT(ADDRESS(MATCH($B$5,$D:$D,0)+I14-1,COLUMN(),4))=I16,"",INDIRECT(ADDRESS(MATCH($B$5,$D:$D,0)+I14-1,COLUMN(),4)))</f>
        <v/>
      </c>
      <c r="J10" s="44" t="str" cm="1">
        <f t="array" aca="1" ref="J10" ca="1">IF(INDIRECT(ADDRESS(MATCH($B$5,$D:$D,0)+J14-1,COLUMN(),4))=J16,"",INDIRECT(ADDRESS(MATCH($B$5,$D:$D,0)+J14-1,COLUMN(),4)))</f>
        <v/>
      </c>
    </row>
    <row r="11" spans="1:10" ht="13.85" customHeight="1" x14ac:dyDescent="0.25">
      <c r="A11" s="55"/>
      <c r="B11" s="33" t="s">
        <v>11</v>
      </c>
      <c r="C11" s="32" t="s">
        <v>18</v>
      </c>
      <c r="D11" s="15" t="s">
        <v>21</v>
      </c>
      <c r="E11" s="7" t="str">
        <f t="shared" ref="E11:J11" si="3">IF(E$8="","",((MAX(E17:E47)-E$8)/2)*10^3)</f>
        <v/>
      </c>
      <c r="F11" s="44" t="str">
        <f t="shared" si="3"/>
        <v/>
      </c>
      <c r="G11" s="44" t="str">
        <f t="shared" si="3"/>
        <v/>
      </c>
      <c r="H11" s="44" t="str">
        <f t="shared" si="3"/>
        <v/>
      </c>
      <c r="I11" s="44" t="str">
        <f t="shared" si="3"/>
        <v/>
      </c>
      <c r="J11" s="44" t="str">
        <f t="shared" si="3"/>
        <v/>
      </c>
    </row>
    <row r="12" spans="1:10" ht="13.85" customHeight="1" x14ac:dyDescent="0.25">
      <c r="A12" s="55"/>
      <c r="B12" s="33" t="s">
        <v>12</v>
      </c>
      <c r="C12" s="31" t="s">
        <v>19</v>
      </c>
      <c r="D12" s="15" t="s">
        <v>21</v>
      </c>
      <c r="E12" s="7" t="str">
        <f t="shared" ref="E12:J12" si="4">IFERROR(((E$8-E$9)/2)*10^3,"")</f>
        <v/>
      </c>
      <c r="F12" s="44" t="str">
        <f t="shared" si="4"/>
        <v/>
      </c>
      <c r="G12" s="44" t="str">
        <f t="shared" si="4"/>
        <v/>
      </c>
      <c r="H12" s="44" t="str">
        <f t="shared" si="4"/>
        <v/>
      </c>
      <c r="I12" s="44" t="str">
        <f t="shared" si="4"/>
        <v/>
      </c>
      <c r="J12" s="44" t="str">
        <f t="shared" si="4"/>
        <v/>
      </c>
    </row>
    <row r="13" spans="1:10" ht="13.85" customHeight="1" x14ac:dyDescent="0.25">
      <c r="A13" s="2"/>
      <c r="B13" s="1"/>
      <c r="C13" s="4"/>
    </row>
    <row r="14" spans="1:10" s="11" customFormat="1" x14ac:dyDescent="0.25">
      <c r="A14" s="49"/>
      <c r="B14" s="12"/>
      <c r="C14" s="12"/>
      <c r="D14" s="21"/>
      <c r="E14" s="13">
        <f t="shared" ref="E14:J14" si="5">COUNTA(E15:E47)</f>
        <v>2</v>
      </c>
      <c r="F14" s="47">
        <f t="shared" si="5"/>
        <v>2</v>
      </c>
      <c r="G14" s="47">
        <f t="shared" si="5"/>
        <v>2</v>
      </c>
      <c r="H14" s="47">
        <f t="shared" si="5"/>
        <v>2</v>
      </c>
      <c r="I14" s="47">
        <f t="shared" si="5"/>
        <v>2</v>
      </c>
      <c r="J14" s="47">
        <f t="shared" si="5"/>
        <v>2</v>
      </c>
    </row>
    <row r="15" spans="1:10" x14ac:dyDescent="0.25">
      <c r="A15" s="5" t="s">
        <v>45</v>
      </c>
      <c r="B15" s="5"/>
      <c r="D15" s="14" t="s">
        <v>0</v>
      </c>
      <c r="E15" s="7" t="s">
        <v>1</v>
      </c>
      <c r="F15" s="44" t="s">
        <v>1</v>
      </c>
      <c r="G15" s="44" t="s">
        <v>1</v>
      </c>
      <c r="H15" s="44" t="s">
        <v>1</v>
      </c>
      <c r="I15" s="44" t="s">
        <v>1</v>
      </c>
      <c r="J15" s="44" t="s">
        <v>1</v>
      </c>
    </row>
    <row r="16" spans="1:10" s="16" customFormat="1" x14ac:dyDescent="0.25">
      <c r="A16" s="50"/>
      <c r="B16" s="17"/>
      <c r="C16" s="17"/>
      <c r="D16" s="18" t="s">
        <v>2</v>
      </c>
      <c r="E16" s="19" t="s">
        <v>20</v>
      </c>
      <c r="F16" s="18" t="s">
        <v>20</v>
      </c>
      <c r="G16" s="18" t="s">
        <v>20</v>
      </c>
      <c r="H16" s="18" t="s">
        <v>20</v>
      </c>
      <c r="I16" s="18" t="s">
        <v>20</v>
      </c>
      <c r="J16" s="18" t="s">
        <v>20</v>
      </c>
    </row>
    <row r="17" spans="1:4" x14ac:dyDescent="0.25">
      <c r="A17" s="48" t="s">
        <v>36</v>
      </c>
      <c r="D17" s="15">
        <v>0</v>
      </c>
    </row>
    <row r="18" spans="1:4" x14ac:dyDescent="0.25">
      <c r="D18" s="15">
        <v>-0.1</v>
      </c>
    </row>
    <row r="19" spans="1:4" x14ac:dyDescent="0.25">
      <c r="D19" s="15">
        <v>-0.2</v>
      </c>
    </row>
    <row r="20" spans="1:4" x14ac:dyDescent="0.25">
      <c r="D20" s="15">
        <v>-0.3</v>
      </c>
    </row>
    <row r="21" spans="1:4" x14ac:dyDescent="0.25">
      <c r="D21" s="15">
        <v>-0.4</v>
      </c>
    </row>
    <row r="22" spans="1:4" x14ac:dyDescent="0.25">
      <c r="D22" s="15">
        <v>-0.5</v>
      </c>
    </row>
    <row r="23" spans="1:4" x14ac:dyDescent="0.25">
      <c r="D23" s="15">
        <v>-0.6</v>
      </c>
    </row>
    <row r="24" spans="1:4" x14ac:dyDescent="0.25">
      <c r="D24" s="15">
        <v>-0.7</v>
      </c>
    </row>
    <row r="25" spans="1:4" x14ac:dyDescent="0.25">
      <c r="D25" s="15">
        <v>-0.8</v>
      </c>
    </row>
    <row r="26" spans="1:4" x14ac:dyDescent="0.25">
      <c r="D26" s="15">
        <v>-0.9</v>
      </c>
    </row>
    <row r="27" spans="1:4" x14ac:dyDescent="0.25">
      <c r="D27" s="15">
        <v>-1</v>
      </c>
    </row>
    <row r="28" spans="1:4" x14ac:dyDescent="0.25">
      <c r="D28" s="15">
        <v>-1.1000000000000001</v>
      </c>
    </row>
    <row r="29" spans="1:4" x14ac:dyDescent="0.25">
      <c r="D29" s="15">
        <v>-1.2</v>
      </c>
    </row>
    <row r="30" spans="1:4" x14ac:dyDescent="0.25">
      <c r="D30" s="15">
        <v>-1.3</v>
      </c>
    </row>
    <row r="31" spans="1:4" x14ac:dyDescent="0.25">
      <c r="D31" s="15">
        <v>-1.4</v>
      </c>
    </row>
    <row r="32" spans="1:4" x14ac:dyDescent="0.25">
      <c r="D32" s="15">
        <v>-1.5</v>
      </c>
    </row>
    <row r="33" spans="1:10" x14ac:dyDescent="0.25">
      <c r="D33" s="15">
        <v>-1.6</v>
      </c>
    </row>
    <row r="34" spans="1:10" x14ac:dyDescent="0.25">
      <c r="D34" s="15">
        <v>-1.7</v>
      </c>
    </row>
    <row r="35" spans="1:10" x14ac:dyDescent="0.25">
      <c r="D35" s="15">
        <v>-1.8</v>
      </c>
    </row>
    <row r="36" spans="1:10" x14ac:dyDescent="0.25">
      <c r="D36" s="15">
        <v>-1.9</v>
      </c>
    </row>
    <row r="37" spans="1:10" x14ac:dyDescent="0.25">
      <c r="D37" s="15">
        <v>-2</v>
      </c>
    </row>
    <row r="38" spans="1:10" x14ac:dyDescent="0.25">
      <c r="D38" s="15">
        <v>-2.1</v>
      </c>
    </row>
    <row r="39" spans="1:10" x14ac:dyDescent="0.25">
      <c r="D39" s="15">
        <v>-2.2000000000000002</v>
      </c>
    </row>
    <row r="40" spans="1:10" x14ac:dyDescent="0.25">
      <c r="D40" s="15">
        <v>-2.2999999999999998</v>
      </c>
    </row>
    <row r="41" spans="1:10" x14ac:dyDescent="0.25">
      <c r="D41" s="15">
        <v>-2.4</v>
      </c>
    </row>
    <row r="42" spans="1:10" x14ac:dyDescent="0.25">
      <c r="D42" s="15">
        <v>-2.5</v>
      </c>
    </row>
    <row r="43" spans="1:10" x14ac:dyDescent="0.25">
      <c r="D43" s="15">
        <v>-2.6</v>
      </c>
    </row>
    <row r="44" spans="1:10" x14ac:dyDescent="0.25">
      <c r="D44" s="15">
        <v>-2.7</v>
      </c>
    </row>
    <row r="45" spans="1:10" x14ac:dyDescent="0.25">
      <c r="D45" s="15">
        <v>-2.8</v>
      </c>
    </row>
    <row r="46" spans="1:10" x14ac:dyDescent="0.25">
      <c r="D46" s="15">
        <v>-2.9</v>
      </c>
    </row>
    <row r="47" spans="1:10" s="16" customFormat="1" x14ac:dyDescent="0.25">
      <c r="A47" s="50"/>
      <c r="B47" s="17"/>
      <c r="C47" s="17"/>
      <c r="D47" s="18">
        <v>-3</v>
      </c>
      <c r="E47" s="19"/>
      <c r="F47" s="18"/>
      <c r="G47" s="18"/>
      <c r="H47" s="18"/>
      <c r="I47" s="18"/>
      <c r="J47" s="18"/>
    </row>
    <row r="48" spans="1:10" s="46" customFormat="1" x14ac:dyDescent="0.25">
      <c r="A48" s="51" t="s">
        <v>35</v>
      </c>
      <c r="B48" s="43"/>
      <c r="C48" s="43"/>
      <c r="D48" s="41"/>
      <c r="E48" s="42"/>
      <c r="F48" s="44"/>
      <c r="G48" s="44"/>
      <c r="H48" s="44"/>
      <c r="I48" s="44"/>
      <c r="J48" s="44"/>
    </row>
    <row r="49" spans="1:10" s="46" customFormat="1" x14ac:dyDescent="0.25">
      <c r="A49" s="52"/>
      <c r="B49" s="43"/>
      <c r="C49" s="43"/>
      <c r="D49" s="41"/>
      <c r="E49" s="42"/>
      <c r="F49" s="44"/>
      <c r="G49" s="44"/>
      <c r="H49" s="44"/>
      <c r="I49" s="44"/>
      <c r="J49" s="44"/>
    </row>
    <row r="50" spans="1:10" s="46" customFormat="1" x14ac:dyDescent="0.25">
      <c r="A50" s="52"/>
      <c r="B50" s="43"/>
      <c r="C50" s="43"/>
      <c r="D50" s="41"/>
      <c r="E50" s="42"/>
      <c r="F50" s="44"/>
      <c r="G50" s="44"/>
      <c r="H50" s="44"/>
      <c r="I50" s="44"/>
      <c r="J50" s="44"/>
    </row>
    <row r="51" spans="1:10" s="46" customFormat="1" x14ac:dyDescent="0.25">
      <c r="A51" s="52"/>
      <c r="B51" s="43"/>
      <c r="C51" s="43"/>
      <c r="D51" s="41"/>
      <c r="E51" s="42"/>
      <c r="F51" s="44"/>
      <c r="G51" s="44"/>
      <c r="H51" s="44"/>
      <c r="I51" s="44"/>
      <c r="J51" s="44"/>
    </row>
    <row r="52" spans="1:10" s="46" customFormat="1" x14ac:dyDescent="0.25">
      <c r="A52" s="52"/>
      <c r="B52" s="43"/>
      <c r="C52" s="43"/>
      <c r="D52" s="41"/>
      <c r="E52" s="42"/>
      <c r="F52" s="44"/>
      <c r="G52" s="44"/>
      <c r="H52" s="44"/>
      <c r="I52" s="44"/>
      <c r="J52" s="44"/>
    </row>
    <row r="53" spans="1:10" s="46" customFormat="1" x14ac:dyDescent="0.25">
      <c r="A53" s="52"/>
      <c r="B53" s="43"/>
      <c r="C53" s="43"/>
      <c r="D53" s="41"/>
      <c r="E53" s="42"/>
      <c r="F53" s="44"/>
      <c r="G53" s="44"/>
      <c r="H53" s="44"/>
      <c r="I53" s="44"/>
      <c r="J53" s="44"/>
    </row>
    <row r="54" spans="1:10" s="46" customFormat="1" x14ac:dyDescent="0.25">
      <c r="A54" s="52"/>
      <c r="B54" s="43"/>
      <c r="C54" s="43"/>
      <c r="D54" s="41"/>
      <c r="E54" s="42"/>
      <c r="F54" s="44"/>
      <c r="G54" s="44"/>
      <c r="H54" s="44"/>
      <c r="I54" s="44"/>
      <c r="J54" s="44"/>
    </row>
    <row r="55" spans="1:10" s="46" customFormat="1" x14ac:dyDescent="0.25">
      <c r="A55" s="52"/>
      <c r="B55" s="43"/>
      <c r="C55" s="43"/>
      <c r="D55" s="41"/>
      <c r="E55" s="42"/>
      <c r="F55" s="44"/>
      <c r="G55" s="44"/>
      <c r="H55" s="44"/>
      <c r="I55" s="44"/>
      <c r="J55" s="44"/>
    </row>
    <row r="56" spans="1:10" s="46" customFormat="1" x14ac:dyDescent="0.25">
      <c r="A56" s="52"/>
      <c r="B56" s="43"/>
      <c r="C56" s="43"/>
      <c r="D56" s="41"/>
      <c r="E56" s="42"/>
      <c r="F56" s="44"/>
      <c r="G56" s="44"/>
      <c r="H56" s="44"/>
      <c r="I56" s="44"/>
      <c r="J56" s="44"/>
    </row>
    <row r="57" spans="1:10" s="46" customFormat="1" x14ac:dyDescent="0.25">
      <c r="A57" s="52"/>
      <c r="B57" s="43"/>
      <c r="C57" s="43"/>
      <c r="D57" s="41"/>
      <c r="E57" s="42"/>
      <c r="F57" s="44"/>
      <c r="G57" s="44"/>
      <c r="H57" s="44"/>
      <c r="I57" s="44"/>
      <c r="J57" s="44"/>
    </row>
    <row r="58" spans="1:10" s="46" customFormat="1" x14ac:dyDescent="0.25">
      <c r="A58" s="52"/>
      <c r="B58" s="43"/>
      <c r="C58" s="43"/>
      <c r="D58" s="41"/>
      <c r="E58" s="42"/>
      <c r="F58" s="44"/>
      <c r="G58" s="44"/>
      <c r="H58" s="44"/>
      <c r="I58" s="44"/>
      <c r="J58" s="44"/>
    </row>
    <row r="59" spans="1:10" s="46" customFormat="1" x14ac:dyDescent="0.25">
      <c r="A59" s="52"/>
      <c r="B59" s="43"/>
      <c r="C59" s="43"/>
      <c r="D59" s="41"/>
      <c r="E59" s="42"/>
      <c r="F59" s="44"/>
      <c r="G59" s="44"/>
      <c r="H59" s="44"/>
      <c r="I59" s="44"/>
      <c r="J59" s="44"/>
    </row>
    <row r="60" spans="1:10" s="46" customFormat="1" x14ac:dyDescent="0.25">
      <c r="A60" s="52"/>
      <c r="B60" s="43"/>
      <c r="C60" s="43"/>
      <c r="D60" s="41"/>
      <c r="E60" s="42"/>
      <c r="F60" s="44"/>
      <c r="G60" s="44"/>
      <c r="H60" s="44"/>
      <c r="I60" s="44"/>
      <c r="J60" s="44"/>
    </row>
    <row r="61" spans="1:10" s="46" customFormat="1" x14ac:dyDescent="0.25">
      <c r="A61" s="52"/>
      <c r="B61" s="43"/>
      <c r="C61" s="43"/>
      <c r="D61" s="41"/>
      <c r="E61" s="42"/>
      <c r="F61" s="44"/>
      <c r="G61" s="44"/>
      <c r="H61" s="44"/>
      <c r="I61" s="44"/>
      <c r="J61" s="44"/>
    </row>
    <row r="62" spans="1:10" s="46" customFormat="1" x14ac:dyDescent="0.25">
      <c r="A62" s="52"/>
      <c r="B62" s="43"/>
      <c r="C62" s="43"/>
      <c r="D62" s="41"/>
      <c r="E62" s="42"/>
      <c r="F62" s="44"/>
      <c r="G62" s="44"/>
      <c r="H62" s="44"/>
      <c r="I62" s="44"/>
      <c r="J62" s="44"/>
    </row>
    <row r="63" spans="1:10" s="46" customFormat="1" x14ac:dyDescent="0.25">
      <c r="A63" s="52"/>
      <c r="B63" s="43"/>
      <c r="C63" s="43"/>
      <c r="D63" s="41"/>
      <c r="E63" s="42"/>
      <c r="F63" s="44"/>
      <c r="G63" s="44"/>
      <c r="H63" s="44"/>
      <c r="I63" s="44"/>
      <c r="J63" s="44"/>
    </row>
    <row r="64" spans="1:10" ht="11.6" customHeight="1" x14ac:dyDescent="0.25">
      <c r="C64" s="31" t="s">
        <v>26</v>
      </c>
      <c r="D64" s="15" t="s">
        <v>31</v>
      </c>
      <c r="E64" s="7" t="str" cm="1">
        <f t="array" aca="1" ref="E64" ca="1">IFERROR(INDIRECT("ID"&amp;"!"&amp;ADDRESS(MATCH(E$2,ID!$B:$B,0),MATCH($C64,ID!$A$1:$P$1,0),4)),"")</f>
        <v/>
      </c>
      <c r="F64" s="44" t="str" cm="1">
        <f t="array" aca="1" ref="F64" ca="1">IFERROR(INDIRECT("ID"&amp;"!"&amp;ADDRESS(MATCH(F$2,ID!$B:$B,0),MATCH($C64,ID!$A$1:$P$1,0),4)),"")</f>
        <v/>
      </c>
      <c r="G64" s="44" t="str" cm="1">
        <f t="array" aca="1" ref="G64" ca="1">IFERROR(INDIRECT("ID"&amp;"!"&amp;ADDRESS(MATCH(G$2,ID!$B:$B,0),MATCH($C64,ID!$A$1:$P$1,0),4)),"")</f>
        <v/>
      </c>
      <c r="H64" s="44" t="str" cm="1">
        <f t="array" aca="1" ref="H64" ca="1">IFERROR(INDIRECT("ID"&amp;"!"&amp;ADDRESS(MATCH(H$2,ID!$B:$B,0),MATCH($C64,ID!$A$1:$P$1,0),4)),"")</f>
        <v/>
      </c>
      <c r="I64" s="44" t="str" cm="1">
        <f t="array" aca="1" ref="I64" ca="1">IFERROR(INDIRECT("ID"&amp;"!"&amp;ADDRESS(MATCH(I$2,ID!$B:$B,0),MATCH($C64,ID!$A$1:$P$1,0),4)),"")</f>
        <v/>
      </c>
      <c r="J64" s="44" t="str" cm="1">
        <f t="array" aca="1" ref="J64" ca="1">IFERROR(INDIRECT("ID"&amp;"!"&amp;ADDRESS(MATCH(J$2,ID!$B:$B,0),MATCH($C64,ID!$A$1:$P$1,0),4)),"")</f>
        <v/>
      </c>
    </row>
    <row r="65" spans="3:10" ht="11.6" customHeight="1" x14ac:dyDescent="0.25">
      <c r="C65" s="31" t="s">
        <v>27</v>
      </c>
      <c r="D65" s="15" t="s">
        <v>32</v>
      </c>
      <c r="E65" s="22" t="str" cm="1">
        <f t="array" aca="1" ref="E65" ca="1">IFERROR(INDIRECT("ID"&amp;"!"&amp;ADDRESS(MATCH(E$2,ID!$B:$B,0),MATCH($C65,ID!$A$1:$P$1,0),4)),"")</f>
        <v/>
      </c>
      <c r="F65" s="44" t="str" cm="1">
        <f t="array" aca="1" ref="F65" ca="1">IFERROR(INDIRECT("ID"&amp;"!"&amp;ADDRESS(MATCH(F$2,ID!$B:$B,0),MATCH($C65,ID!$A$1:$P$1,0),4)),"")</f>
        <v/>
      </c>
      <c r="G65" s="44" t="str" cm="1">
        <f t="array" aca="1" ref="G65" ca="1">IFERROR(INDIRECT("ID"&amp;"!"&amp;ADDRESS(MATCH(G$2,ID!$B:$B,0),MATCH($C65,ID!$A$1:$P$1,0),4)),"")</f>
        <v/>
      </c>
      <c r="H65" s="44" t="str" cm="1">
        <f t="array" aca="1" ref="H65" ca="1">IFERROR(INDIRECT("ID"&amp;"!"&amp;ADDRESS(MATCH(H$2,ID!$B:$B,0),MATCH($C65,ID!$A$1:$P$1,0),4)),"")</f>
        <v/>
      </c>
      <c r="I65" s="44" t="str" cm="1">
        <f t="array" aca="1" ref="I65" ca="1">IFERROR(INDIRECT("ID"&amp;"!"&amp;ADDRESS(MATCH(I$2,ID!$B:$B,0),MATCH($C65,ID!$A$1:$P$1,0),4)),"")</f>
        <v/>
      </c>
      <c r="J65" s="44" t="str" cm="1">
        <f t="array" aca="1" ref="J65" ca="1">IFERROR(INDIRECT("ID"&amp;"!"&amp;ADDRESS(MATCH(J$2,ID!$B:$B,0),MATCH($C65,ID!$A$1:$P$1,0),4)),"")</f>
        <v/>
      </c>
    </row>
    <row r="66" spans="3:10" ht="11.6" customHeight="1" x14ac:dyDescent="0.25">
      <c r="C66" s="31" t="s">
        <v>25</v>
      </c>
      <c r="D66" s="15" t="s">
        <v>32</v>
      </c>
      <c r="E66" s="22" t="str" cm="1">
        <f t="array" aca="1" ref="E66" ca="1">IFERROR(INDIRECT("ID"&amp;"!"&amp;ADDRESS(MATCH(E$2,ID!$B:$B,0),MATCH($C66,ID!$A$1:$P$1,0),4)),"")</f>
        <v/>
      </c>
      <c r="F66" s="44" t="str" cm="1">
        <f t="array" aca="1" ref="F66" ca="1">IFERROR(INDIRECT("ID"&amp;"!"&amp;ADDRESS(MATCH(F$2,ID!$B:$B,0),MATCH($C66,ID!$A$1:$P$1,0),4)),"")</f>
        <v/>
      </c>
      <c r="G66" s="44" t="str" cm="1">
        <f t="array" aca="1" ref="G66" ca="1">IFERROR(INDIRECT("ID"&amp;"!"&amp;ADDRESS(MATCH(G$2,ID!$B:$B,0),MATCH($C66,ID!$A$1:$P$1,0),4)),"")</f>
        <v/>
      </c>
      <c r="H66" s="44" t="str" cm="1">
        <f t="array" aca="1" ref="H66" ca="1">IFERROR(INDIRECT("ID"&amp;"!"&amp;ADDRESS(MATCH(H$2,ID!$B:$B,0),MATCH($C66,ID!$A$1:$P$1,0),4)),"")</f>
        <v/>
      </c>
      <c r="I66" s="44" t="str" cm="1">
        <f t="array" aca="1" ref="I66" ca="1">IFERROR(INDIRECT("ID"&amp;"!"&amp;ADDRESS(MATCH(I$2,ID!$B:$B,0),MATCH($C66,ID!$A$1:$P$1,0),4)),"")</f>
        <v/>
      </c>
      <c r="J66" s="44" t="str" cm="1">
        <f t="array" aca="1" ref="J66" ca="1">IFERROR(INDIRECT("ID"&amp;"!"&amp;ADDRESS(MATCH(J$2,ID!$B:$B,0),MATCH($C66,ID!$A$1:$P$1,0),4)),"")</f>
        <v/>
      </c>
    </row>
    <row r="67" spans="3:10" ht="11.6" customHeight="1" x14ac:dyDescent="0.25">
      <c r="C67" s="31" t="s">
        <v>28</v>
      </c>
      <c r="D67" s="15" t="s">
        <v>33</v>
      </c>
      <c r="E67" s="22" t="str" cm="1">
        <f t="array" aca="1" ref="E67" ca="1">IFERROR(INDIRECT("ID"&amp;"!"&amp;ADDRESS(MATCH(E$2,ID!$B:$B,0),MATCH($C67,ID!$A$1:$P$1,0),4)),"")</f>
        <v/>
      </c>
      <c r="F67" s="44" t="str" cm="1">
        <f t="array" aca="1" ref="F67" ca="1">IFERROR(INDIRECT("ID"&amp;"!"&amp;ADDRESS(MATCH(F$2,ID!$B:$B,0),MATCH($C67,ID!$A$1:$P$1,0),4)),"")</f>
        <v/>
      </c>
      <c r="G67" s="44" t="str" cm="1">
        <f t="array" aca="1" ref="G67" ca="1">IFERROR(INDIRECT("ID"&amp;"!"&amp;ADDRESS(MATCH(G$2,ID!$B:$B,0),MATCH($C67,ID!$A$1:$P$1,0),4)),"")</f>
        <v/>
      </c>
      <c r="H67" s="44" t="str" cm="1">
        <f t="array" aca="1" ref="H67" ca="1">IFERROR(INDIRECT("ID"&amp;"!"&amp;ADDRESS(MATCH(H$2,ID!$B:$B,0),MATCH($C67,ID!$A$1:$P$1,0),4)),"")</f>
        <v/>
      </c>
      <c r="I67" s="44" t="str" cm="1">
        <f t="array" aca="1" ref="I67" ca="1">IFERROR(INDIRECT("ID"&amp;"!"&amp;ADDRESS(MATCH(I$2,ID!$B:$B,0),MATCH($C67,ID!$A$1:$P$1,0),4)),"")</f>
        <v/>
      </c>
      <c r="J67" s="44" t="str" cm="1">
        <f t="array" aca="1" ref="J67" ca="1">IFERROR(INDIRECT("ID"&amp;"!"&amp;ADDRESS(MATCH(J$2,ID!$B:$B,0),MATCH($C67,ID!$A$1:$P$1,0),4)),"")</f>
        <v/>
      </c>
    </row>
    <row r="68" spans="3:10" ht="11.6" customHeight="1" x14ac:dyDescent="0.25">
      <c r="C68" s="31" t="s">
        <v>29</v>
      </c>
      <c r="D68" s="15" t="s">
        <v>34</v>
      </c>
      <c r="E68" s="22" t="str" cm="1">
        <f t="array" aca="1" ref="E68" ca="1">IFERROR(INDIRECT("ID"&amp;"!"&amp;ADDRESS(MATCH(E$2,ID!$B:$B,0),MATCH($C68,ID!$A$1:$P$1,0),4)),"")</f>
        <v/>
      </c>
      <c r="F68" s="44" t="str" cm="1">
        <f t="array" aca="1" ref="F68" ca="1">IFERROR(INDIRECT("ID"&amp;"!"&amp;ADDRESS(MATCH(F$2,ID!$B:$B,0),MATCH($C68,ID!$A$1:$P$1,0),4)),"")</f>
        <v/>
      </c>
      <c r="G68" s="44" t="str" cm="1">
        <f t="array" aca="1" ref="G68" ca="1">IFERROR(INDIRECT("ID"&amp;"!"&amp;ADDRESS(MATCH(G$2,ID!$B:$B,0),MATCH($C68,ID!$A$1:$P$1,0),4)),"")</f>
        <v/>
      </c>
      <c r="H68" s="44" t="str" cm="1">
        <f t="array" aca="1" ref="H68" ca="1">IFERROR(INDIRECT("ID"&amp;"!"&amp;ADDRESS(MATCH(H$2,ID!$B:$B,0),MATCH($C68,ID!$A$1:$P$1,0),4)),"")</f>
        <v/>
      </c>
      <c r="I68" s="44" t="str" cm="1">
        <f t="array" aca="1" ref="I68" ca="1">IFERROR(INDIRECT("ID"&amp;"!"&amp;ADDRESS(MATCH(I$2,ID!$B:$B,0),MATCH($C68,ID!$A$1:$P$1,0),4)),"")</f>
        <v/>
      </c>
      <c r="J68" s="44" t="str" cm="1">
        <f t="array" aca="1" ref="J68" ca="1">IFERROR(INDIRECT("ID"&amp;"!"&amp;ADDRESS(MATCH(J$2,ID!$B:$B,0),MATCH($C68,ID!$A$1:$P$1,0),4)),"")</f>
        <v/>
      </c>
    </row>
  </sheetData>
  <mergeCells count="7">
    <mergeCell ref="A1:D1"/>
    <mergeCell ref="A2:D2"/>
    <mergeCell ref="B8:B10"/>
    <mergeCell ref="A3:A4"/>
    <mergeCell ref="B3:B4"/>
    <mergeCell ref="A5:A12"/>
    <mergeCell ref="B5:B7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Column">
                <anchor moveWithCells="1" sizeWithCells="1">
                  <from>
                    <xdr:col>0</xdr:col>
                    <xdr:colOff>21771</xdr:colOff>
                    <xdr:row>48</xdr:row>
                    <xdr:rowOff>32657</xdr:rowOff>
                  </from>
                  <to>
                    <xdr:col>2</xdr:col>
                    <xdr:colOff>729343</xdr:colOff>
                    <xdr:row>50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Graph">
                <anchor moveWithCells="1" sizeWithCells="1">
                  <from>
                    <xdr:col>0</xdr:col>
                    <xdr:colOff>21771</xdr:colOff>
                    <xdr:row>51</xdr:row>
                    <xdr:rowOff>32657</xdr:rowOff>
                  </from>
                  <to>
                    <xdr:col>2</xdr:col>
                    <xdr:colOff>729343</xdr:colOff>
                    <xdr:row>53</xdr:row>
                    <xdr:rowOff>97971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0B3D7-2786-4403-88FF-118949D47C69}">
  <sheetPr codeName="Sheet3"/>
  <dimension ref="I1:AN103"/>
  <sheetViews>
    <sheetView workbookViewId="0"/>
  </sheetViews>
  <sheetFormatPr defaultRowHeight="11.6" x14ac:dyDescent="0.25"/>
  <cols>
    <col min="1" max="8" width="7.69140625" style="3" customWidth="1"/>
    <col min="9" max="9" width="4.921875" style="7" customWidth="1"/>
    <col min="10" max="10" width="9.23046875" style="7"/>
    <col min="11" max="11" width="7.69140625" style="9" customWidth="1"/>
    <col min="12" max="12" width="7.69140625" style="3" customWidth="1"/>
    <col min="13" max="13" width="7.69140625" style="9" customWidth="1"/>
    <col min="14" max="15" width="7.69140625" style="3" customWidth="1"/>
    <col min="16" max="16" width="7.69140625" style="9" customWidth="1"/>
    <col min="17" max="20" width="7.69140625" style="3" customWidth="1"/>
    <col min="21" max="21" width="36.921875" style="38" customWidth="1"/>
    <col min="22" max="22" width="9.23046875" style="9"/>
    <col min="23" max="23" width="9.23046875" style="3"/>
    <col min="24" max="25" width="9.23046875" style="9"/>
    <col min="26" max="16384" width="9.23046875" style="3"/>
  </cols>
  <sheetData>
    <row r="1" spans="9:40" s="2" customFormat="1" x14ac:dyDescent="0.25">
      <c r="I1" s="61" t="s">
        <v>4</v>
      </c>
      <c r="J1" s="61" t="s">
        <v>3</v>
      </c>
      <c r="K1" s="61" t="s">
        <v>7</v>
      </c>
      <c r="L1" s="62"/>
      <c r="M1" s="61" t="s">
        <v>0</v>
      </c>
      <c r="N1" s="62"/>
      <c r="O1" s="62"/>
      <c r="P1" s="61" t="s">
        <v>1</v>
      </c>
      <c r="Q1" s="62"/>
      <c r="R1" s="62"/>
      <c r="S1" s="62"/>
      <c r="T1" s="63"/>
      <c r="U1" s="59" t="s">
        <v>22</v>
      </c>
      <c r="V1" s="7"/>
      <c r="X1" s="7" t="s">
        <v>3</v>
      </c>
      <c r="Y1" s="7"/>
    </row>
    <row r="2" spans="9:40" s="2" customFormat="1" x14ac:dyDescent="0.25">
      <c r="I2" s="61"/>
      <c r="J2" s="61"/>
      <c r="K2" s="7" t="s">
        <v>13</v>
      </c>
      <c r="L2" s="2" t="s">
        <v>14</v>
      </c>
      <c r="M2" s="7" t="s">
        <v>8</v>
      </c>
      <c r="N2" s="2" t="s">
        <v>9</v>
      </c>
      <c r="O2" s="2" t="s">
        <v>10</v>
      </c>
      <c r="P2" s="7" t="s">
        <v>15</v>
      </c>
      <c r="Q2" s="2" t="s">
        <v>16</v>
      </c>
      <c r="R2" s="2" t="s">
        <v>17</v>
      </c>
      <c r="S2" s="2" t="s">
        <v>18</v>
      </c>
      <c r="T2" s="2" t="s">
        <v>19</v>
      </c>
      <c r="U2" s="59"/>
      <c r="V2" s="7"/>
      <c r="X2" s="7" t="s">
        <v>0</v>
      </c>
      <c r="Y2" s="7" t="s">
        <v>1</v>
      </c>
      <c r="Z2" s="2" t="s">
        <v>1</v>
      </c>
      <c r="AA2" s="2" t="s">
        <v>1</v>
      </c>
      <c r="AB2" s="2" t="s">
        <v>1</v>
      </c>
      <c r="AC2" s="2" t="s">
        <v>1</v>
      </c>
      <c r="AD2" s="2" t="s">
        <v>1</v>
      </c>
      <c r="AE2" s="2" t="s">
        <v>1</v>
      </c>
      <c r="AF2" s="2" t="s">
        <v>1</v>
      </c>
      <c r="AG2" s="2" t="s">
        <v>1</v>
      </c>
      <c r="AH2" s="2" t="s">
        <v>1</v>
      </c>
      <c r="AI2" s="2" t="s">
        <v>1</v>
      </c>
      <c r="AJ2" s="2" t="s">
        <v>1</v>
      </c>
      <c r="AK2" s="2" t="s">
        <v>1</v>
      </c>
      <c r="AL2" s="2" t="s">
        <v>1</v>
      </c>
      <c r="AM2" s="2" t="s">
        <v>1</v>
      </c>
      <c r="AN2" s="2" t="s">
        <v>1</v>
      </c>
    </row>
    <row r="3" spans="9:40" s="6" customFormat="1" ht="12" thickBot="1" x14ac:dyDescent="0.3">
      <c r="I3" s="64"/>
      <c r="J3" s="64"/>
      <c r="K3" s="8" t="s">
        <v>2</v>
      </c>
      <c r="L3" s="6" t="s">
        <v>2</v>
      </c>
      <c r="M3" s="8" t="s">
        <v>2</v>
      </c>
      <c r="N3" s="6" t="s">
        <v>2</v>
      </c>
      <c r="O3" s="6" t="s">
        <v>2</v>
      </c>
      <c r="P3" s="8" t="s">
        <v>2</v>
      </c>
      <c r="Q3" s="6" t="s">
        <v>2</v>
      </c>
      <c r="R3" s="6" t="s">
        <v>2</v>
      </c>
      <c r="S3" s="6" t="s">
        <v>21</v>
      </c>
      <c r="T3" s="6" t="s">
        <v>21</v>
      </c>
      <c r="U3" s="60"/>
      <c r="V3" s="8"/>
      <c r="X3" s="8" t="s">
        <v>2</v>
      </c>
      <c r="Y3" s="8" t="s">
        <v>2</v>
      </c>
      <c r="Z3" s="6" t="s">
        <v>2</v>
      </c>
      <c r="AA3" s="6" t="s">
        <v>2</v>
      </c>
      <c r="AB3" s="6" t="s">
        <v>2</v>
      </c>
      <c r="AC3" s="6" t="s">
        <v>2</v>
      </c>
      <c r="AD3" s="6" t="s">
        <v>2</v>
      </c>
      <c r="AE3" s="6" t="s">
        <v>2</v>
      </c>
      <c r="AF3" s="6" t="s">
        <v>2</v>
      </c>
      <c r="AG3" s="6" t="s">
        <v>2</v>
      </c>
      <c r="AH3" s="6" t="s">
        <v>2</v>
      </c>
      <c r="AI3" s="6" t="s">
        <v>2</v>
      </c>
      <c r="AJ3" s="6" t="s">
        <v>2</v>
      </c>
      <c r="AK3" s="6" t="s">
        <v>2</v>
      </c>
      <c r="AL3" s="6" t="s">
        <v>2</v>
      </c>
      <c r="AM3" s="6" t="s">
        <v>2</v>
      </c>
      <c r="AN3" s="6" t="s">
        <v>2</v>
      </c>
    </row>
    <row r="4" spans="9:40" ht="12" thickTop="1" x14ac:dyDescent="0.25">
      <c r="I4" s="7">
        <v>1</v>
      </c>
      <c r="J4" s="7" t="str" cm="1">
        <f t="array" aca="1" ref="J4" ca="1">IFERROR(IF(INDIRECT("Profile"&amp;"!"&amp;ADDRESS(MATCH(J$1,Profile!$A$1:$A$20,0),MATCH($I4,Profile!$1:$1,0),4))="","",INDIRECT("Profile"&amp;"!"&amp;ADDRESS(MATCH(J$1,Profile!$A$1:$A$20,0),MATCH($I4,Profile!$1:$1,0),4))),"")</f>
        <v/>
      </c>
      <c r="K4" s="9" t="str" cm="1">
        <f t="array" aca="1" ref="K4" ca="1">IF($J4="","",IF(INDIRECT("Profile"&amp;"!"&amp;ADDRESS(MATCH(K$2,Profile!$C$1:$C$20,0),MATCH($I4,Profile!$1:$1,0),4))="","",INDIRECT("Profile"&amp;"!"&amp;ADDRESS(MATCH(K$2,Profile!$C$1:$C$20,0),MATCH($I4,Profile!$1:$1,0)))))</f>
        <v/>
      </c>
      <c r="L4" s="3" t="str" cm="1">
        <f t="array" aca="1" ref="L4" ca="1">IF($J4="","",IF(INDIRECT("Profile"&amp;"!"&amp;ADDRESS(MATCH(L$2,Profile!$C$1:$C$20,0),MATCH($I4,Profile!$1:$1,0),4))="","",INDIRECT("Profile"&amp;"!"&amp;ADDRESS(MATCH(L$2,Profile!$C$1:$C$20,0),MATCH($I4,Profile!$1:$1,0)))))</f>
        <v/>
      </c>
      <c r="M4" s="9" t="str" cm="1">
        <f t="array" aca="1" ref="M4" ca="1">IF($J4="","",IF(INDIRECT("Profile"&amp;"!"&amp;ADDRESS(MATCH(M$2,Profile!$C$1:$C$20,0),MATCH($I4,Profile!$1:$1,0),4))="","",INDIRECT("Profile"&amp;"!"&amp;ADDRESS(MATCH(M$2,Profile!$C$1:$C$20,0),MATCH($I4,Profile!$1:$1,0)))))</f>
        <v/>
      </c>
      <c r="N4" s="3" t="str" cm="1">
        <f t="array" aca="1" ref="N4" ca="1">IF($J4="","",IF(INDIRECT("Profile"&amp;"!"&amp;ADDRESS(MATCH(N$2,Profile!$C$1:$C$20,0),MATCH($I4,Profile!$1:$1,0),4))="","",INDIRECT("Profile"&amp;"!"&amp;ADDRESS(MATCH(N$2,Profile!$C$1:$C$20,0),MATCH($I4,Profile!$1:$1,0)))))</f>
        <v/>
      </c>
      <c r="O4" s="3" t="str" cm="1">
        <f t="array" aca="1" ref="O4" ca="1">IFERROR(IF($J4="","",INDIRECT("Profile"&amp;"!"&amp;ADDRESS(MATCH(O$2,Profile!$C$1:$C$20,0),MATCH($I4,Profile!$1:$1,0),4))),"")</f>
        <v/>
      </c>
      <c r="P4" s="9" t="str" cm="1">
        <f t="array" aca="1" ref="P4" ca="1">IFERROR(IF($J4="","",INDIRECT("Profile"&amp;"!"&amp;ADDRESS(MATCH(P$2,Profile!$C$1:$C$20,0),MATCH($I4,Profile!$1:$1,0),4))),"")</f>
        <v/>
      </c>
      <c r="Q4" s="3" t="str" cm="1">
        <f t="array" aca="1" ref="Q4" ca="1">IFERROR(IF($J4="","",INDIRECT("Profile"&amp;"!"&amp;ADDRESS(MATCH(Q$2,Profile!$C$1:$C$20,0),MATCH($I4,Profile!$1:$1,0),4))),"")</f>
        <v/>
      </c>
      <c r="R4" s="3" t="str" cm="1">
        <f t="array" aca="1" ref="R4" ca="1">IFERROR(IF($J4="","",INDIRECT("Profile"&amp;"!"&amp;ADDRESS(MATCH(R$2,Profile!$C$1:$C$20,0),MATCH($I4,Profile!$1:$1,0),4))),"")</f>
        <v/>
      </c>
      <c r="S4" s="3" t="str" cm="1">
        <f t="array" aca="1" ref="S4" ca="1">IFERROR(IF($J4="","",INDIRECT("Profile"&amp;"!"&amp;ADDRESS(MATCH(S$2,Profile!$C$1:$C$20,0),MATCH($I4,Profile!$1:$1,0),4))),"")</f>
        <v/>
      </c>
      <c r="T4" s="3" t="str" cm="1">
        <f t="array" aca="1" ref="T4" ca="1">IFERROR(IF($J4="","",INDIRECT("Profile"&amp;"!"&amp;ADDRESS(MATCH(T$2,Profile!$C$1:$C$20,0),MATCH($I4,Profile!$1:$1,0),4))),"")</f>
        <v/>
      </c>
      <c r="U4" s="38" t="str" cm="1">
        <f t="array" aca="1" ref="U4" ca="1">IFERROR(IF(INDIRECT("ID"&amp;"!"&amp;ADDRESS(MATCH($J4,ID!$B:$B,0),MATCH($U$1,ID!$1:$1,0),4))="","",INDIRECT("ID"&amp;"!"&amp;ADDRESS(MATCH($J4,ID!$B:$B,0),MATCH($U$1,ID!$1:$1,0),4))),"")</f>
        <v/>
      </c>
      <c r="X4" s="7">
        <v>0</v>
      </c>
      <c r="Y4" s="7" t="str" cm="1">
        <f t="array" aca="1" ref="Y4" ca="1">IFERROR(IF(INDIRECT("Profile"&amp;"!"&amp;ADDRESS(MATCH($X$2,Profile!$D$1:$D$20,0)+ROW($X4)-ROW($X$2),MATCH(Y$1,Profile!$2:$2,0),4))="","",INDIRECT("Profile"&amp;"!"&amp;ADDRESS(MATCH($X$2,Profile!$D$1:$D$20,0)+ROW($X4)-ROW($X$2),MATCH(Y$1,Profile!$2:$2,0),4))),"")</f>
        <v/>
      </c>
      <c r="Z4" s="2" t="str" cm="1">
        <f t="array" aca="1" ref="Z4" ca="1">IFERROR(IF(INDIRECT("Profile"&amp;"!"&amp;ADDRESS(MATCH($X$2,Profile!$D$1:$D$20,0)+ROW($X4)-ROW($X$2),MATCH(Z$1,Profile!$2:$2,0),4))="","",INDIRECT("Profile"&amp;"!"&amp;ADDRESS(MATCH($X$2,Profile!$D$1:$D$20,0)+ROW($X4)-ROW($X$2),MATCH(Z$1,Profile!$2:$2,0),4))),"")</f>
        <v/>
      </c>
      <c r="AA4" s="2" t="str" cm="1">
        <f t="array" aca="1" ref="AA4" ca="1">IFERROR(IF(INDIRECT("Profile"&amp;"!"&amp;ADDRESS(MATCH($X$2,Profile!$D$1:$D$20,0)+ROW($X4)-ROW($X$2),MATCH(AA$1,Profile!$2:$2,0),4))="","",INDIRECT("Profile"&amp;"!"&amp;ADDRESS(MATCH($X$2,Profile!$D$1:$D$20,0)+ROW($X4)-ROW($X$2),MATCH(AA$1,Profile!$2:$2,0),4))),"")</f>
        <v/>
      </c>
      <c r="AB4" s="2" t="str" cm="1">
        <f t="array" aca="1" ref="AB4" ca="1">IFERROR(IF(INDIRECT("Profile"&amp;"!"&amp;ADDRESS(MATCH($X$2,Profile!$D$1:$D$20,0)+ROW($X4)-ROW($X$2),MATCH(AB$1,Profile!$2:$2,0),4))="","",INDIRECT("Profile"&amp;"!"&amp;ADDRESS(MATCH($X$2,Profile!$D$1:$D$20,0)+ROW($X4)-ROW($X$2),MATCH(AB$1,Profile!$2:$2,0),4))),"")</f>
        <v/>
      </c>
      <c r="AC4" s="2" t="str" cm="1">
        <f t="array" aca="1" ref="AC4" ca="1">IFERROR(IF(INDIRECT("Profile"&amp;"!"&amp;ADDRESS(MATCH($X$2,Profile!$D$1:$D$20,0)+ROW($X4)-ROW($X$2),MATCH(AC$1,Profile!$2:$2,0),4))="","",INDIRECT("Profile"&amp;"!"&amp;ADDRESS(MATCH($X$2,Profile!$D$1:$D$20,0)+ROW($X4)-ROW($X$2),MATCH(AC$1,Profile!$2:$2,0),4))),"")</f>
        <v/>
      </c>
      <c r="AD4" s="2" t="str" cm="1">
        <f t="array" aca="1" ref="AD4" ca="1">IFERROR(IF(INDIRECT("Profile"&amp;"!"&amp;ADDRESS(MATCH($X$2,Profile!$D$1:$D$20,0)+ROW($X4)-ROW($X$2),MATCH(AD$1,Profile!$2:$2,0),4))="","",INDIRECT("Profile"&amp;"!"&amp;ADDRESS(MATCH($X$2,Profile!$D$1:$D$20,0)+ROW($X4)-ROW($X$2),MATCH(AD$1,Profile!$2:$2,0),4))),"")</f>
        <v/>
      </c>
      <c r="AE4" s="2" t="str" cm="1">
        <f t="array" aca="1" ref="AE4" ca="1">IFERROR(IF(INDIRECT("Profile"&amp;"!"&amp;ADDRESS(MATCH($X$2,Profile!$D$1:$D$20,0)+ROW($X4)-ROW($X$2),MATCH(AE$1,Profile!$2:$2,0),4))="","",INDIRECT("Profile"&amp;"!"&amp;ADDRESS(MATCH($X$2,Profile!$D$1:$D$20,0)+ROW($X4)-ROW($X$2),MATCH(AE$1,Profile!$2:$2,0),4))),"")</f>
        <v/>
      </c>
      <c r="AF4" s="2" t="str" cm="1">
        <f t="array" aca="1" ref="AF4" ca="1">IFERROR(IF(INDIRECT("Profile"&amp;"!"&amp;ADDRESS(MATCH($X$2,Profile!$D$1:$D$20,0)+ROW($X4)-ROW($X$2),MATCH(AF$1,Profile!$2:$2,0),4))="","",INDIRECT("Profile"&amp;"!"&amp;ADDRESS(MATCH($X$2,Profile!$D$1:$D$20,0)+ROW($X4)-ROW($X$2),MATCH(AF$1,Profile!$2:$2,0),4))),"")</f>
        <v/>
      </c>
      <c r="AG4" s="2" t="str" cm="1">
        <f t="array" aca="1" ref="AG4" ca="1">IFERROR(IF(INDIRECT("Profile"&amp;"!"&amp;ADDRESS(MATCH($X$2,Profile!$D$1:$D$20,0)+ROW($X4)-ROW($X$2),MATCH(AG$1,Profile!$2:$2,0),4))="","",INDIRECT("Profile"&amp;"!"&amp;ADDRESS(MATCH($X$2,Profile!$D$1:$D$20,0)+ROW($X4)-ROW($X$2),MATCH(AG$1,Profile!$2:$2,0),4))),"")</f>
        <v/>
      </c>
      <c r="AH4" s="2" t="str" cm="1">
        <f t="array" aca="1" ref="AH4" ca="1">IFERROR(IF(INDIRECT("Profile"&amp;"!"&amp;ADDRESS(MATCH($X$2,Profile!$D$1:$D$20,0)+ROW($X4)-ROW($X$2),MATCH(AH$1,Profile!$2:$2,0),4))="","",INDIRECT("Profile"&amp;"!"&amp;ADDRESS(MATCH($X$2,Profile!$D$1:$D$20,0)+ROW($X4)-ROW($X$2),MATCH(AH$1,Profile!$2:$2,0),4))),"")</f>
        <v/>
      </c>
      <c r="AI4" s="2" t="str" cm="1">
        <f t="array" aca="1" ref="AI4" ca="1">IFERROR(IF(INDIRECT("Profile"&amp;"!"&amp;ADDRESS(MATCH($X$2,Profile!$D$1:$D$20,0)+ROW($X4)-ROW($X$2),MATCH(AI$1,Profile!$2:$2,0),4))="","",INDIRECT("Profile"&amp;"!"&amp;ADDRESS(MATCH($X$2,Profile!$D$1:$D$20,0)+ROW($X4)-ROW($X$2),MATCH(AI$1,Profile!$2:$2,0),4))),"")</f>
        <v/>
      </c>
      <c r="AJ4" s="2" t="str" cm="1">
        <f t="array" aca="1" ref="AJ4" ca="1">IFERROR(IF(INDIRECT("Profile"&amp;"!"&amp;ADDRESS(MATCH($X$2,Profile!$D$1:$D$20,0)+ROW($X4)-ROW($X$2),MATCH(AJ$1,Profile!$2:$2,0),4))="","",INDIRECT("Profile"&amp;"!"&amp;ADDRESS(MATCH($X$2,Profile!$D$1:$D$20,0)+ROW($X4)-ROW($X$2),MATCH(AJ$1,Profile!$2:$2,0),4))),"")</f>
        <v/>
      </c>
      <c r="AK4" s="2" t="str" cm="1">
        <f t="array" aca="1" ref="AK4" ca="1">IFERROR(IF(INDIRECT("Profile"&amp;"!"&amp;ADDRESS(MATCH($X$2,Profile!$D$1:$D$20,0)+ROW($X4)-ROW($X$2),MATCH(AK$1,Profile!$2:$2,0),4))="","",INDIRECT("Profile"&amp;"!"&amp;ADDRESS(MATCH($X$2,Profile!$D$1:$D$20,0)+ROW($X4)-ROW($X$2),MATCH(AK$1,Profile!$2:$2,0),4))),"")</f>
        <v/>
      </c>
      <c r="AL4" s="2" t="str" cm="1">
        <f t="array" aca="1" ref="AL4" ca="1">IFERROR(IF(INDIRECT("Profile"&amp;"!"&amp;ADDRESS(MATCH($X$2,Profile!$D$1:$D$20,0)+ROW($X4)-ROW($X$2),MATCH(AL$1,Profile!$2:$2,0),4))="","",INDIRECT("Profile"&amp;"!"&amp;ADDRESS(MATCH($X$2,Profile!$D$1:$D$20,0)+ROW($X4)-ROW($X$2),MATCH(AL$1,Profile!$2:$2,0),4))),"")</f>
        <v/>
      </c>
      <c r="AM4" s="2" t="str" cm="1">
        <f t="array" aca="1" ref="AM4" ca="1">IFERROR(IF(INDIRECT("Profile"&amp;"!"&amp;ADDRESS(MATCH($X$2,Profile!$D$1:$D$20,0)+ROW($X4)-ROW($X$2),MATCH(AM$1,Profile!$2:$2,0),4))="","",INDIRECT("Profile"&amp;"!"&amp;ADDRESS(MATCH($X$2,Profile!$D$1:$D$20,0)+ROW($X4)-ROW($X$2),MATCH(AM$1,Profile!$2:$2,0),4))),"")</f>
        <v/>
      </c>
      <c r="AN4" s="2" t="str" cm="1">
        <f t="array" aca="1" ref="AN4" ca="1">IFERROR(IF(INDIRECT("Profile"&amp;"!"&amp;ADDRESS(MATCH($X$2,Profile!$D$1:$D$20,0)+ROW($X4)-ROW($X$2),MATCH(AN$1,Profile!$2:$2,0),4))="","",INDIRECT("Profile"&amp;"!"&amp;ADDRESS(MATCH($X$2,Profile!$D$1:$D$20,0)+ROW($X4)-ROW($X$2),MATCH(AN$1,Profile!$2:$2,0),4))),"")</f>
        <v/>
      </c>
    </row>
    <row r="5" spans="9:40" x14ac:dyDescent="0.25">
      <c r="I5" s="7">
        <v>2</v>
      </c>
      <c r="J5" s="7" t="str" cm="1">
        <f t="array" aca="1" ref="J5" ca="1">IFERROR(IF(INDIRECT("Profile"&amp;"!"&amp;ADDRESS(MATCH(J$1,Profile!$A$1:$A$20,0),MATCH($I5,Profile!$1:$1,0),4))="","",INDIRECT("Profile"&amp;"!"&amp;ADDRESS(MATCH(J$1,Profile!$A$1:$A$20,0),MATCH($I5,Profile!$1:$1,0),4))),"")</f>
        <v/>
      </c>
      <c r="K5" s="9" t="str" cm="1">
        <f t="array" aca="1" ref="K5" ca="1">IF($J5="","",IF(INDIRECT("Profile"&amp;"!"&amp;ADDRESS(MATCH(K$2,Profile!$C$1:$C$20,0),MATCH($I5,Profile!$1:$1,0),4))="","",INDIRECT("Profile"&amp;"!"&amp;ADDRESS(MATCH(K$2,Profile!$C$1:$C$20,0),MATCH($I5,Profile!$1:$1,0)))))</f>
        <v/>
      </c>
      <c r="L5" s="3" t="str" cm="1">
        <f t="array" aca="1" ref="L5" ca="1">IF($J5="","",IF(INDIRECT("Profile"&amp;"!"&amp;ADDRESS(MATCH(L$2,Profile!$C$1:$C$20,0),MATCH($I5,Profile!$1:$1,0),4))="","",INDIRECT("Profile"&amp;"!"&amp;ADDRESS(MATCH(L$2,Profile!$C$1:$C$20,0),MATCH($I5,Profile!$1:$1,0)))))</f>
        <v/>
      </c>
      <c r="M5" s="9" t="str" cm="1">
        <f t="array" aca="1" ref="M5" ca="1">IF($J5="","",IF(INDIRECT("Profile"&amp;"!"&amp;ADDRESS(MATCH(M$2,Profile!$C$1:$C$20,0),MATCH($I5,Profile!$1:$1,0),4))="","",INDIRECT("Profile"&amp;"!"&amp;ADDRESS(MATCH(M$2,Profile!$C$1:$C$20,0),MATCH($I5,Profile!$1:$1,0)))))</f>
        <v/>
      </c>
      <c r="N5" s="3" t="str" cm="1">
        <f t="array" aca="1" ref="N5" ca="1">IF($J5="","",IF(INDIRECT("Profile"&amp;"!"&amp;ADDRESS(MATCH(N$2,Profile!$C$1:$C$20,0),MATCH($I5,Profile!$1:$1,0),4))="","",INDIRECT("Profile"&amp;"!"&amp;ADDRESS(MATCH(N$2,Profile!$C$1:$C$20,0),MATCH($I5,Profile!$1:$1,0)))))</f>
        <v/>
      </c>
      <c r="O5" s="3" t="str" cm="1">
        <f t="array" aca="1" ref="O5" ca="1">IFERROR(IF($J5="","",INDIRECT("Profile"&amp;"!"&amp;ADDRESS(MATCH(O$2,Profile!$C$1:$C$20,0),MATCH($I5,Profile!$1:$1,0),4))),"")</f>
        <v/>
      </c>
      <c r="P5" s="9" t="str" cm="1">
        <f t="array" aca="1" ref="P5" ca="1">IFERROR(IF($J5="","",INDIRECT("Profile"&amp;"!"&amp;ADDRESS(MATCH(P$2,Profile!$C$1:$C$20,0),MATCH($I5,Profile!$1:$1,0),4))),"")</f>
        <v/>
      </c>
      <c r="Q5" s="3" t="str" cm="1">
        <f t="array" aca="1" ref="Q5" ca="1">IFERROR(IF($J5="","",INDIRECT("Profile"&amp;"!"&amp;ADDRESS(MATCH(Q$2,Profile!$C$1:$C$20,0),MATCH($I5,Profile!$1:$1,0),4))),"")</f>
        <v/>
      </c>
      <c r="R5" s="3" t="str" cm="1">
        <f t="array" aca="1" ref="R5" ca="1">IFERROR(IF($J5="","",INDIRECT("Profile"&amp;"!"&amp;ADDRESS(MATCH(R$2,Profile!$C$1:$C$20,0),MATCH($I5,Profile!$1:$1,0),4))),"")</f>
        <v/>
      </c>
      <c r="S5" s="3" t="str" cm="1">
        <f t="array" aca="1" ref="S5" ca="1">IFERROR(IF($J5="","",INDIRECT("Profile"&amp;"!"&amp;ADDRESS(MATCH(S$2,Profile!$C$1:$C$20,0),MATCH($I5,Profile!$1:$1,0),4))),"")</f>
        <v/>
      </c>
      <c r="T5" s="3" t="str" cm="1">
        <f t="array" aca="1" ref="T5" ca="1">IFERROR(IF($J5="","",INDIRECT("Profile"&amp;"!"&amp;ADDRESS(MATCH(T$2,Profile!$C$1:$C$20,0),MATCH($I5,Profile!$1:$1,0),4))),"")</f>
        <v/>
      </c>
      <c r="U5" s="38" t="str" cm="1">
        <f t="array" aca="1" ref="U5" ca="1">IFERROR(IF(INDIRECT("ID"&amp;"!"&amp;ADDRESS(MATCH($J5,ID!$B:$B,0),MATCH($U$1,ID!$1:$1,0),4))="","",INDIRECT("ID"&amp;"!"&amp;ADDRESS(MATCH($J5,ID!$B:$B,0),MATCH($U$1,ID!$1:$1,0),4))),"")</f>
        <v/>
      </c>
      <c r="X5" s="7">
        <v>-0.1</v>
      </c>
      <c r="Y5" s="7" t="str" cm="1">
        <f t="array" aca="1" ref="Y5" ca="1">IFERROR(IF(INDIRECT("Profile"&amp;"!"&amp;ADDRESS(MATCH($X$2,Profile!$D$1:$D$20,0)+ROW($X5)-ROW($X$2),MATCH(Y$1,Profile!$2:$2,0),4))="","",INDIRECT("Profile"&amp;"!"&amp;ADDRESS(MATCH($X$2,Profile!$D$1:$D$20,0)+ROW($X5)-ROW($X$2),MATCH(Y$1,Profile!$2:$2,0),4))),"")</f>
        <v/>
      </c>
      <c r="Z5" s="2" t="str" cm="1">
        <f t="array" aca="1" ref="Z5" ca="1">IFERROR(IF(INDIRECT("Profile"&amp;"!"&amp;ADDRESS(MATCH($X$2,Profile!$D$1:$D$20,0)+ROW($X5)-ROW($X$2),MATCH(Z$1,Profile!$2:$2,0),4))="","",INDIRECT("Profile"&amp;"!"&amp;ADDRESS(MATCH($X$2,Profile!$D$1:$D$20,0)+ROW($X5)-ROW($X$2),MATCH(Z$1,Profile!$2:$2,0),4))),"")</f>
        <v/>
      </c>
      <c r="AA5" s="2" t="str" cm="1">
        <f t="array" aca="1" ref="AA5" ca="1">IFERROR(IF(INDIRECT("Profile"&amp;"!"&amp;ADDRESS(MATCH($X$2,Profile!$D$1:$D$20,0)+ROW($X5)-ROW($X$2),MATCH(AA$1,Profile!$2:$2,0),4))="","",INDIRECT("Profile"&amp;"!"&amp;ADDRESS(MATCH($X$2,Profile!$D$1:$D$20,0)+ROW($X5)-ROW($X$2),MATCH(AA$1,Profile!$2:$2,0),4))),"")</f>
        <v/>
      </c>
      <c r="AB5" s="2" t="str" cm="1">
        <f t="array" aca="1" ref="AB5" ca="1">IFERROR(IF(INDIRECT("Profile"&amp;"!"&amp;ADDRESS(MATCH($X$2,Profile!$D$1:$D$20,0)+ROW($X5)-ROW($X$2),MATCH(AB$1,Profile!$2:$2,0),4))="","",INDIRECT("Profile"&amp;"!"&amp;ADDRESS(MATCH($X$2,Profile!$D$1:$D$20,0)+ROW($X5)-ROW($X$2),MATCH(AB$1,Profile!$2:$2,0),4))),"")</f>
        <v/>
      </c>
      <c r="AC5" s="2" t="str" cm="1">
        <f t="array" aca="1" ref="AC5" ca="1">IFERROR(IF(INDIRECT("Profile"&amp;"!"&amp;ADDRESS(MATCH($X$2,Profile!$D$1:$D$20,0)+ROW($X5)-ROW($X$2),MATCH(AC$1,Profile!$2:$2,0),4))="","",INDIRECT("Profile"&amp;"!"&amp;ADDRESS(MATCH($X$2,Profile!$D$1:$D$20,0)+ROW($X5)-ROW($X$2),MATCH(AC$1,Profile!$2:$2,0),4))),"")</f>
        <v/>
      </c>
      <c r="AD5" s="2" t="str" cm="1">
        <f t="array" aca="1" ref="AD5" ca="1">IFERROR(IF(INDIRECT("Profile"&amp;"!"&amp;ADDRESS(MATCH($X$2,Profile!$D$1:$D$20,0)+ROW($X5)-ROW($X$2),MATCH(AD$1,Profile!$2:$2,0),4))="","",INDIRECT("Profile"&amp;"!"&amp;ADDRESS(MATCH($X$2,Profile!$D$1:$D$20,0)+ROW($X5)-ROW($X$2),MATCH(AD$1,Profile!$2:$2,0),4))),"")</f>
        <v/>
      </c>
      <c r="AE5" s="2" t="str" cm="1">
        <f t="array" aca="1" ref="AE5" ca="1">IFERROR(IF(INDIRECT("Profile"&amp;"!"&amp;ADDRESS(MATCH($X$2,Profile!$D$1:$D$20,0)+ROW($X5)-ROW($X$2),MATCH(AE$1,Profile!$2:$2,0),4))="","",INDIRECT("Profile"&amp;"!"&amp;ADDRESS(MATCH($X$2,Profile!$D$1:$D$20,0)+ROW($X5)-ROW($X$2),MATCH(AE$1,Profile!$2:$2,0),4))),"")</f>
        <v/>
      </c>
      <c r="AF5" s="2" t="str" cm="1">
        <f t="array" aca="1" ref="AF5" ca="1">IFERROR(IF(INDIRECT("Profile"&amp;"!"&amp;ADDRESS(MATCH($X$2,Profile!$D$1:$D$20,0)+ROW($X5)-ROW($X$2),MATCH(AF$1,Profile!$2:$2,0),4))="","",INDIRECT("Profile"&amp;"!"&amp;ADDRESS(MATCH($X$2,Profile!$D$1:$D$20,0)+ROW($X5)-ROW($X$2),MATCH(AF$1,Profile!$2:$2,0),4))),"")</f>
        <v/>
      </c>
      <c r="AG5" s="2" t="str" cm="1">
        <f t="array" aca="1" ref="AG5" ca="1">IFERROR(IF(INDIRECT("Profile"&amp;"!"&amp;ADDRESS(MATCH($X$2,Profile!$D$1:$D$20,0)+ROW($X5)-ROW($X$2),MATCH(AG$1,Profile!$2:$2,0),4))="","",INDIRECT("Profile"&amp;"!"&amp;ADDRESS(MATCH($X$2,Profile!$D$1:$D$20,0)+ROW($X5)-ROW($X$2),MATCH(AG$1,Profile!$2:$2,0),4))),"")</f>
        <v/>
      </c>
      <c r="AH5" s="2" t="str" cm="1">
        <f t="array" aca="1" ref="AH5" ca="1">IFERROR(IF(INDIRECT("Profile"&amp;"!"&amp;ADDRESS(MATCH($X$2,Profile!$D$1:$D$20,0)+ROW($X5)-ROW($X$2),MATCH(AH$1,Profile!$2:$2,0),4))="","",INDIRECT("Profile"&amp;"!"&amp;ADDRESS(MATCH($X$2,Profile!$D$1:$D$20,0)+ROW($X5)-ROW($X$2),MATCH(AH$1,Profile!$2:$2,0),4))),"")</f>
        <v/>
      </c>
      <c r="AI5" s="2" t="str" cm="1">
        <f t="array" aca="1" ref="AI5" ca="1">IFERROR(IF(INDIRECT("Profile"&amp;"!"&amp;ADDRESS(MATCH($X$2,Profile!$D$1:$D$20,0)+ROW($X5)-ROW($X$2),MATCH(AI$1,Profile!$2:$2,0),4))="","",INDIRECT("Profile"&amp;"!"&amp;ADDRESS(MATCH($X$2,Profile!$D$1:$D$20,0)+ROW($X5)-ROW($X$2),MATCH(AI$1,Profile!$2:$2,0),4))),"")</f>
        <v/>
      </c>
      <c r="AJ5" s="2" t="str" cm="1">
        <f t="array" aca="1" ref="AJ5" ca="1">IFERROR(IF(INDIRECT("Profile"&amp;"!"&amp;ADDRESS(MATCH($X$2,Profile!$D$1:$D$20,0)+ROW($X5)-ROW($X$2),MATCH(AJ$1,Profile!$2:$2,0),4))="","",INDIRECT("Profile"&amp;"!"&amp;ADDRESS(MATCH($X$2,Profile!$D$1:$D$20,0)+ROW($X5)-ROW($X$2),MATCH(AJ$1,Profile!$2:$2,0),4))),"")</f>
        <v/>
      </c>
      <c r="AK5" s="2" t="str" cm="1">
        <f t="array" aca="1" ref="AK5" ca="1">IFERROR(IF(INDIRECT("Profile"&amp;"!"&amp;ADDRESS(MATCH($X$2,Profile!$D$1:$D$20,0)+ROW($X5)-ROW($X$2),MATCH(AK$1,Profile!$2:$2,0),4))="","",INDIRECT("Profile"&amp;"!"&amp;ADDRESS(MATCH($X$2,Profile!$D$1:$D$20,0)+ROW($X5)-ROW($X$2),MATCH(AK$1,Profile!$2:$2,0),4))),"")</f>
        <v/>
      </c>
      <c r="AL5" s="2" t="str" cm="1">
        <f t="array" aca="1" ref="AL5" ca="1">IFERROR(IF(INDIRECT("Profile"&amp;"!"&amp;ADDRESS(MATCH($X$2,Profile!$D$1:$D$20,0)+ROW($X5)-ROW($X$2),MATCH(AL$1,Profile!$2:$2,0),4))="","",INDIRECT("Profile"&amp;"!"&amp;ADDRESS(MATCH($X$2,Profile!$D$1:$D$20,0)+ROW($X5)-ROW($X$2),MATCH(AL$1,Profile!$2:$2,0),4))),"")</f>
        <v/>
      </c>
      <c r="AM5" s="2" t="str" cm="1">
        <f t="array" aca="1" ref="AM5" ca="1">IFERROR(IF(INDIRECT("Profile"&amp;"!"&amp;ADDRESS(MATCH($X$2,Profile!$D$1:$D$20,0)+ROW($X5)-ROW($X$2),MATCH(AM$1,Profile!$2:$2,0),4))="","",INDIRECT("Profile"&amp;"!"&amp;ADDRESS(MATCH($X$2,Profile!$D$1:$D$20,0)+ROW($X5)-ROW($X$2),MATCH(AM$1,Profile!$2:$2,0),4))),"")</f>
        <v/>
      </c>
      <c r="AN5" s="2" t="str" cm="1">
        <f t="array" aca="1" ref="AN5" ca="1">IFERROR(IF(INDIRECT("Profile"&amp;"!"&amp;ADDRESS(MATCH($X$2,Profile!$D$1:$D$20,0)+ROW($X5)-ROW($X$2),MATCH(AN$1,Profile!$2:$2,0),4))="","",INDIRECT("Profile"&amp;"!"&amp;ADDRESS(MATCH($X$2,Profile!$D$1:$D$20,0)+ROW($X5)-ROW($X$2),MATCH(AN$1,Profile!$2:$2,0),4))),"")</f>
        <v/>
      </c>
    </row>
    <row r="6" spans="9:40" x14ac:dyDescent="0.25">
      <c r="I6" s="7">
        <v>3</v>
      </c>
      <c r="J6" s="7" t="str" cm="1">
        <f t="array" aca="1" ref="J6" ca="1">IFERROR(IF(INDIRECT("Profile"&amp;"!"&amp;ADDRESS(MATCH(J$1,Profile!$A$1:$A$20,0),MATCH($I6,Profile!$1:$1,0),4))="","",INDIRECT("Profile"&amp;"!"&amp;ADDRESS(MATCH(J$1,Profile!$A$1:$A$20,0),MATCH($I6,Profile!$1:$1,0),4))),"")</f>
        <v/>
      </c>
      <c r="K6" s="9" t="str" cm="1">
        <f t="array" aca="1" ref="K6" ca="1">IF($J6="","",IF(INDIRECT("Profile"&amp;"!"&amp;ADDRESS(MATCH(K$2,Profile!$C$1:$C$20,0),MATCH($I6,Profile!$1:$1,0),4))="","",INDIRECT("Profile"&amp;"!"&amp;ADDRESS(MATCH(K$2,Profile!$C$1:$C$20,0),MATCH($I6,Profile!$1:$1,0)))))</f>
        <v/>
      </c>
      <c r="L6" s="3" t="str" cm="1">
        <f t="array" aca="1" ref="L6" ca="1">IF($J6="","",IF(INDIRECT("Profile"&amp;"!"&amp;ADDRESS(MATCH(L$2,Profile!$C$1:$C$20,0),MATCH($I6,Profile!$1:$1,0),4))="","",INDIRECT("Profile"&amp;"!"&amp;ADDRESS(MATCH(L$2,Profile!$C$1:$C$20,0),MATCH($I6,Profile!$1:$1,0)))))</f>
        <v/>
      </c>
      <c r="M6" s="9" t="str" cm="1">
        <f t="array" aca="1" ref="M6" ca="1">IF($J6="","",IF(INDIRECT("Profile"&amp;"!"&amp;ADDRESS(MATCH(M$2,Profile!$C$1:$C$20,0),MATCH($I6,Profile!$1:$1,0),4))="","",INDIRECT("Profile"&amp;"!"&amp;ADDRESS(MATCH(M$2,Profile!$C$1:$C$20,0),MATCH($I6,Profile!$1:$1,0)))))</f>
        <v/>
      </c>
      <c r="N6" s="3" t="str" cm="1">
        <f t="array" aca="1" ref="N6" ca="1">IF($J6="","",IF(INDIRECT("Profile"&amp;"!"&amp;ADDRESS(MATCH(N$2,Profile!$C$1:$C$20,0),MATCH($I6,Profile!$1:$1,0),4))="","",INDIRECT("Profile"&amp;"!"&amp;ADDRESS(MATCH(N$2,Profile!$C$1:$C$20,0),MATCH($I6,Profile!$1:$1,0)))))</f>
        <v/>
      </c>
      <c r="O6" s="3" t="str" cm="1">
        <f t="array" aca="1" ref="O6" ca="1">IFERROR(IF($J6="","",INDIRECT("Profile"&amp;"!"&amp;ADDRESS(MATCH(O$2,Profile!$C$1:$C$20,0),MATCH($I6,Profile!$1:$1,0),4))),"")</f>
        <v/>
      </c>
      <c r="P6" s="9" t="str" cm="1">
        <f t="array" aca="1" ref="P6" ca="1">IFERROR(IF($J6="","",INDIRECT("Profile"&amp;"!"&amp;ADDRESS(MATCH(P$2,Profile!$C$1:$C$20,0),MATCH($I6,Profile!$1:$1,0),4))),"")</f>
        <v/>
      </c>
      <c r="Q6" s="3" t="str" cm="1">
        <f t="array" aca="1" ref="Q6" ca="1">IFERROR(IF($J6="","",INDIRECT("Profile"&amp;"!"&amp;ADDRESS(MATCH(Q$2,Profile!$C$1:$C$20,0),MATCH($I6,Profile!$1:$1,0),4))),"")</f>
        <v/>
      </c>
      <c r="R6" s="3" t="str" cm="1">
        <f t="array" aca="1" ref="R6" ca="1">IFERROR(IF($J6="","",INDIRECT("Profile"&amp;"!"&amp;ADDRESS(MATCH(R$2,Profile!$C$1:$C$20,0),MATCH($I6,Profile!$1:$1,0),4))),"")</f>
        <v/>
      </c>
      <c r="S6" s="3" t="str" cm="1">
        <f t="array" aca="1" ref="S6" ca="1">IFERROR(IF($J6="","",INDIRECT("Profile"&amp;"!"&amp;ADDRESS(MATCH(S$2,Profile!$C$1:$C$20,0),MATCH($I6,Profile!$1:$1,0),4))),"")</f>
        <v/>
      </c>
      <c r="T6" s="3" t="str" cm="1">
        <f t="array" aca="1" ref="T6" ca="1">IFERROR(IF($J6="","",INDIRECT("Profile"&amp;"!"&amp;ADDRESS(MATCH(T$2,Profile!$C$1:$C$20,0),MATCH($I6,Profile!$1:$1,0),4))),"")</f>
        <v/>
      </c>
      <c r="U6" s="38" t="str" cm="1">
        <f t="array" aca="1" ref="U6" ca="1">IFERROR(IF(INDIRECT("ID"&amp;"!"&amp;ADDRESS(MATCH($J6,ID!$B:$B,0),MATCH($U$1,ID!$1:$1,0),4))="","",INDIRECT("ID"&amp;"!"&amp;ADDRESS(MATCH($J6,ID!$B:$B,0),MATCH($U$1,ID!$1:$1,0),4))),"")</f>
        <v/>
      </c>
      <c r="X6" s="7">
        <v>-0.2</v>
      </c>
      <c r="Y6" s="7" t="str" cm="1">
        <f t="array" aca="1" ref="Y6" ca="1">IFERROR(IF(INDIRECT("Profile"&amp;"!"&amp;ADDRESS(MATCH($X$2,Profile!$D$1:$D$20,0)+ROW($X6)-ROW($X$2),MATCH(Y$1,Profile!$2:$2,0),4))="","",INDIRECT("Profile"&amp;"!"&amp;ADDRESS(MATCH($X$2,Profile!$D$1:$D$20,0)+ROW($X6)-ROW($X$2),MATCH(Y$1,Profile!$2:$2,0),4))),"")</f>
        <v/>
      </c>
      <c r="Z6" s="2" t="str" cm="1">
        <f t="array" aca="1" ref="Z6" ca="1">IFERROR(IF(INDIRECT("Profile"&amp;"!"&amp;ADDRESS(MATCH($X$2,Profile!$D$1:$D$20,0)+ROW($X6)-ROW($X$2),MATCH(Z$1,Profile!$2:$2,0),4))="","",INDIRECT("Profile"&amp;"!"&amp;ADDRESS(MATCH($X$2,Profile!$D$1:$D$20,0)+ROW($X6)-ROW($X$2),MATCH(Z$1,Profile!$2:$2,0),4))),"")</f>
        <v/>
      </c>
      <c r="AA6" s="2" t="str" cm="1">
        <f t="array" aca="1" ref="AA6" ca="1">IFERROR(IF(INDIRECT("Profile"&amp;"!"&amp;ADDRESS(MATCH($X$2,Profile!$D$1:$D$20,0)+ROW($X6)-ROW($X$2),MATCH(AA$1,Profile!$2:$2,0),4))="","",INDIRECT("Profile"&amp;"!"&amp;ADDRESS(MATCH($X$2,Profile!$D$1:$D$20,0)+ROW($X6)-ROW($X$2),MATCH(AA$1,Profile!$2:$2,0),4))),"")</f>
        <v/>
      </c>
      <c r="AB6" s="2" t="str" cm="1">
        <f t="array" aca="1" ref="AB6" ca="1">IFERROR(IF(INDIRECT("Profile"&amp;"!"&amp;ADDRESS(MATCH($X$2,Profile!$D$1:$D$20,0)+ROW($X6)-ROW($X$2),MATCH(AB$1,Profile!$2:$2,0),4))="","",INDIRECT("Profile"&amp;"!"&amp;ADDRESS(MATCH($X$2,Profile!$D$1:$D$20,0)+ROW($X6)-ROW($X$2),MATCH(AB$1,Profile!$2:$2,0),4))),"")</f>
        <v/>
      </c>
      <c r="AC6" s="2" t="str" cm="1">
        <f t="array" aca="1" ref="AC6" ca="1">IFERROR(IF(INDIRECT("Profile"&amp;"!"&amp;ADDRESS(MATCH($X$2,Profile!$D$1:$D$20,0)+ROW($X6)-ROW($X$2),MATCH(AC$1,Profile!$2:$2,0),4))="","",INDIRECT("Profile"&amp;"!"&amp;ADDRESS(MATCH($X$2,Profile!$D$1:$D$20,0)+ROW($X6)-ROW($X$2),MATCH(AC$1,Profile!$2:$2,0),4))),"")</f>
        <v/>
      </c>
      <c r="AD6" s="2" t="str" cm="1">
        <f t="array" aca="1" ref="AD6" ca="1">IFERROR(IF(INDIRECT("Profile"&amp;"!"&amp;ADDRESS(MATCH($X$2,Profile!$D$1:$D$20,0)+ROW($X6)-ROW($X$2),MATCH(AD$1,Profile!$2:$2,0),4))="","",INDIRECT("Profile"&amp;"!"&amp;ADDRESS(MATCH($X$2,Profile!$D$1:$D$20,0)+ROW($X6)-ROW($X$2),MATCH(AD$1,Profile!$2:$2,0),4))),"")</f>
        <v/>
      </c>
      <c r="AE6" s="2" t="str" cm="1">
        <f t="array" aca="1" ref="AE6" ca="1">IFERROR(IF(INDIRECT("Profile"&amp;"!"&amp;ADDRESS(MATCH($X$2,Profile!$D$1:$D$20,0)+ROW($X6)-ROW($X$2),MATCH(AE$1,Profile!$2:$2,0),4))="","",INDIRECT("Profile"&amp;"!"&amp;ADDRESS(MATCH($X$2,Profile!$D$1:$D$20,0)+ROW($X6)-ROW($X$2),MATCH(AE$1,Profile!$2:$2,0),4))),"")</f>
        <v/>
      </c>
      <c r="AF6" s="2" t="str" cm="1">
        <f t="array" aca="1" ref="AF6" ca="1">IFERROR(IF(INDIRECT("Profile"&amp;"!"&amp;ADDRESS(MATCH($X$2,Profile!$D$1:$D$20,0)+ROW($X6)-ROW($X$2),MATCH(AF$1,Profile!$2:$2,0),4))="","",INDIRECT("Profile"&amp;"!"&amp;ADDRESS(MATCH($X$2,Profile!$D$1:$D$20,0)+ROW($X6)-ROW($X$2),MATCH(AF$1,Profile!$2:$2,0),4))),"")</f>
        <v/>
      </c>
      <c r="AG6" s="2" t="str" cm="1">
        <f t="array" aca="1" ref="AG6" ca="1">IFERROR(IF(INDIRECT("Profile"&amp;"!"&amp;ADDRESS(MATCH($X$2,Profile!$D$1:$D$20,0)+ROW($X6)-ROW($X$2),MATCH(AG$1,Profile!$2:$2,0),4))="","",INDIRECT("Profile"&amp;"!"&amp;ADDRESS(MATCH($X$2,Profile!$D$1:$D$20,0)+ROW($X6)-ROW($X$2),MATCH(AG$1,Profile!$2:$2,0),4))),"")</f>
        <v/>
      </c>
      <c r="AH6" s="2" t="str" cm="1">
        <f t="array" aca="1" ref="AH6" ca="1">IFERROR(IF(INDIRECT("Profile"&amp;"!"&amp;ADDRESS(MATCH($X$2,Profile!$D$1:$D$20,0)+ROW($X6)-ROW($X$2),MATCH(AH$1,Profile!$2:$2,0),4))="","",INDIRECT("Profile"&amp;"!"&amp;ADDRESS(MATCH($X$2,Profile!$D$1:$D$20,0)+ROW($X6)-ROW($X$2),MATCH(AH$1,Profile!$2:$2,0),4))),"")</f>
        <v/>
      </c>
      <c r="AI6" s="2" t="str" cm="1">
        <f t="array" aca="1" ref="AI6" ca="1">IFERROR(IF(INDIRECT("Profile"&amp;"!"&amp;ADDRESS(MATCH($X$2,Profile!$D$1:$D$20,0)+ROW($X6)-ROW($X$2),MATCH(AI$1,Profile!$2:$2,0),4))="","",INDIRECT("Profile"&amp;"!"&amp;ADDRESS(MATCH($X$2,Profile!$D$1:$D$20,0)+ROW($X6)-ROW($X$2),MATCH(AI$1,Profile!$2:$2,0),4))),"")</f>
        <v/>
      </c>
      <c r="AJ6" s="2" t="str" cm="1">
        <f t="array" aca="1" ref="AJ6" ca="1">IFERROR(IF(INDIRECT("Profile"&amp;"!"&amp;ADDRESS(MATCH($X$2,Profile!$D$1:$D$20,0)+ROW($X6)-ROW($X$2),MATCH(AJ$1,Profile!$2:$2,0),4))="","",INDIRECT("Profile"&amp;"!"&amp;ADDRESS(MATCH($X$2,Profile!$D$1:$D$20,0)+ROW($X6)-ROW($X$2),MATCH(AJ$1,Profile!$2:$2,0),4))),"")</f>
        <v/>
      </c>
      <c r="AK6" s="2" t="str" cm="1">
        <f t="array" aca="1" ref="AK6" ca="1">IFERROR(IF(INDIRECT("Profile"&amp;"!"&amp;ADDRESS(MATCH($X$2,Profile!$D$1:$D$20,0)+ROW($X6)-ROW($X$2),MATCH(AK$1,Profile!$2:$2,0),4))="","",INDIRECT("Profile"&amp;"!"&amp;ADDRESS(MATCH($X$2,Profile!$D$1:$D$20,0)+ROW($X6)-ROW($X$2),MATCH(AK$1,Profile!$2:$2,0),4))),"")</f>
        <v/>
      </c>
      <c r="AL6" s="2" t="str" cm="1">
        <f t="array" aca="1" ref="AL6" ca="1">IFERROR(IF(INDIRECT("Profile"&amp;"!"&amp;ADDRESS(MATCH($X$2,Profile!$D$1:$D$20,0)+ROW($X6)-ROW($X$2),MATCH(AL$1,Profile!$2:$2,0),4))="","",INDIRECT("Profile"&amp;"!"&amp;ADDRESS(MATCH($X$2,Profile!$D$1:$D$20,0)+ROW($X6)-ROW($X$2),MATCH(AL$1,Profile!$2:$2,0),4))),"")</f>
        <v/>
      </c>
      <c r="AM6" s="2" t="str" cm="1">
        <f t="array" aca="1" ref="AM6" ca="1">IFERROR(IF(INDIRECT("Profile"&amp;"!"&amp;ADDRESS(MATCH($X$2,Profile!$D$1:$D$20,0)+ROW($X6)-ROW($X$2),MATCH(AM$1,Profile!$2:$2,0),4))="","",INDIRECT("Profile"&amp;"!"&amp;ADDRESS(MATCH($X$2,Profile!$D$1:$D$20,0)+ROW($X6)-ROW($X$2),MATCH(AM$1,Profile!$2:$2,0),4))),"")</f>
        <v/>
      </c>
      <c r="AN6" s="2" t="str" cm="1">
        <f t="array" aca="1" ref="AN6" ca="1">IFERROR(IF(INDIRECT("Profile"&amp;"!"&amp;ADDRESS(MATCH($X$2,Profile!$D$1:$D$20,0)+ROW($X6)-ROW($X$2),MATCH(AN$1,Profile!$2:$2,0),4))="","",INDIRECT("Profile"&amp;"!"&amp;ADDRESS(MATCH($X$2,Profile!$D$1:$D$20,0)+ROW($X6)-ROW($X$2),MATCH(AN$1,Profile!$2:$2,0),4))),"")</f>
        <v/>
      </c>
    </row>
    <row r="7" spans="9:40" x14ac:dyDescent="0.25">
      <c r="I7" s="7">
        <v>4</v>
      </c>
      <c r="J7" s="7" t="str" cm="1">
        <f t="array" aca="1" ref="J7" ca="1">IFERROR(IF(INDIRECT("Profile"&amp;"!"&amp;ADDRESS(MATCH(J$1,Profile!$A$1:$A$20,0),MATCH($I7,Profile!$1:$1,0),4))="","",INDIRECT("Profile"&amp;"!"&amp;ADDRESS(MATCH(J$1,Profile!$A$1:$A$20,0),MATCH($I7,Profile!$1:$1,0),4))),"")</f>
        <v/>
      </c>
      <c r="K7" s="9" t="str" cm="1">
        <f t="array" aca="1" ref="K7" ca="1">IF($J7="","",IF(INDIRECT("Profile"&amp;"!"&amp;ADDRESS(MATCH(K$2,Profile!$C$1:$C$20,0),MATCH($I7,Profile!$1:$1,0),4))="","",INDIRECT("Profile"&amp;"!"&amp;ADDRESS(MATCH(K$2,Profile!$C$1:$C$20,0),MATCH($I7,Profile!$1:$1,0)))))</f>
        <v/>
      </c>
      <c r="L7" s="3" t="str" cm="1">
        <f t="array" aca="1" ref="L7" ca="1">IF($J7="","",IF(INDIRECT("Profile"&amp;"!"&amp;ADDRESS(MATCH(L$2,Profile!$C$1:$C$20,0),MATCH($I7,Profile!$1:$1,0),4))="","",INDIRECT("Profile"&amp;"!"&amp;ADDRESS(MATCH(L$2,Profile!$C$1:$C$20,0),MATCH($I7,Profile!$1:$1,0)))))</f>
        <v/>
      </c>
      <c r="M7" s="9" t="str" cm="1">
        <f t="array" aca="1" ref="M7" ca="1">IF($J7="","",IF(INDIRECT("Profile"&amp;"!"&amp;ADDRESS(MATCH(M$2,Profile!$C$1:$C$20,0),MATCH($I7,Profile!$1:$1,0),4))="","",INDIRECT("Profile"&amp;"!"&amp;ADDRESS(MATCH(M$2,Profile!$C$1:$C$20,0),MATCH($I7,Profile!$1:$1,0)))))</f>
        <v/>
      </c>
      <c r="N7" s="3" t="str" cm="1">
        <f t="array" aca="1" ref="N7" ca="1">IF($J7="","",IF(INDIRECT("Profile"&amp;"!"&amp;ADDRESS(MATCH(N$2,Profile!$C$1:$C$20,0),MATCH($I7,Profile!$1:$1,0),4))="","",INDIRECT("Profile"&amp;"!"&amp;ADDRESS(MATCH(N$2,Profile!$C$1:$C$20,0),MATCH($I7,Profile!$1:$1,0)))))</f>
        <v/>
      </c>
      <c r="O7" s="3" t="str" cm="1">
        <f t="array" aca="1" ref="O7" ca="1">IFERROR(IF($J7="","",INDIRECT("Profile"&amp;"!"&amp;ADDRESS(MATCH(O$2,Profile!$C$1:$C$20,0),MATCH($I7,Profile!$1:$1,0),4))),"")</f>
        <v/>
      </c>
      <c r="P7" s="9" t="str" cm="1">
        <f t="array" aca="1" ref="P7" ca="1">IFERROR(IF($J7="","",INDIRECT("Profile"&amp;"!"&amp;ADDRESS(MATCH(P$2,Profile!$C$1:$C$20,0),MATCH($I7,Profile!$1:$1,0),4))),"")</f>
        <v/>
      </c>
      <c r="Q7" s="3" t="str" cm="1">
        <f t="array" aca="1" ref="Q7" ca="1">IFERROR(IF($J7="","",INDIRECT("Profile"&amp;"!"&amp;ADDRESS(MATCH(Q$2,Profile!$C$1:$C$20,0),MATCH($I7,Profile!$1:$1,0),4))),"")</f>
        <v/>
      </c>
      <c r="R7" s="3" t="str" cm="1">
        <f t="array" aca="1" ref="R7" ca="1">IFERROR(IF($J7="","",INDIRECT("Profile"&amp;"!"&amp;ADDRESS(MATCH(R$2,Profile!$C$1:$C$20,0),MATCH($I7,Profile!$1:$1,0),4))),"")</f>
        <v/>
      </c>
      <c r="S7" s="3" t="str" cm="1">
        <f t="array" aca="1" ref="S7" ca="1">IFERROR(IF($J7="","",INDIRECT("Profile"&amp;"!"&amp;ADDRESS(MATCH(S$2,Profile!$C$1:$C$20,0),MATCH($I7,Profile!$1:$1,0),4))),"")</f>
        <v/>
      </c>
      <c r="T7" s="3" t="str" cm="1">
        <f t="array" aca="1" ref="T7" ca="1">IFERROR(IF($J7="","",INDIRECT("Profile"&amp;"!"&amp;ADDRESS(MATCH(T$2,Profile!$C$1:$C$20,0),MATCH($I7,Profile!$1:$1,0),4))),"")</f>
        <v/>
      </c>
      <c r="U7" s="38" t="str" cm="1">
        <f t="array" aca="1" ref="U7" ca="1">IFERROR(IF(INDIRECT("ID"&amp;"!"&amp;ADDRESS(MATCH($J7,ID!$B:$B,0),MATCH($U$1,ID!$1:$1,0),4))="","",INDIRECT("ID"&amp;"!"&amp;ADDRESS(MATCH($J7,ID!$B:$B,0),MATCH($U$1,ID!$1:$1,0),4))),"")</f>
        <v/>
      </c>
      <c r="X7" s="7">
        <v>-0.3</v>
      </c>
      <c r="Y7" s="7" t="str" cm="1">
        <f t="array" aca="1" ref="Y7" ca="1">IFERROR(IF(INDIRECT("Profile"&amp;"!"&amp;ADDRESS(MATCH($X$2,Profile!$D$1:$D$20,0)+ROW($X7)-ROW($X$2),MATCH(Y$1,Profile!$2:$2,0),4))="","",INDIRECT("Profile"&amp;"!"&amp;ADDRESS(MATCH($X$2,Profile!$D$1:$D$20,0)+ROW($X7)-ROW($X$2),MATCH(Y$1,Profile!$2:$2,0),4))),"")</f>
        <v/>
      </c>
      <c r="Z7" s="2" t="str" cm="1">
        <f t="array" aca="1" ref="Z7" ca="1">IFERROR(IF(INDIRECT("Profile"&amp;"!"&amp;ADDRESS(MATCH($X$2,Profile!$D$1:$D$20,0)+ROW($X7)-ROW($X$2),MATCH(Z$1,Profile!$2:$2,0),4))="","",INDIRECT("Profile"&amp;"!"&amp;ADDRESS(MATCH($X$2,Profile!$D$1:$D$20,0)+ROW($X7)-ROW($X$2),MATCH(Z$1,Profile!$2:$2,0),4))),"")</f>
        <v/>
      </c>
      <c r="AA7" s="2" t="str" cm="1">
        <f t="array" aca="1" ref="AA7" ca="1">IFERROR(IF(INDIRECT("Profile"&amp;"!"&amp;ADDRESS(MATCH($X$2,Profile!$D$1:$D$20,0)+ROW($X7)-ROW($X$2),MATCH(AA$1,Profile!$2:$2,0),4))="","",INDIRECT("Profile"&amp;"!"&amp;ADDRESS(MATCH($X$2,Profile!$D$1:$D$20,0)+ROW($X7)-ROW($X$2),MATCH(AA$1,Profile!$2:$2,0),4))),"")</f>
        <v/>
      </c>
      <c r="AB7" s="2" t="str" cm="1">
        <f t="array" aca="1" ref="AB7" ca="1">IFERROR(IF(INDIRECT("Profile"&amp;"!"&amp;ADDRESS(MATCH($X$2,Profile!$D$1:$D$20,0)+ROW($X7)-ROW($X$2),MATCH(AB$1,Profile!$2:$2,0),4))="","",INDIRECT("Profile"&amp;"!"&amp;ADDRESS(MATCH($X$2,Profile!$D$1:$D$20,0)+ROW($X7)-ROW($X$2),MATCH(AB$1,Profile!$2:$2,0),4))),"")</f>
        <v/>
      </c>
      <c r="AC7" s="2" t="str" cm="1">
        <f t="array" aca="1" ref="AC7" ca="1">IFERROR(IF(INDIRECT("Profile"&amp;"!"&amp;ADDRESS(MATCH($X$2,Profile!$D$1:$D$20,0)+ROW($X7)-ROW($X$2),MATCH(AC$1,Profile!$2:$2,0),4))="","",INDIRECT("Profile"&amp;"!"&amp;ADDRESS(MATCH($X$2,Profile!$D$1:$D$20,0)+ROW($X7)-ROW($X$2),MATCH(AC$1,Profile!$2:$2,0),4))),"")</f>
        <v/>
      </c>
      <c r="AD7" s="2" t="str" cm="1">
        <f t="array" aca="1" ref="AD7" ca="1">IFERROR(IF(INDIRECT("Profile"&amp;"!"&amp;ADDRESS(MATCH($X$2,Profile!$D$1:$D$20,0)+ROW($X7)-ROW($X$2),MATCH(AD$1,Profile!$2:$2,0),4))="","",INDIRECT("Profile"&amp;"!"&amp;ADDRESS(MATCH($X$2,Profile!$D$1:$D$20,0)+ROW($X7)-ROW($X$2),MATCH(AD$1,Profile!$2:$2,0),4))),"")</f>
        <v/>
      </c>
      <c r="AE7" s="2" t="str" cm="1">
        <f t="array" aca="1" ref="AE7" ca="1">IFERROR(IF(INDIRECT("Profile"&amp;"!"&amp;ADDRESS(MATCH($X$2,Profile!$D$1:$D$20,0)+ROW($X7)-ROW($X$2),MATCH(AE$1,Profile!$2:$2,0),4))="","",INDIRECT("Profile"&amp;"!"&amp;ADDRESS(MATCH($X$2,Profile!$D$1:$D$20,0)+ROW($X7)-ROW($X$2),MATCH(AE$1,Profile!$2:$2,0),4))),"")</f>
        <v/>
      </c>
      <c r="AF7" s="2" t="str" cm="1">
        <f t="array" aca="1" ref="AF7" ca="1">IFERROR(IF(INDIRECT("Profile"&amp;"!"&amp;ADDRESS(MATCH($X$2,Profile!$D$1:$D$20,0)+ROW($X7)-ROW($X$2),MATCH(AF$1,Profile!$2:$2,0),4))="","",INDIRECT("Profile"&amp;"!"&amp;ADDRESS(MATCH($X$2,Profile!$D$1:$D$20,0)+ROW($X7)-ROW($X$2),MATCH(AF$1,Profile!$2:$2,0),4))),"")</f>
        <v/>
      </c>
      <c r="AG7" s="2" t="str" cm="1">
        <f t="array" aca="1" ref="AG7" ca="1">IFERROR(IF(INDIRECT("Profile"&amp;"!"&amp;ADDRESS(MATCH($X$2,Profile!$D$1:$D$20,0)+ROW($X7)-ROW($X$2),MATCH(AG$1,Profile!$2:$2,0),4))="","",INDIRECT("Profile"&amp;"!"&amp;ADDRESS(MATCH($X$2,Profile!$D$1:$D$20,0)+ROW($X7)-ROW($X$2),MATCH(AG$1,Profile!$2:$2,0),4))),"")</f>
        <v/>
      </c>
      <c r="AH7" s="2" t="str" cm="1">
        <f t="array" aca="1" ref="AH7" ca="1">IFERROR(IF(INDIRECT("Profile"&amp;"!"&amp;ADDRESS(MATCH($X$2,Profile!$D$1:$D$20,0)+ROW($X7)-ROW($X$2),MATCH(AH$1,Profile!$2:$2,0),4))="","",INDIRECT("Profile"&amp;"!"&amp;ADDRESS(MATCH($X$2,Profile!$D$1:$D$20,0)+ROW($X7)-ROW($X$2),MATCH(AH$1,Profile!$2:$2,0),4))),"")</f>
        <v/>
      </c>
      <c r="AI7" s="2" t="str" cm="1">
        <f t="array" aca="1" ref="AI7" ca="1">IFERROR(IF(INDIRECT("Profile"&amp;"!"&amp;ADDRESS(MATCH($X$2,Profile!$D$1:$D$20,0)+ROW($X7)-ROW($X$2),MATCH(AI$1,Profile!$2:$2,0),4))="","",INDIRECT("Profile"&amp;"!"&amp;ADDRESS(MATCH($X$2,Profile!$D$1:$D$20,0)+ROW($X7)-ROW($X$2),MATCH(AI$1,Profile!$2:$2,0),4))),"")</f>
        <v/>
      </c>
      <c r="AJ7" s="2" t="str" cm="1">
        <f t="array" aca="1" ref="AJ7" ca="1">IFERROR(IF(INDIRECT("Profile"&amp;"!"&amp;ADDRESS(MATCH($X$2,Profile!$D$1:$D$20,0)+ROW($X7)-ROW($X$2),MATCH(AJ$1,Profile!$2:$2,0),4))="","",INDIRECT("Profile"&amp;"!"&amp;ADDRESS(MATCH($X$2,Profile!$D$1:$D$20,0)+ROW($X7)-ROW($X$2),MATCH(AJ$1,Profile!$2:$2,0),4))),"")</f>
        <v/>
      </c>
      <c r="AK7" s="2" t="str" cm="1">
        <f t="array" aca="1" ref="AK7" ca="1">IFERROR(IF(INDIRECT("Profile"&amp;"!"&amp;ADDRESS(MATCH($X$2,Profile!$D$1:$D$20,0)+ROW($X7)-ROW($X$2),MATCH(AK$1,Profile!$2:$2,0),4))="","",INDIRECT("Profile"&amp;"!"&amp;ADDRESS(MATCH($X$2,Profile!$D$1:$D$20,0)+ROW($X7)-ROW($X$2),MATCH(AK$1,Profile!$2:$2,0),4))),"")</f>
        <v/>
      </c>
      <c r="AL7" s="2" t="str" cm="1">
        <f t="array" aca="1" ref="AL7" ca="1">IFERROR(IF(INDIRECT("Profile"&amp;"!"&amp;ADDRESS(MATCH($X$2,Profile!$D$1:$D$20,0)+ROW($X7)-ROW($X$2),MATCH(AL$1,Profile!$2:$2,0),4))="","",INDIRECT("Profile"&amp;"!"&amp;ADDRESS(MATCH($X$2,Profile!$D$1:$D$20,0)+ROW($X7)-ROW($X$2),MATCH(AL$1,Profile!$2:$2,0),4))),"")</f>
        <v/>
      </c>
      <c r="AM7" s="2" t="str" cm="1">
        <f t="array" aca="1" ref="AM7" ca="1">IFERROR(IF(INDIRECT("Profile"&amp;"!"&amp;ADDRESS(MATCH($X$2,Profile!$D$1:$D$20,0)+ROW($X7)-ROW($X$2),MATCH(AM$1,Profile!$2:$2,0),4))="","",INDIRECT("Profile"&amp;"!"&amp;ADDRESS(MATCH($X$2,Profile!$D$1:$D$20,0)+ROW($X7)-ROW($X$2),MATCH(AM$1,Profile!$2:$2,0),4))),"")</f>
        <v/>
      </c>
      <c r="AN7" s="2" t="str" cm="1">
        <f t="array" aca="1" ref="AN7" ca="1">IFERROR(IF(INDIRECT("Profile"&amp;"!"&amp;ADDRESS(MATCH($X$2,Profile!$D$1:$D$20,0)+ROW($X7)-ROW($X$2),MATCH(AN$1,Profile!$2:$2,0),4))="","",INDIRECT("Profile"&amp;"!"&amp;ADDRESS(MATCH($X$2,Profile!$D$1:$D$20,0)+ROW($X7)-ROW($X$2),MATCH(AN$1,Profile!$2:$2,0),4))),"")</f>
        <v/>
      </c>
    </row>
    <row r="8" spans="9:40" x14ac:dyDescent="0.25">
      <c r="I8" s="7">
        <v>5</v>
      </c>
      <c r="J8" s="7" t="str" cm="1">
        <f t="array" aca="1" ref="J8" ca="1">IFERROR(IF(INDIRECT("Profile"&amp;"!"&amp;ADDRESS(MATCH(J$1,Profile!$A$1:$A$20,0),MATCH($I8,Profile!$1:$1,0),4))="","",INDIRECT("Profile"&amp;"!"&amp;ADDRESS(MATCH(J$1,Profile!$A$1:$A$20,0),MATCH($I8,Profile!$1:$1,0),4))),"")</f>
        <v/>
      </c>
      <c r="K8" s="9" t="str" cm="1">
        <f t="array" aca="1" ref="K8" ca="1">IF($J8="","",IF(INDIRECT("Profile"&amp;"!"&amp;ADDRESS(MATCH(K$2,Profile!$C$1:$C$20,0),MATCH($I8,Profile!$1:$1,0),4))="","",INDIRECT("Profile"&amp;"!"&amp;ADDRESS(MATCH(K$2,Profile!$C$1:$C$20,0),MATCH($I8,Profile!$1:$1,0)))))</f>
        <v/>
      </c>
      <c r="L8" s="3" t="str" cm="1">
        <f t="array" aca="1" ref="L8" ca="1">IF($J8="","",IF(INDIRECT("Profile"&amp;"!"&amp;ADDRESS(MATCH(L$2,Profile!$C$1:$C$20,0),MATCH($I8,Profile!$1:$1,0),4))="","",INDIRECT("Profile"&amp;"!"&amp;ADDRESS(MATCH(L$2,Profile!$C$1:$C$20,0),MATCH($I8,Profile!$1:$1,0)))))</f>
        <v/>
      </c>
      <c r="M8" s="9" t="str" cm="1">
        <f t="array" aca="1" ref="M8" ca="1">IF($J8="","",IF(INDIRECT("Profile"&amp;"!"&amp;ADDRESS(MATCH(M$2,Profile!$C$1:$C$20,0),MATCH($I8,Profile!$1:$1,0),4))="","",INDIRECT("Profile"&amp;"!"&amp;ADDRESS(MATCH(M$2,Profile!$C$1:$C$20,0),MATCH($I8,Profile!$1:$1,0)))))</f>
        <v/>
      </c>
      <c r="N8" s="3" t="str" cm="1">
        <f t="array" aca="1" ref="N8" ca="1">IF($J8="","",IF(INDIRECT("Profile"&amp;"!"&amp;ADDRESS(MATCH(N$2,Profile!$C$1:$C$20,0),MATCH($I8,Profile!$1:$1,0),4))="","",INDIRECT("Profile"&amp;"!"&amp;ADDRESS(MATCH(N$2,Profile!$C$1:$C$20,0),MATCH($I8,Profile!$1:$1,0)))))</f>
        <v/>
      </c>
      <c r="O8" s="3" t="str" cm="1">
        <f t="array" aca="1" ref="O8" ca="1">IFERROR(IF($J8="","",INDIRECT("Profile"&amp;"!"&amp;ADDRESS(MATCH(O$2,Profile!$C$1:$C$20,0),MATCH($I8,Profile!$1:$1,0),4))),"")</f>
        <v/>
      </c>
      <c r="P8" s="9" t="str" cm="1">
        <f t="array" aca="1" ref="P8" ca="1">IFERROR(IF($J8="","",INDIRECT("Profile"&amp;"!"&amp;ADDRESS(MATCH(P$2,Profile!$C$1:$C$20,0),MATCH($I8,Profile!$1:$1,0),4))),"")</f>
        <v/>
      </c>
      <c r="Q8" s="3" t="str" cm="1">
        <f t="array" aca="1" ref="Q8" ca="1">IFERROR(IF($J8="","",INDIRECT("Profile"&amp;"!"&amp;ADDRESS(MATCH(Q$2,Profile!$C$1:$C$20,0),MATCH($I8,Profile!$1:$1,0),4))),"")</f>
        <v/>
      </c>
      <c r="R8" s="3" t="str" cm="1">
        <f t="array" aca="1" ref="R8" ca="1">IFERROR(IF($J8="","",INDIRECT("Profile"&amp;"!"&amp;ADDRESS(MATCH(R$2,Profile!$C$1:$C$20,0),MATCH($I8,Profile!$1:$1,0),4))),"")</f>
        <v/>
      </c>
      <c r="S8" s="3" t="str" cm="1">
        <f t="array" aca="1" ref="S8" ca="1">IFERROR(IF($J8="","",INDIRECT("Profile"&amp;"!"&amp;ADDRESS(MATCH(S$2,Profile!$C$1:$C$20,0),MATCH($I8,Profile!$1:$1,0),4))),"")</f>
        <v/>
      </c>
      <c r="T8" s="3" t="str" cm="1">
        <f t="array" aca="1" ref="T8" ca="1">IFERROR(IF($J8="","",INDIRECT("Profile"&amp;"!"&amp;ADDRESS(MATCH(T$2,Profile!$C$1:$C$20,0),MATCH($I8,Profile!$1:$1,0),4))),"")</f>
        <v/>
      </c>
      <c r="U8" s="38" t="str" cm="1">
        <f t="array" aca="1" ref="U8" ca="1">IFERROR(IF(INDIRECT("ID"&amp;"!"&amp;ADDRESS(MATCH($J8,ID!$B:$B,0),MATCH($U$1,ID!$1:$1,0),4))="","",INDIRECT("ID"&amp;"!"&amp;ADDRESS(MATCH($J8,ID!$B:$B,0),MATCH($U$1,ID!$1:$1,0),4))),"")</f>
        <v/>
      </c>
      <c r="X8" s="7">
        <v>-0.4</v>
      </c>
      <c r="Y8" s="7" t="str" cm="1">
        <f t="array" aca="1" ref="Y8" ca="1">IFERROR(IF(INDIRECT("Profile"&amp;"!"&amp;ADDRESS(MATCH($X$2,Profile!$D$1:$D$20,0)+ROW($X8)-ROW($X$2),MATCH(Y$1,Profile!$2:$2,0),4))="","",INDIRECT("Profile"&amp;"!"&amp;ADDRESS(MATCH($X$2,Profile!$D$1:$D$20,0)+ROW($X8)-ROW($X$2),MATCH(Y$1,Profile!$2:$2,0),4))),"")</f>
        <v/>
      </c>
      <c r="Z8" s="2" t="str" cm="1">
        <f t="array" aca="1" ref="Z8" ca="1">IFERROR(IF(INDIRECT("Profile"&amp;"!"&amp;ADDRESS(MATCH($X$2,Profile!$D$1:$D$20,0)+ROW($X8)-ROW($X$2),MATCH(Z$1,Profile!$2:$2,0),4))="","",INDIRECT("Profile"&amp;"!"&amp;ADDRESS(MATCH($X$2,Profile!$D$1:$D$20,0)+ROW($X8)-ROW($X$2),MATCH(Z$1,Profile!$2:$2,0),4))),"")</f>
        <v/>
      </c>
      <c r="AA8" s="2" t="str" cm="1">
        <f t="array" aca="1" ref="AA8" ca="1">IFERROR(IF(INDIRECT("Profile"&amp;"!"&amp;ADDRESS(MATCH($X$2,Profile!$D$1:$D$20,0)+ROW($X8)-ROW($X$2),MATCH(AA$1,Profile!$2:$2,0),4))="","",INDIRECT("Profile"&amp;"!"&amp;ADDRESS(MATCH($X$2,Profile!$D$1:$D$20,0)+ROW($X8)-ROW($X$2),MATCH(AA$1,Profile!$2:$2,0),4))),"")</f>
        <v/>
      </c>
      <c r="AB8" s="2" t="str" cm="1">
        <f t="array" aca="1" ref="AB8" ca="1">IFERROR(IF(INDIRECT("Profile"&amp;"!"&amp;ADDRESS(MATCH($X$2,Profile!$D$1:$D$20,0)+ROW($X8)-ROW($X$2),MATCH(AB$1,Profile!$2:$2,0),4))="","",INDIRECT("Profile"&amp;"!"&amp;ADDRESS(MATCH($X$2,Profile!$D$1:$D$20,0)+ROW($X8)-ROW($X$2),MATCH(AB$1,Profile!$2:$2,0),4))),"")</f>
        <v/>
      </c>
      <c r="AC8" s="2" t="str" cm="1">
        <f t="array" aca="1" ref="AC8" ca="1">IFERROR(IF(INDIRECT("Profile"&amp;"!"&amp;ADDRESS(MATCH($X$2,Profile!$D$1:$D$20,0)+ROW($X8)-ROW($X$2),MATCH(AC$1,Profile!$2:$2,0),4))="","",INDIRECT("Profile"&amp;"!"&amp;ADDRESS(MATCH($X$2,Profile!$D$1:$D$20,0)+ROW($X8)-ROW($X$2),MATCH(AC$1,Profile!$2:$2,0),4))),"")</f>
        <v/>
      </c>
      <c r="AD8" s="2" t="str" cm="1">
        <f t="array" aca="1" ref="AD8" ca="1">IFERROR(IF(INDIRECT("Profile"&amp;"!"&amp;ADDRESS(MATCH($X$2,Profile!$D$1:$D$20,0)+ROW($X8)-ROW($X$2),MATCH(AD$1,Profile!$2:$2,0),4))="","",INDIRECT("Profile"&amp;"!"&amp;ADDRESS(MATCH($X$2,Profile!$D$1:$D$20,0)+ROW($X8)-ROW($X$2),MATCH(AD$1,Profile!$2:$2,0),4))),"")</f>
        <v/>
      </c>
      <c r="AE8" s="2" t="str" cm="1">
        <f t="array" aca="1" ref="AE8" ca="1">IFERROR(IF(INDIRECT("Profile"&amp;"!"&amp;ADDRESS(MATCH($X$2,Profile!$D$1:$D$20,0)+ROW($X8)-ROW($X$2),MATCH(AE$1,Profile!$2:$2,0),4))="","",INDIRECT("Profile"&amp;"!"&amp;ADDRESS(MATCH($X$2,Profile!$D$1:$D$20,0)+ROW($X8)-ROW($X$2),MATCH(AE$1,Profile!$2:$2,0),4))),"")</f>
        <v/>
      </c>
      <c r="AF8" s="2" t="str" cm="1">
        <f t="array" aca="1" ref="AF8" ca="1">IFERROR(IF(INDIRECT("Profile"&amp;"!"&amp;ADDRESS(MATCH($X$2,Profile!$D$1:$D$20,0)+ROW($X8)-ROW($X$2),MATCH(AF$1,Profile!$2:$2,0),4))="","",INDIRECT("Profile"&amp;"!"&amp;ADDRESS(MATCH($X$2,Profile!$D$1:$D$20,0)+ROW($X8)-ROW($X$2),MATCH(AF$1,Profile!$2:$2,0),4))),"")</f>
        <v/>
      </c>
      <c r="AG8" s="2" t="str" cm="1">
        <f t="array" aca="1" ref="AG8" ca="1">IFERROR(IF(INDIRECT("Profile"&amp;"!"&amp;ADDRESS(MATCH($X$2,Profile!$D$1:$D$20,0)+ROW($X8)-ROW($X$2),MATCH(AG$1,Profile!$2:$2,0),4))="","",INDIRECT("Profile"&amp;"!"&amp;ADDRESS(MATCH($X$2,Profile!$D$1:$D$20,0)+ROW($X8)-ROW($X$2),MATCH(AG$1,Profile!$2:$2,0),4))),"")</f>
        <v/>
      </c>
      <c r="AH8" s="2" t="str" cm="1">
        <f t="array" aca="1" ref="AH8" ca="1">IFERROR(IF(INDIRECT("Profile"&amp;"!"&amp;ADDRESS(MATCH($X$2,Profile!$D$1:$D$20,0)+ROW($X8)-ROW($X$2),MATCH(AH$1,Profile!$2:$2,0),4))="","",INDIRECT("Profile"&amp;"!"&amp;ADDRESS(MATCH($X$2,Profile!$D$1:$D$20,0)+ROW($X8)-ROW($X$2),MATCH(AH$1,Profile!$2:$2,0),4))),"")</f>
        <v/>
      </c>
      <c r="AI8" s="2" t="str" cm="1">
        <f t="array" aca="1" ref="AI8" ca="1">IFERROR(IF(INDIRECT("Profile"&amp;"!"&amp;ADDRESS(MATCH($X$2,Profile!$D$1:$D$20,0)+ROW($X8)-ROW($X$2),MATCH(AI$1,Profile!$2:$2,0),4))="","",INDIRECT("Profile"&amp;"!"&amp;ADDRESS(MATCH($X$2,Profile!$D$1:$D$20,0)+ROW($X8)-ROW($X$2),MATCH(AI$1,Profile!$2:$2,0),4))),"")</f>
        <v/>
      </c>
      <c r="AJ8" s="2" t="str" cm="1">
        <f t="array" aca="1" ref="AJ8" ca="1">IFERROR(IF(INDIRECT("Profile"&amp;"!"&amp;ADDRESS(MATCH($X$2,Profile!$D$1:$D$20,0)+ROW($X8)-ROW($X$2),MATCH(AJ$1,Profile!$2:$2,0),4))="","",INDIRECT("Profile"&amp;"!"&amp;ADDRESS(MATCH($X$2,Profile!$D$1:$D$20,0)+ROW($X8)-ROW($X$2),MATCH(AJ$1,Profile!$2:$2,0),4))),"")</f>
        <v/>
      </c>
      <c r="AK8" s="2" t="str" cm="1">
        <f t="array" aca="1" ref="AK8" ca="1">IFERROR(IF(INDIRECT("Profile"&amp;"!"&amp;ADDRESS(MATCH($X$2,Profile!$D$1:$D$20,0)+ROW($X8)-ROW($X$2),MATCH(AK$1,Profile!$2:$2,0),4))="","",INDIRECT("Profile"&amp;"!"&amp;ADDRESS(MATCH($X$2,Profile!$D$1:$D$20,0)+ROW($X8)-ROW($X$2),MATCH(AK$1,Profile!$2:$2,0),4))),"")</f>
        <v/>
      </c>
      <c r="AL8" s="2" t="str" cm="1">
        <f t="array" aca="1" ref="AL8" ca="1">IFERROR(IF(INDIRECT("Profile"&amp;"!"&amp;ADDRESS(MATCH($X$2,Profile!$D$1:$D$20,0)+ROW($X8)-ROW($X$2),MATCH(AL$1,Profile!$2:$2,0),4))="","",INDIRECT("Profile"&amp;"!"&amp;ADDRESS(MATCH($X$2,Profile!$D$1:$D$20,0)+ROW($X8)-ROW($X$2),MATCH(AL$1,Profile!$2:$2,0),4))),"")</f>
        <v/>
      </c>
      <c r="AM8" s="2" t="str" cm="1">
        <f t="array" aca="1" ref="AM8" ca="1">IFERROR(IF(INDIRECT("Profile"&amp;"!"&amp;ADDRESS(MATCH($X$2,Profile!$D$1:$D$20,0)+ROW($X8)-ROW($X$2),MATCH(AM$1,Profile!$2:$2,0),4))="","",INDIRECT("Profile"&amp;"!"&amp;ADDRESS(MATCH($X$2,Profile!$D$1:$D$20,0)+ROW($X8)-ROW($X$2),MATCH(AM$1,Profile!$2:$2,0),4))),"")</f>
        <v/>
      </c>
      <c r="AN8" s="2" t="str" cm="1">
        <f t="array" aca="1" ref="AN8" ca="1">IFERROR(IF(INDIRECT("Profile"&amp;"!"&amp;ADDRESS(MATCH($X$2,Profile!$D$1:$D$20,0)+ROW($X8)-ROW($X$2),MATCH(AN$1,Profile!$2:$2,0),4))="","",INDIRECT("Profile"&amp;"!"&amp;ADDRESS(MATCH($X$2,Profile!$D$1:$D$20,0)+ROW($X8)-ROW($X$2),MATCH(AN$1,Profile!$2:$2,0),4))),"")</f>
        <v/>
      </c>
    </row>
    <row r="9" spans="9:40" x14ac:dyDescent="0.25">
      <c r="I9" s="7">
        <v>6</v>
      </c>
      <c r="J9" s="7" t="str" cm="1">
        <f t="array" aca="1" ref="J9" ca="1">IFERROR(IF(INDIRECT("Profile"&amp;"!"&amp;ADDRESS(MATCH(J$1,Profile!$A$1:$A$20,0),MATCH($I9,Profile!$1:$1,0),4))="","",INDIRECT("Profile"&amp;"!"&amp;ADDRESS(MATCH(J$1,Profile!$A$1:$A$20,0),MATCH($I9,Profile!$1:$1,0),4))),"")</f>
        <v/>
      </c>
      <c r="K9" s="9" t="str" cm="1">
        <f t="array" aca="1" ref="K9" ca="1">IF($J9="","",IF(INDIRECT("Profile"&amp;"!"&amp;ADDRESS(MATCH(K$2,Profile!$C$1:$C$20,0),MATCH($I9,Profile!$1:$1,0),4))="","",INDIRECT("Profile"&amp;"!"&amp;ADDRESS(MATCH(K$2,Profile!$C$1:$C$20,0),MATCH($I9,Profile!$1:$1,0)))))</f>
        <v/>
      </c>
      <c r="L9" s="3" t="str" cm="1">
        <f t="array" aca="1" ref="L9" ca="1">IF($J9="","",IF(INDIRECT("Profile"&amp;"!"&amp;ADDRESS(MATCH(L$2,Profile!$C$1:$C$20,0),MATCH($I9,Profile!$1:$1,0),4))="","",INDIRECT("Profile"&amp;"!"&amp;ADDRESS(MATCH(L$2,Profile!$C$1:$C$20,0),MATCH($I9,Profile!$1:$1,0)))))</f>
        <v/>
      </c>
      <c r="M9" s="9" t="str" cm="1">
        <f t="array" aca="1" ref="M9" ca="1">IF($J9="","",IF(INDIRECT("Profile"&amp;"!"&amp;ADDRESS(MATCH(M$2,Profile!$C$1:$C$20,0),MATCH($I9,Profile!$1:$1,0),4))="","",INDIRECT("Profile"&amp;"!"&amp;ADDRESS(MATCH(M$2,Profile!$C$1:$C$20,0),MATCH($I9,Profile!$1:$1,0)))))</f>
        <v/>
      </c>
      <c r="N9" s="3" t="str" cm="1">
        <f t="array" aca="1" ref="N9" ca="1">IF($J9="","",IF(INDIRECT("Profile"&amp;"!"&amp;ADDRESS(MATCH(N$2,Profile!$C$1:$C$20,0),MATCH($I9,Profile!$1:$1,0),4))="","",INDIRECT("Profile"&amp;"!"&amp;ADDRESS(MATCH(N$2,Profile!$C$1:$C$20,0),MATCH($I9,Profile!$1:$1,0)))))</f>
        <v/>
      </c>
      <c r="O9" s="3" t="str" cm="1">
        <f t="array" aca="1" ref="O9" ca="1">IFERROR(IF($J9="","",INDIRECT("Profile"&amp;"!"&amp;ADDRESS(MATCH(O$2,Profile!$C$1:$C$20,0),MATCH($I9,Profile!$1:$1,0),4))),"")</f>
        <v/>
      </c>
      <c r="P9" s="9" t="str" cm="1">
        <f t="array" aca="1" ref="P9" ca="1">IFERROR(IF($J9="","",INDIRECT("Profile"&amp;"!"&amp;ADDRESS(MATCH(P$2,Profile!$C$1:$C$20,0),MATCH($I9,Profile!$1:$1,0),4))),"")</f>
        <v/>
      </c>
      <c r="Q9" s="3" t="str" cm="1">
        <f t="array" aca="1" ref="Q9" ca="1">IFERROR(IF($J9="","",INDIRECT("Profile"&amp;"!"&amp;ADDRESS(MATCH(Q$2,Profile!$C$1:$C$20,0),MATCH($I9,Profile!$1:$1,0),4))),"")</f>
        <v/>
      </c>
      <c r="R9" s="3" t="str" cm="1">
        <f t="array" aca="1" ref="R9" ca="1">IFERROR(IF($J9="","",INDIRECT("Profile"&amp;"!"&amp;ADDRESS(MATCH(R$2,Profile!$C$1:$C$20,0),MATCH($I9,Profile!$1:$1,0),4))),"")</f>
        <v/>
      </c>
      <c r="S9" s="3" t="str" cm="1">
        <f t="array" aca="1" ref="S9" ca="1">IFERROR(IF($J9="","",INDIRECT("Profile"&amp;"!"&amp;ADDRESS(MATCH(S$2,Profile!$C$1:$C$20,0),MATCH($I9,Profile!$1:$1,0),4))),"")</f>
        <v/>
      </c>
      <c r="T9" s="3" t="str" cm="1">
        <f t="array" aca="1" ref="T9" ca="1">IFERROR(IF($J9="","",INDIRECT("Profile"&amp;"!"&amp;ADDRESS(MATCH(T$2,Profile!$C$1:$C$20,0),MATCH($I9,Profile!$1:$1,0),4))),"")</f>
        <v/>
      </c>
      <c r="U9" s="38" t="str" cm="1">
        <f t="array" aca="1" ref="U9" ca="1">IFERROR(IF(INDIRECT("ID"&amp;"!"&amp;ADDRESS(MATCH($J9,ID!$B:$B,0),MATCH($U$1,ID!$1:$1,0),4))="","",INDIRECT("ID"&amp;"!"&amp;ADDRESS(MATCH($J9,ID!$B:$B,0),MATCH($U$1,ID!$1:$1,0),4))),"")</f>
        <v/>
      </c>
      <c r="X9" s="7">
        <v>-0.5</v>
      </c>
      <c r="Y9" s="7" t="str" cm="1">
        <f t="array" aca="1" ref="Y9" ca="1">IFERROR(IF(INDIRECT("Profile"&amp;"!"&amp;ADDRESS(MATCH($X$2,Profile!$D$1:$D$20,0)+ROW($X9)-ROW($X$2),MATCH(Y$1,Profile!$2:$2,0),4))="","",INDIRECT("Profile"&amp;"!"&amp;ADDRESS(MATCH($X$2,Profile!$D$1:$D$20,0)+ROW($X9)-ROW($X$2),MATCH(Y$1,Profile!$2:$2,0),4))),"")</f>
        <v/>
      </c>
      <c r="Z9" s="2" t="str" cm="1">
        <f t="array" aca="1" ref="Z9" ca="1">IFERROR(IF(INDIRECT("Profile"&amp;"!"&amp;ADDRESS(MATCH($X$2,Profile!$D$1:$D$20,0)+ROW($X9)-ROW($X$2),MATCH(Z$1,Profile!$2:$2,0),4))="","",INDIRECT("Profile"&amp;"!"&amp;ADDRESS(MATCH($X$2,Profile!$D$1:$D$20,0)+ROW($X9)-ROW($X$2),MATCH(Z$1,Profile!$2:$2,0),4))),"")</f>
        <v/>
      </c>
      <c r="AA9" s="2" t="str" cm="1">
        <f t="array" aca="1" ref="AA9" ca="1">IFERROR(IF(INDIRECT("Profile"&amp;"!"&amp;ADDRESS(MATCH($X$2,Profile!$D$1:$D$20,0)+ROW($X9)-ROW($X$2),MATCH(AA$1,Profile!$2:$2,0),4))="","",INDIRECT("Profile"&amp;"!"&amp;ADDRESS(MATCH($X$2,Profile!$D$1:$D$20,0)+ROW($X9)-ROW($X$2),MATCH(AA$1,Profile!$2:$2,0),4))),"")</f>
        <v/>
      </c>
      <c r="AB9" s="2" t="str" cm="1">
        <f t="array" aca="1" ref="AB9" ca="1">IFERROR(IF(INDIRECT("Profile"&amp;"!"&amp;ADDRESS(MATCH($X$2,Profile!$D$1:$D$20,0)+ROW($X9)-ROW($X$2),MATCH(AB$1,Profile!$2:$2,0),4))="","",INDIRECT("Profile"&amp;"!"&amp;ADDRESS(MATCH($X$2,Profile!$D$1:$D$20,0)+ROW($X9)-ROW($X$2),MATCH(AB$1,Profile!$2:$2,0),4))),"")</f>
        <v/>
      </c>
      <c r="AC9" s="2" t="str" cm="1">
        <f t="array" aca="1" ref="AC9" ca="1">IFERROR(IF(INDIRECT("Profile"&amp;"!"&amp;ADDRESS(MATCH($X$2,Profile!$D$1:$D$20,0)+ROW($X9)-ROW($X$2),MATCH(AC$1,Profile!$2:$2,0),4))="","",INDIRECT("Profile"&amp;"!"&amp;ADDRESS(MATCH($X$2,Profile!$D$1:$D$20,0)+ROW($X9)-ROW($X$2),MATCH(AC$1,Profile!$2:$2,0),4))),"")</f>
        <v/>
      </c>
      <c r="AD9" s="2" t="str" cm="1">
        <f t="array" aca="1" ref="AD9" ca="1">IFERROR(IF(INDIRECT("Profile"&amp;"!"&amp;ADDRESS(MATCH($X$2,Profile!$D$1:$D$20,0)+ROW($X9)-ROW($X$2),MATCH(AD$1,Profile!$2:$2,0),4))="","",INDIRECT("Profile"&amp;"!"&amp;ADDRESS(MATCH($X$2,Profile!$D$1:$D$20,0)+ROW($X9)-ROW($X$2),MATCH(AD$1,Profile!$2:$2,0),4))),"")</f>
        <v/>
      </c>
      <c r="AE9" s="2" t="str" cm="1">
        <f t="array" aca="1" ref="AE9" ca="1">IFERROR(IF(INDIRECT("Profile"&amp;"!"&amp;ADDRESS(MATCH($X$2,Profile!$D$1:$D$20,0)+ROW($X9)-ROW($X$2),MATCH(AE$1,Profile!$2:$2,0),4))="","",INDIRECT("Profile"&amp;"!"&amp;ADDRESS(MATCH($X$2,Profile!$D$1:$D$20,0)+ROW($X9)-ROW($X$2),MATCH(AE$1,Profile!$2:$2,0),4))),"")</f>
        <v/>
      </c>
      <c r="AF9" s="2" t="str" cm="1">
        <f t="array" aca="1" ref="AF9" ca="1">IFERROR(IF(INDIRECT("Profile"&amp;"!"&amp;ADDRESS(MATCH($X$2,Profile!$D$1:$D$20,0)+ROW($X9)-ROW($X$2),MATCH(AF$1,Profile!$2:$2,0),4))="","",INDIRECT("Profile"&amp;"!"&amp;ADDRESS(MATCH($X$2,Profile!$D$1:$D$20,0)+ROW($X9)-ROW($X$2),MATCH(AF$1,Profile!$2:$2,0),4))),"")</f>
        <v/>
      </c>
      <c r="AG9" s="2" t="str" cm="1">
        <f t="array" aca="1" ref="AG9" ca="1">IFERROR(IF(INDIRECT("Profile"&amp;"!"&amp;ADDRESS(MATCH($X$2,Profile!$D$1:$D$20,0)+ROW($X9)-ROW($X$2),MATCH(AG$1,Profile!$2:$2,0),4))="","",INDIRECT("Profile"&amp;"!"&amp;ADDRESS(MATCH($X$2,Profile!$D$1:$D$20,0)+ROW($X9)-ROW($X$2),MATCH(AG$1,Profile!$2:$2,0),4))),"")</f>
        <v/>
      </c>
      <c r="AH9" s="2" t="str" cm="1">
        <f t="array" aca="1" ref="AH9" ca="1">IFERROR(IF(INDIRECT("Profile"&amp;"!"&amp;ADDRESS(MATCH($X$2,Profile!$D$1:$D$20,0)+ROW($X9)-ROW($X$2),MATCH(AH$1,Profile!$2:$2,0),4))="","",INDIRECT("Profile"&amp;"!"&amp;ADDRESS(MATCH($X$2,Profile!$D$1:$D$20,0)+ROW($X9)-ROW($X$2),MATCH(AH$1,Profile!$2:$2,0),4))),"")</f>
        <v/>
      </c>
      <c r="AI9" s="2" t="str" cm="1">
        <f t="array" aca="1" ref="AI9" ca="1">IFERROR(IF(INDIRECT("Profile"&amp;"!"&amp;ADDRESS(MATCH($X$2,Profile!$D$1:$D$20,0)+ROW($X9)-ROW($X$2),MATCH(AI$1,Profile!$2:$2,0),4))="","",INDIRECT("Profile"&amp;"!"&amp;ADDRESS(MATCH($X$2,Profile!$D$1:$D$20,0)+ROW($X9)-ROW($X$2),MATCH(AI$1,Profile!$2:$2,0),4))),"")</f>
        <v/>
      </c>
      <c r="AJ9" s="2" t="str" cm="1">
        <f t="array" aca="1" ref="AJ9" ca="1">IFERROR(IF(INDIRECT("Profile"&amp;"!"&amp;ADDRESS(MATCH($X$2,Profile!$D$1:$D$20,0)+ROW($X9)-ROW($X$2),MATCH(AJ$1,Profile!$2:$2,0),4))="","",INDIRECT("Profile"&amp;"!"&amp;ADDRESS(MATCH($X$2,Profile!$D$1:$D$20,0)+ROW($X9)-ROW($X$2),MATCH(AJ$1,Profile!$2:$2,0),4))),"")</f>
        <v/>
      </c>
      <c r="AK9" s="2" t="str" cm="1">
        <f t="array" aca="1" ref="AK9" ca="1">IFERROR(IF(INDIRECT("Profile"&amp;"!"&amp;ADDRESS(MATCH($X$2,Profile!$D$1:$D$20,0)+ROW($X9)-ROW($X$2),MATCH(AK$1,Profile!$2:$2,0),4))="","",INDIRECT("Profile"&amp;"!"&amp;ADDRESS(MATCH($X$2,Profile!$D$1:$D$20,0)+ROW($X9)-ROW($X$2),MATCH(AK$1,Profile!$2:$2,0),4))),"")</f>
        <v/>
      </c>
      <c r="AL9" s="2" t="str" cm="1">
        <f t="array" aca="1" ref="AL9" ca="1">IFERROR(IF(INDIRECT("Profile"&amp;"!"&amp;ADDRESS(MATCH($X$2,Profile!$D$1:$D$20,0)+ROW($X9)-ROW($X$2),MATCH(AL$1,Profile!$2:$2,0),4))="","",INDIRECT("Profile"&amp;"!"&amp;ADDRESS(MATCH($X$2,Profile!$D$1:$D$20,0)+ROW($X9)-ROW($X$2),MATCH(AL$1,Profile!$2:$2,0),4))),"")</f>
        <v/>
      </c>
      <c r="AM9" s="2" t="str" cm="1">
        <f t="array" aca="1" ref="AM9" ca="1">IFERROR(IF(INDIRECT("Profile"&amp;"!"&amp;ADDRESS(MATCH($X$2,Profile!$D$1:$D$20,0)+ROW($X9)-ROW($X$2),MATCH(AM$1,Profile!$2:$2,0),4))="","",INDIRECT("Profile"&amp;"!"&amp;ADDRESS(MATCH($X$2,Profile!$D$1:$D$20,0)+ROW($X9)-ROW($X$2),MATCH(AM$1,Profile!$2:$2,0),4))),"")</f>
        <v/>
      </c>
      <c r="AN9" s="2" t="str" cm="1">
        <f t="array" aca="1" ref="AN9" ca="1">IFERROR(IF(INDIRECT("Profile"&amp;"!"&amp;ADDRESS(MATCH($X$2,Profile!$D$1:$D$20,0)+ROW($X9)-ROW($X$2),MATCH(AN$1,Profile!$2:$2,0),4))="","",INDIRECT("Profile"&amp;"!"&amp;ADDRESS(MATCH($X$2,Profile!$D$1:$D$20,0)+ROW($X9)-ROW($X$2),MATCH(AN$1,Profile!$2:$2,0),4))),"")</f>
        <v/>
      </c>
    </row>
    <row r="10" spans="9:40" x14ac:dyDescent="0.25">
      <c r="I10" s="7">
        <v>7</v>
      </c>
      <c r="J10" s="7" t="str" cm="1">
        <f t="array" aca="1" ref="J10" ca="1">IFERROR(IF(INDIRECT("Profile"&amp;"!"&amp;ADDRESS(MATCH(J$1,Profile!$A$1:$A$20,0),MATCH($I10,Profile!$1:$1,0),4))="","",INDIRECT("Profile"&amp;"!"&amp;ADDRESS(MATCH(J$1,Profile!$A$1:$A$20,0),MATCH($I10,Profile!$1:$1,0),4))),"")</f>
        <v/>
      </c>
      <c r="K10" s="9" t="str" cm="1">
        <f t="array" aca="1" ref="K10" ca="1">IF($J10="","",IF(INDIRECT("Profile"&amp;"!"&amp;ADDRESS(MATCH(K$2,Profile!$C$1:$C$20,0),MATCH($I10,Profile!$1:$1,0),4))="","",INDIRECT("Profile"&amp;"!"&amp;ADDRESS(MATCH(K$2,Profile!$C$1:$C$20,0),MATCH($I10,Profile!$1:$1,0)))))</f>
        <v/>
      </c>
      <c r="L10" s="3" t="str" cm="1">
        <f t="array" aca="1" ref="L10" ca="1">IF($J10="","",IF(INDIRECT("Profile"&amp;"!"&amp;ADDRESS(MATCH(L$2,Profile!$C$1:$C$20,0),MATCH($I10,Profile!$1:$1,0),4))="","",INDIRECT("Profile"&amp;"!"&amp;ADDRESS(MATCH(L$2,Profile!$C$1:$C$20,0),MATCH($I10,Profile!$1:$1,0)))))</f>
        <v/>
      </c>
      <c r="M10" s="9" t="str" cm="1">
        <f t="array" aca="1" ref="M10" ca="1">IF($J10="","",IF(INDIRECT("Profile"&amp;"!"&amp;ADDRESS(MATCH(M$2,Profile!$C$1:$C$20,0),MATCH($I10,Profile!$1:$1,0),4))="","",INDIRECT("Profile"&amp;"!"&amp;ADDRESS(MATCH(M$2,Profile!$C$1:$C$20,0),MATCH($I10,Profile!$1:$1,0)))))</f>
        <v/>
      </c>
      <c r="N10" s="3" t="str" cm="1">
        <f t="array" aca="1" ref="N10" ca="1">IF($J10="","",IF(INDIRECT("Profile"&amp;"!"&amp;ADDRESS(MATCH(N$2,Profile!$C$1:$C$20,0),MATCH($I10,Profile!$1:$1,0),4))="","",INDIRECT("Profile"&amp;"!"&amp;ADDRESS(MATCH(N$2,Profile!$C$1:$C$20,0),MATCH($I10,Profile!$1:$1,0)))))</f>
        <v/>
      </c>
      <c r="O10" s="3" t="str" cm="1">
        <f t="array" aca="1" ref="O10" ca="1">IFERROR(IF($J10="","",INDIRECT("Profile"&amp;"!"&amp;ADDRESS(MATCH(O$2,Profile!$C$1:$C$20,0),MATCH($I10,Profile!$1:$1,0),4))),"")</f>
        <v/>
      </c>
      <c r="P10" s="9" t="str" cm="1">
        <f t="array" aca="1" ref="P10" ca="1">IFERROR(IF($J10="","",INDIRECT("Profile"&amp;"!"&amp;ADDRESS(MATCH(P$2,Profile!$C$1:$C$20,0),MATCH($I10,Profile!$1:$1,0),4))),"")</f>
        <v/>
      </c>
      <c r="Q10" s="3" t="str" cm="1">
        <f t="array" aca="1" ref="Q10" ca="1">IFERROR(IF($J10="","",INDIRECT("Profile"&amp;"!"&amp;ADDRESS(MATCH(Q$2,Profile!$C$1:$C$20,0),MATCH($I10,Profile!$1:$1,0),4))),"")</f>
        <v/>
      </c>
      <c r="R10" s="3" t="str" cm="1">
        <f t="array" aca="1" ref="R10" ca="1">IFERROR(IF($J10="","",INDIRECT("Profile"&amp;"!"&amp;ADDRESS(MATCH(R$2,Profile!$C$1:$C$20,0),MATCH($I10,Profile!$1:$1,0),4))),"")</f>
        <v/>
      </c>
      <c r="S10" s="3" t="str" cm="1">
        <f t="array" aca="1" ref="S10" ca="1">IFERROR(IF($J10="","",INDIRECT("Profile"&amp;"!"&amp;ADDRESS(MATCH(S$2,Profile!$C$1:$C$20,0),MATCH($I10,Profile!$1:$1,0),4))),"")</f>
        <v/>
      </c>
      <c r="T10" s="3" t="str" cm="1">
        <f t="array" aca="1" ref="T10" ca="1">IFERROR(IF($J10="","",INDIRECT("Profile"&amp;"!"&amp;ADDRESS(MATCH(T$2,Profile!$C$1:$C$20,0),MATCH($I10,Profile!$1:$1,0),4))),"")</f>
        <v/>
      </c>
      <c r="U10" s="38" t="str" cm="1">
        <f t="array" aca="1" ref="U10" ca="1">IFERROR(IF(INDIRECT("ID"&amp;"!"&amp;ADDRESS(MATCH($J10,ID!$B:$B,0),MATCH($U$1,ID!$1:$1,0),4))="","",INDIRECT("ID"&amp;"!"&amp;ADDRESS(MATCH($J10,ID!$B:$B,0),MATCH($U$1,ID!$1:$1,0),4))),"")</f>
        <v/>
      </c>
      <c r="X10" s="7">
        <v>-0.6</v>
      </c>
      <c r="Y10" s="7" t="str" cm="1">
        <f t="array" aca="1" ref="Y10" ca="1">IFERROR(IF(INDIRECT("Profile"&amp;"!"&amp;ADDRESS(MATCH($X$2,Profile!$D$1:$D$20,0)+ROW($X10)-ROW($X$2),MATCH(Y$1,Profile!$2:$2,0),4))="","",INDIRECT("Profile"&amp;"!"&amp;ADDRESS(MATCH($X$2,Profile!$D$1:$D$20,0)+ROW($X10)-ROW($X$2),MATCH(Y$1,Profile!$2:$2,0),4))),"")</f>
        <v/>
      </c>
      <c r="Z10" s="2" t="str" cm="1">
        <f t="array" aca="1" ref="Z10" ca="1">IFERROR(IF(INDIRECT("Profile"&amp;"!"&amp;ADDRESS(MATCH($X$2,Profile!$D$1:$D$20,0)+ROW($X10)-ROW($X$2),MATCH(Z$1,Profile!$2:$2,0),4))="","",INDIRECT("Profile"&amp;"!"&amp;ADDRESS(MATCH($X$2,Profile!$D$1:$D$20,0)+ROW($X10)-ROW($X$2),MATCH(Z$1,Profile!$2:$2,0),4))),"")</f>
        <v/>
      </c>
      <c r="AA10" s="2" t="str" cm="1">
        <f t="array" aca="1" ref="AA10" ca="1">IFERROR(IF(INDIRECT("Profile"&amp;"!"&amp;ADDRESS(MATCH($X$2,Profile!$D$1:$D$20,0)+ROW($X10)-ROW($X$2),MATCH(AA$1,Profile!$2:$2,0),4))="","",INDIRECT("Profile"&amp;"!"&amp;ADDRESS(MATCH($X$2,Profile!$D$1:$D$20,0)+ROW($X10)-ROW($X$2),MATCH(AA$1,Profile!$2:$2,0),4))),"")</f>
        <v/>
      </c>
      <c r="AB10" s="2" t="str" cm="1">
        <f t="array" aca="1" ref="AB10" ca="1">IFERROR(IF(INDIRECT("Profile"&amp;"!"&amp;ADDRESS(MATCH($X$2,Profile!$D$1:$D$20,0)+ROW($X10)-ROW($X$2),MATCH(AB$1,Profile!$2:$2,0),4))="","",INDIRECT("Profile"&amp;"!"&amp;ADDRESS(MATCH($X$2,Profile!$D$1:$D$20,0)+ROW($X10)-ROW($X$2),MATCH(AB$1,Profile!$2:$2,0),4))),"")</f>
        <v/>
      </c>
      <c r="AC10" s="2" t="str" cm="1">
        <f t="array" aca="1" ref="AC10" ca="1">IFERROR(IF(INDIRECT("Profile"&amp;"!"&amp;ADDRESS(MATCH($X$2,Profile!$D$1:$D$20,0)+ROW($X10)-ROW($X$2),MATCH(AC$1,Profile!$2:$2,0),4))="","",INDIRECT("Profile"&amp;"!"&amp;ADDRESS(MATCH($X$2,Profile!$D$1:$D$20,0)+ROW($X10)-ROW($X$2),MATCH(AC$1,Profile!$2:$2,0),4))),"")</f>
        <v/>
      </c>
      <c r="AD10" s="2" t="str" cm="1">
        <f t="array" aca="1" ref="AD10" ca="1">IFERROR(IF(INDIRECT("Profile"&amp;"!"&amp;ADDRESS(MATCH($X$2,Profile!$D$1:$D$20,0)+ROW($X10)-ROW($X$2),MATCH(AD$1,Profile!$2:$2,0),4))="","",INDIRECT("Profile"&amp;"!"&amp;ADDRESS(MATCH($X$2,Profile!$D$1:$D$20,0)+ROW($X10)-ROW($X$2),MATCH(AD$1,Profile!$2:$2,0),4))),"")</f>
        <v/>
      </c>
      <c r="AE10" s="2" t="str" cm="1">
        <f t="array" aca="1" ref="AE10" ca="1">IFERROR(IF(INDIRECT("Profile"&amp;"!"&amp;ADDRESS(MATCH($X$2,Profile!$D$1:$D$20,0)+ROW($X10)-ROW($X$2),MATCH(AE$1,Profile!$2:$2,0),4))="","",INDIRECT("Profile"&amp;"!"&amp;ADDRESS(MATCH($X$2,Profile!$D$1:$D$20,0)+ROW($X10)-ROW($X$2),MATCH(AE$1,Profile!$2:$2,0),4))),"")</f>
        <v/>
      </c>
      <c r="AF10" s="2" t="str" cm="1">
        <f t="array" aca="1" ref="AF10" ca="1">IFERROR(IF(INDIRECT("Profile"&amp;"!"&amp;ADDRESS(MATCH($X$2,Profile!$D$1:$D$20,0)+ROW($X10)-ROW($X$2),MATCH(AF$1,Profile!$2:$2,0),4))="","",INDIRECT("Profile"&amp;"!"&amp;ADDRESS(MATCH($X$2,Profile!$D$1:$D$20,0)+ROW($X10)-ROW($X$2),MATCH(AF$1,Profile!$2:$2,0),4))),"")</f>
        <v/>
      </c>
      <c r="AG10" s="2" t="str" cm="1">
        <f t="array" aca="1" ref="AG10" ca="1">IFERROR(IF(INDIRECT("Profile"&amp;"!"&amp;ADDRESS(MATCH($X$2,Profile!$D$1:$D$20,0)+ROW($X10)-ROW($X$2),MATCH(AG$1,Profile!$2:$2,0),4))="","",INDIRECT("Profile"&amp;"!"&amp;ADDRESS(MATCH($X$2,Profile!$D$1:$D$20,0)+ROW($X10)-ROW($X$2),MATCH(AG$1,Profile!$2:$2,0),4))),"")</f>
        <v/>
      </c>
      <c r="AH10" s="2" t="str" cm="1">
        <f t="array" aca="1" ref="AH10" ca="1">IFERROR(IF(INDIRECT("Profile"&amp;"!"&amp;ADDRESS(MATCH($X$2,Profile!$D$1:$D$20,0)+ROW($X10)-ROW($X$2),MATCH(AH$1,Profile!$2:$2,0),4))="","",INDIRECT("Profile"&amp;"!"&amp;ADDRESS(MATCH($X$2,Profile!$D$1:$D$20,0)+ROW($X10)-ROW($X$2),MATCH(AH$1,Profile!$2:$2,0),4))),"")</f>
        <v/>
      </c>
      <c r="AI10" s="2" t="str" cm="1">
        <f t="array" aca="1" ref="AI10" ca="1">IFERROR(IF(INDIRECT("Profile"&amp;"!"&amp;ADDRESS(MATCH($X$2,Profile!$D$1:$D$20,0)+ROW($X10)-ROW($X$2),MATCH(AI$1,Profile!$2:$2,0),4))="","",INDIRECT("Profile"&amp;"!"&amp;ADDRESS(MATCH($X$2,Profile!$D$1:$D$20,0)+ROW($X10)-ROW($X$2),MATCH(AI$1,Profile!$2:$2,0),4))),"")</f>
        <v/>
      </c>
      <c r="AJ10" s="2" t="str" cm="1">
        <f t="array" aca="1" ref="AJ10" ca="1">IFERROR(IF(INDIRECT("Profile"&amp;"!"&amp;ADDRESS(MATCH($X$2,Profile!$D$1:$D$20,0)+ROW($X10)-ROW($X$2),MATCH(AJ$1,Profile!$2:$2,0),4))="","",INDIRECT("Profile"&amp;"!"&amp;ADDRESS(MATCH($X$2,Profile!$D$1:$D$20,0)+ROW($X10)-ROW($X$2),MATCH(AJ$1,Profile!$2:$2,0),4))),"")</f>
        <v/>
      </c>
      <c r="AK10" s="2" t="str" cm="1">
        <f t="array" aca="1" ref="AK10" ca="1">IFERROR(IF(INDIRECT("Profile"&amp;"!"&amp;ADDRESS(MATCH($X$2,Profile!$D$1:$D$20,0)+ROW($X10)-ROW($X$2),MATCH(AK$1,Profile!$2:$2,0),4))="","",INDIRECT("Profile"&amp;"!"&amp;ADDRESS(MATCH($X$2,Profile!$D$1:$D$20,0)+ROW($X10)-ROW($X$2),MATCH(AK$1,Profile!$2:$2,0),4))),"")</f>
        <v/>
      </c>
      <c r="AL10" s="2" t="str" cm="1">
        <f t="array" aca="1" ref="AL10" ca="1">IFERROR(IF(INDIRECT("Profile"&amp;"!"&amp;ADDRESS(MATCH($X$2,Profile!$D$1:$D$20,0)+ROW($X10)-ROW($X$2),MATCH(AL$1,Profile!$2:$2,0),4))="","",INDIRECT("Profile"&amp;"!"&amp;ADDRESS(MATCH($X$2,Profile!$D$1:$D$20,0)+ROW($X10)-ROW($X$2),MATCH(AL$1,Profile!$2:$2,0),4))),"")</f>
        <v/>
      </c>
      <c r="AM10" s="2" t="str" cm="1">
        <f t="array" aca="1" ref="AM10" ca="1">IFERROR(IF(INDIRECT("Profile"&amp;"!"&amp;ADDRESS(MATCH($X$2,Profile!$D$1:$D$20,0)+ROW($X10)-ROW($X$2),MATCH(AM$1,Profile!$2:$2,0),4))="","",INDIRECT("Profile"&amp;"!"&amp;ADDRESS(MATCH($X$2,Profile!$D$1:$D$20,0)+ROW($X10)-ROW($X$2),MATCH(AM$1,Profile!$2:$2,0),4))),"")</f>
        <v/>
      </c>
      <c r="AN10" s="2" t="str" cm="1">
        <f t="array" aca="1" ref="AN10" ca="1">IFERROR(IF(INDIRECT("Profile"&amp;"!"&amp;ADDRESS(MATCH($X$2,Profile!$D$1:$D$20,0)+ROW($X10)-ROW($X$2),MATCH(AN$1,Profile!$2:$2,0),4))="","",INDIRECT("Profile"&amp;"!"&amp;ADDRESS(MATCH($X$2,Profile!$D$1:$D$20,0)+ROW($X10)-ROW($X$2),MATCH(AN$1,Profile!$2:$2,0),4))),"")</f>
        <v/>
      </c>
    </row>
    <row r="11" spans="9:40" x14ac:dyDescent="0.25">
      <c r="I11" s="7">
        <v>8</v>
      </c>
      <c r="J11" s="7" t="str" cm="1">
        <f t="array" aca="1" ref="J11" ca="1">IFERROR(IF(INDIRECT("Profile"&amp;"!"&amp;ADDRESS(MATCH(J$1,Profile!$A$1:$A$20,0),MATCH($I11,Profile!$1:$1,0),4))="","",INDIRECT("Profile"&amp;"!"&amp;ADDRESS(MATCH(J$1,Profile!$A$1:$A$20,0),MATCH($I11,Profile!$1:$1,0),4))),"")</f>
        <v/>
      </c>
      <c r="K11" s="9" t="str" cm="1">
        <f t="array" aca="1" ref="K11" ca="1">IF($J11="","",IF(INDIRECT("Profile"&amp;"!"&amp;ADDRESS(MATCH(K$2,Profile!$C$1:$C$20,0),MATCH($I11,Profile!$1:$1,0),4))="","",INDIRECT("Profile"&amp;"!"&amp;ADDRESS(MATCH(K$2,Profile!$C$1:$C$20,0),MATCH($I11,Profile!$1:$1,0)))))</f>
        <v/>
      </c>
      <c r="L11" s="3" t="str" cm="1">
        <f t="array" aca="1" ref="L11" ca="1">IF($J11="","",IF(INDIRECT("Profile"&amp;"!"&amp;ADDRESS(MATCH(L$2,Profile!$C$1:$C$20,0),MATCH($I11,Profile!$1:$1,0),4))="","",INDIRECT("Profile"&amp;"!"&amp;ADDRESS(MATCH(L$2,Profile!$C$1:$C$20,0),MATCH($I11,Profile!$1:$1,0)))))</f>
        <v/>
      </c>
      <c r="M11" s="9" t="str" cm="1">
        <f t="array" aca="1" ref="M11" ca="1">IF($J11="","",IF(INDIRECT("Profile"&amp;"!"&amp;ADDRESS(MATCH(M$2,Profile!$C$1:$C$20,0),MATCH($I11,Profile!$1:$1,0),4))="","",INDIRECT("Profile"&amp;"!"&amp;ADDRESS(MATCH(M$2,Profile!$C$1:$C$20,0),MATCH($I11,Profile!$1:$1,0)))))</f>
        <v/>
      </c>
      <c r="N11" s="3" t="str" cm="1">
        <f t="array" aca="1" ref="N11" ca="1">IF($J11="","",IF(INDIRECT("Profile"&amp;"!"&amp;ADDRESS(MATCH(N$2,Profile!$C$1:$C$20,0),MATCH($I11,Profile!$1:$1,0),4))="","",INDIRECT("Profile"&amp;"!"&amp;ADDRESS(MATCH(N$2,Profile!$C$1:$C$20,0),MATCH($I11,Profile!$1:$1,0)))))</f>
        <v/>
      </c>
      <c r="O11" s="3" t="str" cm="1">
        <f t="array" aca="1" ref="O11" ca="1">IFERROR(IF($J11="","",INDIRECT("Profile"&amp;"!"&amp;ADDRESS(MATCH(O$2,Profile!$C$1:$C$20,0),MATCH($I11,Profile!$1:$1,0),4))),"")</f>
        <v/>
      </c>
      <c r="P11" s="9" t="str" cm="1">
        <f t="array" aca="1" ref="P11" ca="1">IFERROR(IF($J11="","",INDIRECT("Profile"&amp;"!"&amp;ADDRESS(MATCH(P$2,Profile!$C$1:$C$20,0),MATCH($I11,Profile!$1:$1,0),4))),"")</f>
        <v/>
      </c>
      <c r="Q11" s="3" t="str" cm="1">
        <f t="array" aca="1" ref="Q11" ca="1">IFERROR(IF($J11="","",INDIRECT("Profile"&amp;"!"&amp;ADDRESS(MATCH(Q$2,Profile!$C$1:$C$20,0),MATCH($I11,Profile!$1:$1,0),4))),"")</f>
        <v/>
      </c>
      <c r="R11" s="3" t="str" cm="1">
        <f t="array" aca="1" ref="R11" ca="1">IFERROR(IF($J11="","",INDIRECT("Profile"&amp;"!"&amp;ADDRESS(MATCH(R$2,Profile!$C$1:$C$20,0),MATCH($I11,Profile!$1:$1,0),4))),"")</f>
        <v/>
      </c>
      <c r="S11" s="3" t="str" cm="1">
        <f t="array" aca="1" ref="S11" ca="1">IFERROR(IF($J11="","",INDIRECT("Profile"&amp;"!"&amp;ADDRESS(MATCH(S$2,Profile!$C$1:$C$20,0),MATCH($I11,Profile!$1:$1,0),4))),"")</f>
        <v/>
      </c>
      <c r="T11" s="3" t="str" cm="1">
        <f t="array" aca="1" ref="T11" ca="1">IFERROR(IF($J11="","",INDIRECT("Profile"&amp;"!"&amp;ADDRESS(MATCH(T$2,Profile!$C$1:$C$20,0),MATCH($I11,Profile!$1:$1,0),4))),"")</f>
        <v/>
      </c>
      <c r="U11" s="38" t="str" cm="1">
        <f t="array" aca="1" ref="U11" ca="1">IFERROR(IF(INDIRECT("ID"&amp;"!"&amp;ADDRESS(MATCH($J11,ID!$B:$B,0),MATCH($U$1,ID!$1:$1,0),4))="","",INDIRECT("ID"&amp;"!"&amp;ADDRESS(MATCH($J11,ID!$B:$B,0),MATCH($U$1,ID!$1:$1,0),4))),"")</f>
        <v/>
      </c>
      <c r="X11" s="7">
        <v>-0.7</v>
      </c>
      <c r="Y11" s="7" t="str" cm="1">
        <f t="array" aca="1" ref="Y11" ca="1">IFERROR(IF(INDIRECT("Profile"&amp;"!"&amp;ADDRESS(MATCH($X$2,Profile!$D$1:$D$20,0)+ROW($X11)-ROW($X$2),MATCH(Y$1,Profile!$2:$2,0),4))="","",INDIRECT("Profile"&amp;"!"&amp;ADDRESS(MATCH($X$2,Profile!$D$1:$D$20,0)+ROW($X11)-ROW($X$2),MATCH(Y$1,Profile!$2:$2,0),4))),"")</f>
        <v/>
      </c>
      <c r="Z11" s="2" t="str" cm="1">
        <f t="array" aca="1" ref="Z11" ca="1">IFERROR(IF(INDIRECT("Profile"&amp;"!"&amp;ADDRESS(MATCH($X$2,Profile!$D$1:$D$20,0)+ROW($X11)-ROW($X$2),MATCH(Z$1,Profile!$2:$2,0),4))="","",INDIRECT("Profile"&amp;"!"&amp;ADDRESS(MATCH($X$2,Profile!$D$1:$D$20,0)+ROW($X11)-ROW($X$2),MATCH(Z$1,Profile!$2:$2,0),4))),"")</f>
        <v/>
      </c>
      <c r="AA11" s="2" t="str" cm="1">
        <f t="array" aca="1" ref="AA11" ca="1">IFERROR(IF(INDIRECT("Profile"&amp;"!"&amp;ADDRESS(MATCH($X$2,Profile!$D$1:$D$20,0)+ROW($X11)-ROW($X$2),MATCH(AA$1,Profile!$2:$2,0),4))="","",INDIRECT("Profile"&amp;"!"&amp;ADDRESS(MATCH($X$2,Profile!$D$1:$D$20,0)+ROW($X11)-ROW($X$2),MATCH(AA$1,Profile!$2:$2,0),4))),"")</f>
        <v/>
      </c>
      <c r="AB11" s="2" t="str" cm="1">
        <f t="array" aca="1" ref="AB11" ca="1">IFERROR(IF(INDIRECT("Profile"&amp;"!"&amp;ADDRESS(MATCH($X$2,Profile!$D$1:$D$20,0)+ROW($X11)-ROW($X$2),MATCH(AB$1,Profile!$2:$2,0),4))="","",INDIRECT("Profile"&amp;"!"&amp;ADDRESS(MATCH($X$2,Profile!$D$1:$D$20,0)+ROW($X11)-ROW($X$2),MATCH(AB$1,Profile!$2:$2,0),4))),"")</f>
        <v/>
      </c>
      <c r="AC11" s="2" t="str" cm="1">
        <f t="array" aca="1" ref="AC11" ca="1">IFERROR(IF(INDIRECT("Profile"&amp;"!"&amp;ADDRESS(MATCH($X$2,Profile!$D$1:$D$20,0)+ROW($X11)-ROW($X$2),MATCH(AC$1,Profile!$2:$2,0),4))="","",INDIRECT("Profile"&amp;"!"&amp;ADDRESS(MATCH($X$2,Profile!$D$1:$D$20,0)+ROW($X11)-ROW($X$2),MATCH(AC$1,Profile!$2:$2,0),4))),"")</f>
        <v/>
      </c>
      <c r="AD11" s="2" t="str" cm="1">
        <f t="array" aca="1" ref="AD11" ca="1">IFERROR(IF(INDIRECT("Profile"&amp;"!"&amp;ADDRESS(MATCH($X$2,Profile!$D$1:$D$20,0)+ROW($X11)-ROW($X$2),MATCH(AD$1,Profile!$2:$2,0),4))="","",INDIRECT("Profile"&amp;"!"&amp;ADDRESS(MATCH($X$2,Profile!$D$1:$D$20,0)+ROW($X11)-ROW($X$2),MATCH(AD$1,Profile!$2:$2,0),4))),"")</f>
        <v/>
      </c>
      <c r="AE11" s="2" t="str" cm="1">
        <f t="array" aca="1" ref="AE11" ca="1">IFERROR(IF(INDIRECT("Profile"&amp;"!"&amp;ADDRESS(MATCH($X$2,Profile!$D$1:$D$20,0)+ROW($X11)-ROW($X$2),MATCH(AE$1,Profile!$2:$2,0),4))="","",INDIRECT("Profile"&amp;"!"&amp;ADDRESS(MATCH($X$2,Profile!$D$1:$D$20,0)+ROW($X11)-ROW($X$2),MATCH(AE$1,Profile!$2:$2,0),4))),"")</f>
        <v/>
      </c>
      <c r="AF11" s="2" t="str" cm="1">
        <f t="array" aca="1" ref="AF11" ca="1">IFERROR(IF(INDIRECT("Profile"&amp;"!"&amp;ADDRESS(MATCH($X$2,Profile!$D$1:$D$20,0)+ROW($X11)-ROW($X$2),MATCH(AF$1,Profile!$2:$2,0),4))="","",INDIRECT("Profile"&amp;"!"&amp;ADDRESS(MATCH($X$2,Profile!$D$1:$D$20,0)+ROW($X11)-ROW($X$2),MATCH(AF$1,Profile!$2:$2,0),4))),"")</f>
        <v/>
      </c>
      <c r="AG11" s="2" t="str" cm="1">
        <f t="array" aca="1" ref="AG11" ca="1">IFERROR(IF(INDIRECT("Profile"&amp;"!"&amp;ADDRESS(MATCH($X$2,Profile!$D$1:$D$20,0)+ROW($X11)-ROW($X$2),MATCH(AG$1,Profile!$2:$2,0),4))="","",INDIRECT("Profile"&amp;"!"&amp;ADDRESS(MATCH($X$2,Profile!$D$1:$D$20,0)+ROW($X11)-ROW($X$2),MATCH(AG$1,Profile!$2:$2,0),4))),"")</f>
        <v/>
      </c>
      <c r="AH11" s="2" t="str" cm="1">
        <f t="array" aca="1" ref="AH11" ca="1">IFERROR(IF(INDIRECT("Profile"&amp;"!"&amp;ADDRESS(MATCH($X$2,Profile!$D$1:$D$20,0)+ROW($X11)-ROW($X$2),MATCH(AH$1,Profile!$2:$2,0),4))="","",INDIRECT("Profile"&amp;"!"&amp;ADDRESS(MATCH($X$2,Profile!$D$1:$D$20,0)+ROW($X11)-ROW($X$2),MATCH(AH$1,Profile!$2:$2,0),4))),"")</f>
        <v/>
      </c>
      <c r="AI11" s="2" t="str" cm="1">
        <f t="array" aca="1" ref="AI11" ca="1">IFERROR(IF(INDIRECT("Profile"&amp;"!"&amp;ADDRESS(MATCH($X$2,Profile!$D$1:$D$20,0)+ROW($X11)-ROW($X$2),MATCH(AI$1,Profile!$2:$2,0),4))="","",INDIRECT("Profile"&amp;"!"&amp;ADDRESS(MATCH($X$2,Profile!$D$1:$D$20,0)+ROW($X11)-ROW($X$2),MATCH(AI$1,Profile!$2:$2,0),4))),"")</f>
        <v/>
      </c>
      <c r="AJ11" s="2" t="str" cm="1">
        <f t="array" aca="1" ref="AJ11" ca="1">IFERROR(IF(INDIRECT("Profile"&amp;"!"&amp;ADDRESS(MATCH($X$2,Profile!$D$1:$D$20,0)+ROW($X11)-ROW($X$2),MATCH(AJ$1,Profile!$2:$2,0),4))="","",INDIRECT("Profile"&amp;"!"&amp;ADDRESS(MATCH($X$2,Profile!$D$1:$D$20,0)+ROW($X11)-ROW($X$2),MATCH(AJ$1,Profile!$2:$2,0),4))),"")</f>
        <v/>
      </c>
      <c r="AK11" s="2" t="str" cm="1">
        <f t="array" aca="1" ref="AK11" ca="1">IFERROR(IF(INDIRECT("Profile"&amp;"!"&amp;ADDRESS(MATCH($X$2,Profile!$D$1:$D$20,0)+ROW($X11)-ROW($X$2),MATCH(AK$1,Profile!$2:$2,0),4))="","",INDIRECT("Profile"&amp;"!"&amp;ADDRESS(MATCH($X$2,Profile!$D$1:$D$20,0)+ROW($X11)-ROW($X$2),MATCH(AK$1,Profile!$2:$2,0),4))),"")</f>
        <v/>
      </c>
      <c r="AL11" s="2" t="str" cm="1">
        <f t="array" aca="1" ref="AL11" ca="1">IFERROR(IF(INDIRECT("Profile"&amp;"!"&amp;ADDRESS(MATCH($X$2,Profile!$D$1:$D$20,0)+ROW($X11)-ROW($X$2),MATCH(AL$1,Profile!$2:$2,0),4))="","",INDIRECT("Profile"&amp;"!"&amp;ADDRESS(MATCH($X$2,Profile!$D$1:$D$20,0)+ROW($X11)-ROW($X$2),MATCH(AL$1,Profile!$2:$2,0),4))),"")</f>
        <v/>
      </c>
      <c r="AM11" s="2" t="str" cm="1">
        <f t="array" aca="1" ref="AM11" ca="1">IFERROR(IF(INDIRECT("Profile"&amp;"!"&amp;ADDRESS(MATCH($X$2,Profile!$D$1:$D$20,0)+ROW($X11)-ROW($X$2),MATCH(AM$1,Profile!$2:$2,0),4))="","",INDIRECT("Profile"&amp;"!"&amp;ADDRESS(MATCH($X$2,Profile!$D$1:$D$20,0)+ROW($X11)-ROW($X$2),MATCH(AM$1,Profile!$2:$2,0),4))),"")</f>
        <v/>
      </c>
      <c r="AN11" s="2" t="str" cm="1">
        <f t="array" aca="1" ref="AN11" ca="1">IFERROR(IF(INDIRECT("Profile"&amp;"!"&amp;ADDRESS(MATCH($X$2,Profile!$D$1:$D$20,0)+ROW($X11)-ROW($X$2),MATCH(AN$1,Profile!$2:$2,0),4))="","",INDIRECT("Profile"&amp;"!"&amp;ADDRESS(MATCH($X$2,Profile!$D$1:$D$20,0)+ROW($X11)-ROW($X$2),MATCH(AN$1,Profile!$2:$2,0),4))),"")</f>
        <v/>
      </c>
    </row>
    <row r="12" spans="9:40" x14ac:dyDescent="0.25">
      <c r="I12" s="7">
        <v>9</v>
      </c>
      <c r="J12" s="7" t="str" cm="1">
        <f t="array" aca="1" ref="J12" ca="1">IFERROR(IF(INDIRECT("Profile"&amp;"!"&amp;ADDRESS(MATCH(J$1,Profile!$A$1:$A$20,0),MATCH($I12,Profile!$1:$1,0),4))="","",INDIRECT("Profile"&amp;"!"&amp;ADDRESS(MATCH(J$1,Profile!$A$1:$A$20,0),MATCH($I12,Profile!$1:$1,0),4))),"")</f>
        <v/>
      </c>
      <c r="K12" s="9" t="str" cm="1">
        <f t="array" aca="1" ref="K12" ca="1">IF($J12="","",IF(INDIRECT("Profile"&amp;"!"&amp;ADDRESS(MATCH(K$2,Profile!$C$1:$C$20,0),MATCH($I12,Profile!$1:$1,0),4))="","",INDIRECT("Profile"&amp;"!"&amp;ADDRESS(MATCH(K$2,Profile!$C$1:$C$20,0),MATCH($I12,Profile!$1:$1,0)))))</f>
        <v/>
      </c>
      <c r="L12" s="3" t="str" cm="1">
        <f t="array" aca="1" ref="L12" ca="1">IF($J12="","",IF(INDIRECT("Profile"&amp;"!"&amp;ADDRESS(MATCH(L$2,Profile!$C$1:$C$20,0),MATCH($I12,Profile!$1:$1,0),4))="","",INDIRECT("Profile"&amp;"!"&amp;ADDRESS(MATCH(L$2,Profile!$C$1:$C$20,0),MATCH($I12,Profile!$1:$1,0)))))</f>
        <v/>
      </c>
      <c r="M12" s="9" t="str" cm="1">
        <f t="array" aca="1" ref="M12" ca="1">IF($J12="","",IF(INDIRECT("Profile"&amp;"!"&amp;ADDRESS(MATCH(M$2,Profile!$C$1:$C$20,0),MATCH($I12,Profile!$1:$1,0),4))="","",INDIRECT("Profile"&amp;"!"&amp;ADDRESS(MATCH(M$2,Profile!$C$1:$C$20,0),MATCH($I12,Profile!$1:$1,0)))))</f>
        <v/>
      </c>
      <c r="N12" s="3" t="str" cm="1">
        <f t="array" aca="1" ref="N12" ca="1">IF($J12="","",IF(INDIRECT("Profile"&amp;"!"&amp;ADDRESS(MATCH(N$2,Profile!$C$1:$C$20,0),MATCH($I12,Profile!$1:$1,0),4))="","",INDIRECT("Profile"&amp;"!"&amp;ADDRESS(MATCH(N$2,Profile!$C$1:$C$20,0),MATCH($I12,Profile!$1:$1,0)))))</f>
        <v/>
      </c>
      <c r="O12" s="3" t="str" cm="1">
        <f t="array" aca="1" ref="O12" ca="1">IFERROR(IF($J12="","",INDIRECT("Profile"&amp;"!"&amp;ADDRESS(MATCH(O$2,Profile!$C$1:$C$20,0),MATCH($I12,Profile!$1:$1,0),4))),"")</f>
        <v/>
      </c>
      <c r="P12" s="9" t="str" cm="1">
        <f t="array" aca="1" ref="P12" ca="1">IFERROR(IF($J12="","",INDIRECT("Profile"&amp;"!"&amp;ADDRESS(MATCH(P$2,Profile!$C$1:$C$20,0),MATCH($I12,Profile!$1:$1,0),4))),"")</f>
        <v/>
      </c>
      <c r="Q12" s="3" t="str" cm="1">
        <f t="array" aca="1" ref="Q12" ca="1">IFERROR(IF($J12="","",INDIRECT("Profile"&amp;"!"&amp;ADDRESS(MATCH(Q$2,Profile!$C$1:$C$20,0),MATCH($I12,Profile!$1:$1,0),4))),"")</f>
        <v/>
      </c>
      <c r="R12" s="3" t="str" cm="1">
        <f t="array" aca="1" ref="R12" ca="1">IFERROR(IF($J12="","",INDIRECT("Profile"&amp;"!"&amp;ADDRESS(MATCH(R$2,Profile!$C$1:$C$20,0),MATCH($I12,Profile!$1:$1,0),4))),"")</f>
        <v/>
      </c>
      <c r="S12" s="3" t="str" cm="1">
        <f t="array" aca="1" ref="S12" ca="1">IFERROR(IF($J12="","",INDIRECT("Profile"&amp;"!"&amp;ADDRESS(MATCH(S$2,Profile!$C$1:$C$20,0),MATCH($I12,Profile!$1:$1,0),4))),"")</f>
        <v/>
      </c>
      <c r="T12" s="3" t="str" cm="1">
        <f t="array" aca="1" ref="T12" ca="1">IFERROR(IF($J12="","",INDIRECT("Profile"&amp;"!"&amp;ADDRESS(MATCH(T$2,Profile!$C$1:$C$20,0),MATCH($I12,Profile!$1:$1,0),4))),"")</f>
        <v/>
      </c>
      <c r="U12" s="38" t="str" cm="1">
        <f t="array" aca="1" ref="U12" ca="1">IFERROR(IF(INDIRECT("ID"&amp;"!"&amp;ADDRESS(MATCH($J12,ID!$B:$B,0),MATCH($U$1,ID!$1:$1,0),4))="","",INDIRECT("ID"&amp;"!"&amp;ADDRESS(MATCH($J12,ID!$B:$B,0),MATCH($U$1,ID!$1:$1,0),4))),"")</f>
        <v/>
      </c>
      <c r="X12" s="7">
        <v>-0.8</v>
      </c>
      <c r="Y12" s="7" t="str" cm="1">
        <f t="array" aca="1" ref="Y12" ca="1">IFERROR(IF(INDIRECT("Profile"&amp;"!"&amp;ADDRESS(MATCH($X$2,Profile!$D$1:$D$20,0)+ROW($X12)-ROW($X$2),MATCH(Y$1,Profile!$2:$2,0),4))="","",INDIRECT("Profile"&amp;"!"&amp;ADDRESS(MATCH($X$2,Profile!$D$1:$D$20,0)+ROW($X12)-ROW($X$2),MATCH(Y$1,Profile!$2:$2,0),4))),"")</f>
        <v/>
      </c>
      <c r="Z12" s="2" t="str" cm="1">
        <f t="array" aca="1" ref="Z12" ca="1">IFERROR(IF(INDIRECT("Profile"&amp;"!"&amp;ADDRESS(MATCH($X$2,Profile!$D$1:$D$20,0)+ROW($X12)-ROW($X$2),MATCH(Z$1,Profile!$2:$2,0),4))="","",INDIRECT("Profile"&amp;"!"&amp;ADDRESS(MATCH($X$2,Profile!$D$1:$D$20,0)+ROW($X12)-ROW($X$2),MATCH(Z$1,Profile!$2:$2,0),4))),"")</f>
        <v/>
      </c>
      <c r="AA12" s="2" t="str" cm="1">
        <f t="array" aca="1" ref="AA12" ca="1">IFERROR(IF(INDIRECT("Profile"&amp;"!"&amp;ADDRESS(MATCH($X$2,Profile!$D$1:$D$20,0)+ROW($X12)-ROW($X$2),MATCH(AA$1,Profile!$2:$2,0),4))="","",INDIRECT("Profile"&amp;"!"&amp;ADDRESS(MATCH($X$2,Profile!$D$1:$D$20,0)+ROW($X12)-ROW($X$2),MATCH(AA$1,Profile!$2:$2,0),4))),"")</f>
        <v/>
      </c>
      <c r="AB12" s="2" t="str" cm="1">
        <f t="array" aca="1" ref="AB12" ca="1">IFERROR(IF(INDIRECT("Profile"&amp;"!"&amp;ADDRESS(MATCH($X$2,Profile!$D$1:$D$20,0)+ROW($X12)-ROW($X$2),MATCH(AB$1,Profile!$2:$2,0),4))="","",INDIRECT("Profile"&amp;"!"&amp;ADDRESS(MATCH($X$2,Profile!$D$1:$D$20,0)+ROW($X12)-ROW($X$2),MATCH(AB$1,Profile!$2:$2,0),4))),"")</f>
        <v/>
      </c>
      <c r="AC12" s="2" t="str" cm="1">
        <f t="array" aca="1" ref="AC12" ca="1">IFERROR(IF(INDIRECT("Profile"&amp;"!"&amp;ADDRESS(MATCH($X$2,Profile!$D$1:$D$20,0)+ROW($X12)-ROW($X$2),MATCH(AC$1,Profile!$2:$2,0),4))="","",INDIRECT("Profile"&amp;"!"&amp;ADDRESS(MATCH($X$2,Profile!$D$1:$D$20,0)+ROW($X12)-ROW($X$2),MATCH(AC$1,Profile!$2:$2,0),4))),"")</f>
        <v/>
      </c>
      <c r="AD12" s="2" t="str" cm="1">
        <f t="array" aca="1" ref="AD12" ca="1">IFERROR(IF(INDIRECT("Profile"&amp;"!"&amp;ADDRESS(MATCH($X$2,Profile!$D$1:$D$20,0)+ROW($X12)-ROW($X$2),MATCH(AD$1,Profile!$2:$2,0),4))="","",INDIRECT("Profile"&amp;"!"&amp;ADDRESS(MATCH($X$2,Profile!$D$1:$D$20,0)+ROW($X12)-ROW($X$2),MATCH(AD$1,Profile!$2:$2,0),4))),"")</f>
        <v/>
      </c>
      <c r="AE12" s="2" t="str" cm="1">
        <f t="array" aca="1" ref="AE12" ca="1">IFERROR(IF(INDIRECT("Profile"&amp;"!"&amp;ADDRESS(MATCH($X$2,Profile!$D$1:$D$20,0)+ROW($X12)-ROW($X$2),MATCH(AE$1,Profile!$2:$2,0),4))="","",INDIRECT("Profile"&amp;"!"&amp;ADDRESS(MATCH($X$2,Profile!$D$1:$D$20,0)+ROW($X12)-ROW($X$2),MATCH(AE$1,Profile!$2:$2,0),4))),"")</f>
        <v/>
      </c>
      <c r="AF12" s="2" t="str" cm="1">
        <f t="array" aca="1" ref="AF12" ca="1">IFERROR(IF(INDIRECT("Profile"&amp;"!"&amp;ADDRESS(MATCH($X$2,Profile!$D$1:$D$20,0)+ROW($X12)-ROW($X$2),MATCH(AF$1,Profile!$2:$2,0),4))="","",INDIRECT("Profile"&amp;"!"&amp;ADDRESS(MATCH($X$2,Profile!$D$1:$D$20,0)+ROW($X12)-ROW($X$2),MATCH(AF$1,Profile!$2:$2,0),4))),"")</f>
        <v/>
      </c>
      <c r="AG12" s="2" t="str" cm="1">
        <f t="array" aca="1" ref="AG12" ca="1">IFERROR(IF(INDIRECT("Profile"&amp;"!"&amp;ADDRESS(MATCH($X$2,Profile!$D$1:$D$20,0)+ROW($X12)-ROW($X$2),MATCH(AG$1,Profile!$2:$2,0),4))="","",INDIRECT("Profile"&amp;"!"&amp;ADDRESS(MATCH($X$2,Profile!$D$1:$D$20,0)+ROW($X12)-ROW($X$2),MATCH(AG$1,Profile!$2:$2,0),4))),"")</f>
        <v/>
      </c>
      <c r="AH12" s="2" t="str" cm="1">
        <f t="array" aca="1" ref="AH12" ca="1">IFERROR(IF(INDIRECT("Profile"&amp;"!"&amp;ADDRESS(MATCH($X$2,Profile!$D$1:$D$20,0)+ROW($X12)-ROW($X$2),MATCH(AH$1,Profile!$2:$2,0),4))="","",INDIRECT("Profile"&amp;"!"&amp;ADDRESS(MATCH($X$2,Profile!$D$1:$D$20,0)+ROW($X12)-ROW($X$2),MATCH(AH$1,Profile!$2:$2,0),4))),"")</f>
        <v/>
      </c>
      <c r="AI12" s="2" t="str" cm="1">
        <f t="array" aca="1" ref="AI12" ca="1">IFERROR(IF(INDIRECT("Profile"&amp;"!"&amp;ADDRESS(MATCH($X$2,Profile!$D$1:$D$20,0)+ROW($X12)-ROW($X$2),MATCH(AI$1,Profile!$2:$2,0),4))="","",INDIRECT("Profile"&amp;"!"&amp;ADDRESS(MATCH($X$2,Profile!$D$1:$D$20,0)+ROW($X12)-ROW($X$2),MATCH(AI$1,Profile!$2:$2,0),4))),"")</f>
        <v/>
      </c>
      <c r="AJ12" s="2" t="str" cm="1">
        <f t="array" aca="1" ref="AJ12" ca="1">IFERROR(IF(INDIRECT("Profile"&amp;"!"&amp;ADDRESS(MATCH($X$2,Profile!$D$1:$D$20,0)+ROW($X12)-ROW($X$2),MATCH(AJ$1,Profile!$2:$2,0),4))="","",INDIRECT("Profile"&amp;"!"&amp;ADDRESS(MATCH($X$2,Profile!$D$1:$D$20,0)+ROW($X12)-ROW($X$2),MATCH(AJ$1,Profile!$2:$2,0),4))),"")</f>
        <v/>
      </c>
      <c r="AK12" s="2" t="str" cm="1">
        <f t="array" aca="1" ref="AK12" ca="1">IFERROR(IF(INDIRECT("Profile"&amp;"!"&amp;ADDRESS(MATCH($X$2,Profile!$D$1:$D$20,0)+ROW($X12)-ROW($X$2),MATCH(AK$1,Profile!$2:$2,0),4))="","",INDIRECT("Profile"&amp;"!"&amp;ADDRESS(MATCH($X$2,Profile!$D$1:$D$20,0)+ROW($X12)-ROW($X$2),MATCH(AK$1,Profile!$2:$2,0),4))),"")</f>
        <v/>
      </c>
      <c r="AL12" s="2" t="str" cm="1">
        <f t="array" aca="1" ref="AL12" ca="1">IFERROR(IF(INDIRECT("Profile"&amp;"!"&amp;ADDRESS(MATCH($X$2,Profile!$D$1:$D$20,0)+ROW($X12)-ROW($X$2),MATCH(AL$1,Profile!$2:$2,0),4))="","",INDIRECT("Profile"&amp;"!"&amp;ADDRESS(MATCH($X$2,Profile!$D$1:$D$20,0)+ROW($X12)-ROW($X$2),MATCH(AL$1,Profile!$2:$2,0),4))),"")</f>
        <v/>
      </c>
      <c r="AM12" s="2" t="str" cm="1">
        <f t="array" aca="1" ref="AM12" ca="1">IFERROR(IF(INDIRECT("Profile"&amp;"!"&amp;ADDRESS(MATCH($X$2,Profile!$D$1:$D$20,0)+ROW($X12)-ROW($X$2),MATCH(AM$1,Profile!$2:$2,0),4))="","",INDIRECT("Profile"&amp;"!"&amp;ADDRESS(MATCH($X$2,Profile!$D$1:$D$20,0)+ROW($X12)-ROW($X$2),MATCH(AM$1,Profile!$2:$2,0),4))),"")</f>
        <v/>
      </c>
      <c r="AN12" s="2" t="str" cm="1">
        <f t="array" aca="1" ref="AN12" ca="1">IFERROR(IF(INDIRECT("Profile"&amp;"!"&amp;ADDRESS(MATCH($X$2,Profile!$D$1:$D$20,0)+ROW($X12)-ROW($X$2),MATCH(AN$1,Profile!$2:$2,0),4))="","",INDIRECT("Profile"&amp;"!"&amp;ADDRESS(MATCH($X$2,Profile!$D$1:$D$20,0)+ROW($X12)-ROW($X$2),MATCH(AN$1,Profile!$2:$2,0),4))),"")</f>
        <v/>
      </c>
    </row>
    <row r="13" spans="9:40" x14ac:dyDescent="0.25">
      <c r="I13" s="7">
        <v>10</v>
      </c>
      <c r="J13" s="7" t="str" cm="1">
        <f t="array" aca="1" ref="J13" ca="1">IFERROR(IF(INDIRECT("Profile"&amp;"!"&amp;ADDRESS(MATCH(J$1,Profile!$A$1:$A$20,0),MATCH($I13,Profile!$1:$1,0),4))="","",INDIRECT("Profile"&amp;"!"&amp;ADDRESS(MATCH(J$1,Profile!$A$1:$A$20,0),MATCH($I13,Profile!$1:$1,0),4))),"")</f>
        <v/>
      </c>
      <c r="K13" s="9" t="str" cm="1">
        <f t="array" aca="1" ref="K13" ca="1">IF($J13="","",IF(INDIRECT("Profile"&amp;"!"&amp;ADDRESS(MATCH(K$2,Profile!$C$1:$C$20,0),MATCH($I13,Profile!$1:$1,0),4))="","",INDIRECT("Profile"&amp;"!"&amp;ADDRESS(MATCH(K$2,Profile!$C$1:$C$20,0),MATCH($I13,Profile!$1:$1,0)))))</f>
        <v/>
      </c>
      <c r="L13" s="3" t="str" cm="1">
        <f t="array" aca="1" ref="L13" ca="1">IF($J13="","",IF(INDIRECT("Profile"&amp;"!"&amp;ADDRESS(MATCH(L$2,Profile!$C$1:$C$20,0),MATCH($I13,Profile!$1:$1,0),4))="","",INDIRECT("Profile"&amp;"!"&amp;ADDRESS(MATCH(L$2,Profile!$C$1:$C$20,0),MATCH($I13,Profile!$1:$1,0)))))</f>
        <v/>
      </c>
      <c r="M13" s="9" t="str" cm="1">
        <f t="array" aca="1" ref="M13" ca="1">IF($J13="","",IF(INDIRECT("Profile"&amp;"!"&amp;ADDRESS(MATCH(M$2,Profile!$C$1:$C$20,0),MATCH($I13,Profile!$1:$1,0),4))="","",INDIRECT("Profile"&amp;"!"&amp;ADDRESS(MATCH(M$2,Profile!$C$1:$C$20,0),MATCH($I13,Profile!$1:$1,0)))))</f>
        <v/>
      </c>
      <c r="N13" s="3" t="str" cm="1">
        <f t="array" aca="1" ref="N13" ca="1">IF($J13="","",IF(INDIRECT("Profile"&amp;"!"&amp;ADDRESS(MATCH(N$2,Profile!$C$1:$C$20,0),MATCH($I13,Profile!$1:$1,0),4))="","",INDIRECT("Profile"&amp;"!"&amp;ADDRESS(MATCH(N$2,Profile!$C$1:$C$20,0),MATCH($I13,Profile!$1:$1,0)))))</f>
        <v/>
      </c>
      <c r="O13" s="3" t="str" cm="1">
        <f t="array" aca="1" ref="O13" ca="1">IFERROR(IF($J13="","",INDIRECT("Profile"&amp;"!"&amp;ADDRESS(MATCH(O$2,Profile!$C$1:$C$20,0),MATCH($I13,Profile!$1:$1,0),4))),"")</f>
        <v/>
      </c>
      <c r="P13" s="9" t="str" cm="1">
        <f t="array" aca="1" ref="P13" ca="1">IFERROR(IF($J13="","",INDIRECT("Profile"&amp;"!"&amp;ADDRESS(MATCH(P$2,Profile!$C$1:$C$20,0),MATCH($I13,Profile!$1:$1,0),4))),"")</f>
        <v/>
      </c>
      <c r="Q13" s="3" t="str" cm="1">
        <f t="array" aca="1" ref="Q13" ca="1">IFERROR(IF($J13="","",INDIRECT("Profile"&amp;"!"&amp;ADDRESS(MATCH(Q$2,Profile!$C$1:$C$20,0),MATCH($I13,Profile!$1:$1,0),4))),"")</f>
        <v/>
      </c>
      <c r="R13" s="3" t="str" cm="1">
        <f t="array" aca="1" ref="R13" ca="1">IFERROR(IF($J13="","",INDIRECT("Profile"&amp;"!"&amp;ADDRESS(MATCH(R$2,Profile!$C$1:$C$20,0),MATCH($I13,Profile!$1:$1,0),4))),"")</f>
        <v/>
      </c>
      <c r="S13" s="3" t="str" cm="1">
        <f t="array" aca="1" ref="S13" ca="1">IFERROR(IF($J13="","",INDIRECT("Profile"&amp;"!"&amp;ADDRESS(MATCH(S$2,Profile!$C$1:$C$20,0),MATCH($I13,Profile!$1:$1,0),4))),"")</f>
        <v/>
      </c>
      <c r="T13" s="3" t="str" cm="1">
        <f t="array" aca="1" ref="T13" ca="1">IFERROR(IF($J13="","",INDIRECT("Profile"&amp;"!"&amp;ADDRESS(MATCH(T$2,Profile!$C$1:$C$20,0),MATCH($I13,Profile!$1:$1,0),4))),"")</f>
        <v/>
      </c>
      <c r="U13" s="38" t="str" cm="1">
        <f t="array" aca="1" ref="U13" ca="1">IFERROR(IF(INDIRECT("ID"&amp;"!"&amp;ADDRESS(MATCH($J13,ID!$B:$B,0),MATCH($U$1,ID!$1:$1,0),4))="","",INDIRECT("ID"&amp;"!"&amp;ADDRESS(MATCH($J13,ID!$B:$B,0),MATCH($U$1,ID!$1:$1,0),4))),"")</f>
        <v/>
      </c>
      <c r="X13" s="7">
        <v>-0.9</v>
      </c>
      <c r="Y13" s="7" t="str" cm="1">
        <f t="array" aca="1" ref="Y13" ca="1">IFERROR(IF(INDIRECT("Profile"&amp;"!"&amp;ADDRESS(MATCH($X$2,Profile!$D$1:$D$20,0)+ROW($X13)-ROW($X$2),MATCH(Y$1,Profile!$2:$2,0),4))="","",INDIRECT("Profile"&amp;"!"&amp;ADDRESS(MATCH($X$2,Profile!$D$1:$D$20,0)+ROW($X13)-ROW($X$2),MATCH(Y$1,Profile!$2:$2,0),4))),"")</f>
        <v/>
      </c>
      <c r="Z13" s="2" t="str" cm="1">
        <f t="array" aca="1" ref="Z13" ca="1">IFERROR(IF(INDIRECT("Profile"&amp;"!"&amp;ADDRESS(MATCH($X$2,Profile!$D$1:$D$20,0)+ROW($X13)-ROW($X$2),MATCH(Z$1,Profile!$2:$2,0),4))="","",INDIRECT("Profile"&amp;"!"&amp;ADDRESS(MATCH($X$2,Profile!$D$1:$D$20,0)+ROW($X13)-ROW($X$2),MATCH(Z$1,Profile!$2:$2,0),4))),"")</f>
        <v/>
      </c>
      <c r="AA13" s="2" t="str" cm="1">
        <f t="array" aca="1" ref="AA13" ca="1">IFERROR(IF(INDIRECT("Profile"&amp;"!"&amp;ADDRESS(MATCH($X$2,Profile!$D$1:$D$20,0)+ROW($X13)-ROW($X$2),MATCH(AA$1,Profile!$2:$2,0),4))="","",INDIRECT("Profile"&amp;"!"&amp;ADDRESS(MATCH($X$2,Profile!$D$1:$D$20,0)+ROW($X13)-ROW($X$2),MATCH(AA$1,Profile!$2:$2,0),4))),"")</f>
        <v/>
      </c>
      <c r="AB13" s="2" t="str" cm="1">
        <f t="array" aca="1" ref="AB13" ca="1">IFERROR(IF(INDIRECT("Profile"&amp;"!"&amp;ADDRESS(MATCH($X$2,Profile!$D$1:$D$20,0)+ROW($X13)-ROW($X$2),MATCH(AB$1,Profile!$2:$2,0),4))="","",INDIRECT("Profile"&amp;"!"&amp;ADDRESS(MATCH($X$2,Profile!$D$1:$D$20,0)+ROW($X13)-ROW($X$2),MATCH(AB$1,Profile!$2:$2,0),4))),"")</f>
        <v/>
      </c>
      <c r="AC13" s="2" t="str" cm="1">
        <f t="array" aca="1" ref="AC13" ca="1">IFERROR(IF(INDIRECT("Profile"&amp;"!"&amp;ADDRESS(MATCH($X$2,Profile!$D$1:$D$20,0)+ROW($X13)-ROW($X$2),MATCH(AC$1,Profile!$2:$2,0),4))="","",INDIRECT("Profile"&amp;"!"&amp;ADDRESS(MATCH($X$2,Profile!$D$1:$D$20,0)+ROW($X13)-ROW($X$2),MATCH(AC$1,Profile!$2:$2,0),4))),"")</f>
        <v/>
      </c>
      <c r="AD13" s="2" t="str" cm="1">
        <f t="array" aca="1" ref="AD13" ca="1">IFERROR(IF(INDIRECT("Profile"&amp;"!"&amp;ADDRESS(MATCH($X$2,Profile!$D$1:$D$20,0)+ROW($X13)-ROW($X$2),MATCH(AD$1,Profile!$2:$2,0),4))="","",INDIRECT("Profile"&amp;"!"&amp;ADDRESS(MATCH($X$2,Profile!$D$1:$D$20,0)+ROW($X13)-ROW($X$2),MATCH(AD$1,Profile!$2:$2,0),4))),"")</f>
        <v/>
      </c>
      <c r="AE13" s="2" t="str" cm="1">
        <f t="array" aca="1" ref="AE13" ca="1">IFERROR(IF(INDIRECT("Profile"&amp;"!"&amp;ADDRESS(MATCH($X$2,Profile!$D$1:$D$20,0)+ROW($X13)-ROW($X$2),MATCH(AE$1,Profile!$2:$2,0),4))="","",INDIRECT("Profile"&amp;"!"&amp;ADDRESS(MATCH($X$2,Profile!$D$1:$D$20,0)+ROW($X13)-ROW($X$2),MATCH(AE$1,Profile!$2:$2,0),4))),"")</f>
        <v/>
      </c>
      <c r="AF13" s="2" t="str" cm="1">
        <f t="array" aca="1" ref="AF13" ca="1">IFERROR(IF(INDIRECT("Profile"&amp;"!"&amp;ADDRESS(MATCH($X$2,Profile!$D$1:$D$20,0)+ROW($X13)-ROW($X$2),MATCH(AF$1,Profile!$2:$2,0),4))="","",INDIRECT("Profile"&amp;"!"&amp;ADDRESS(MATCH($X$2,Profile!$D$1:$D$20,0)+ROW($X13)-ROW($X$2),MATCH(AF$1,Profile!$2:$2,0),4))),"")</f>
        <v/>
      </c>
      <c r="AG13" s="2" t="str" cm="1">
        <f t="array" aca="1" ref="AG13" ca="1">IFERROR(IF(INDIRECT("Profile"&amp;"!"&amp;ADDRESS(MATCH($X$2,Profile!$D$1:$D$20,0)+ROW($X13)-ROW($X$2),MATCH(AG$1,Profile!$2:$2,0),4))="","",INDIRECT("Profile"&amp;"!"&amp;ADDRESS(MATCH($X$2,Profile!$D$1:$D$20,0)+ROW($X13)-ROW($X$2),MATCH(AG$1,Profile!$2:$2,0),4))),"")</f>
        <v/>
      </c>
      <c r="AH13" s="2" t="str" cm="1">
        <f t="array" aca="1" ref="AH13" ca="1">IFERROR(IF(INDIRECT("Profile"&amp;"!"&amp;ADDRESS(MATCH($X$2,Profile!$D$1:$D$20,0)+ROW($X13)-ROW($X$2),MATCH(AH$1,Profile!$2:$2,0),4))="","",INDIRECT("Profile"&amp;"!"&amp;ADDRESS(MATCH($X$2,Profile!$D$1:$D$20,0)+ROW($X13)-ROW($X$2),MATCH(AH$1,Profile!$2:$2,0),4))),"")</f>
        <v/>
      </c>
      <c r="AI13" s="2" t="str" cm="1">
        <f t="array" aca="1" ref="AI13" ca="1">IFERROR(IF(INDIRECT("Profile"&amp;"!"&amp;ADDRESS(MATCH($X$2,Profile!$D$1:$D$20,0)+ROW($X13)-ROW($X$2),MATCH(AI$1,Profile!$2:$2,0),4))="","",INDIRECT("Profile"&amp;"!"&amp;ADDRESS(MATCH($X$2,Profile!$D$1:$D$20,0)+ROW($X13)-ROW($X$2),MATCH(AI$1,Profile!$2:$2,0),4))),"")</f>
        <v/>
      </c>
      <c r="AJ13" s="2" t="str" cm="1">
        <f t="array" aca="1" ref="AJ13" ca="1">IFERROR(IF(INDIRECT("Profile"&amp;"!"&amp;ADDRESS(MATCH($X$2,Profile!$D$1:$D$20,0)+ROW($X13)-ROW($X$2),MATCH(AJ$1,Profile!$2:$2,0),4))="","",INDIRECT("Profile"&amp;"!"&amp;ADDRESS(MATCH($X$2,Profile!$D$1:$D$20,0)+ROW($X13)-ROW($X$2),MATCH(AJ$1,Profile!$2:$2,0),4))),"")</f>
        <v/>
      </c>
      <c r="AK13" s="2" t="str" cm="1">
        <f t="array" aca="1" ref="AK13" ca="1">IFERROR(IF(INDIRECT("Profile"&amp;"!"&amp;ADDRESS(MATCH($X$2,Profile!$D$1:$D$20,0)+ROW($X13)-ROW($X$2),MATCH(AK$1,Profile!$2:$2,0),4))="","",INDIRECT("Profile"&amp;"!"&amp;ADDRESS(MATCH($X$2,Profile!$D$1:$D$20,0)+ROW($X13)-ROW($X$2),MATCH(AK$1,Profile!$2:$2,0),4))),"")</f>
        <v/>
      </c>
      <c r="AL13" s="2" t="str" cm="1">
        <f t="array" aca="1" ref="AL13" ca="1">IFERROR(IF(INDIRECT("Profile"&amp;"!"&amp;ADDRESS(MATCH($X$2,Profile!$D$1:$D$20,0)+ROW($X13)-ROW($X$2),MATCH(AL$1,Profile!$2:$2,0),4))="","",INDIRECT("Profile"&amp;"!"&amp;ADDRESS(MATCH($X$2,Profile!$D$1:$D$20,0)+ROW($X13)-ROW($X$2),MATCH(AL$1,Profile!$2:$2,0),4))),"")</f>
        <v/>
      </c>
      <c r="AM13" s="2" t="str" cm="1">
        <f t="array" aca="1" ref="AM13" ca="1">IFERROR(IF(INDIRECT("Profile"&amp;"!"&amp;ADDRESS(MATCH($X$2,Profile!$D$1:$D$20,0)+ROW($X13)-ROW($X$2),MATCH(AM$1,Profile!$2:$2,0),4))="","",INDIRECT("Profile"&amp;"!"&amp;ADDRESS(MATCH($X$2,Profile!$D$1:$D$20,0)+ROW($X13)-ROW($X$2),MATCH(AM$1,Profile!$2:$2,0),4))),"")</f>
        <v/>
      </c>
      <c r="AN13" s="2" t="str" cm="1">
        <f t="array" aca="1" ref="AN13" ca="1">IFERROR(IF(INDIRECT("Profile"&amp;"!"&amp;ADDRESS(MATCH($X$2,Profile!$D$1:$D$20,0)+ROW($X13)-ROW($X$2),MATCH(AN$1,Profile!$2:$2,0),4))="","",INDIRECT("Profile"&amp;"!"&amp;ADDRESS(MATCH($X$2,Profile!$D$1:$D$20,0)+ROW($X13)-ROW($X$2),MATCH(AN$1,Profile!$2:$2,0),4))),"")</f>
        <v/>
      </c>
    </row>
    <row r="14" spans="9:40" x14ac:dyDescent="0.25">
      <c r="I14" s="7">
        <v>11</v>
      </c>
      <c r="J14" s="7" t="str" cm="1">
        <f t="array" aca="1" ref="J14" ca="1">IFERROR(IF(INDIRECT("Profile"&amp;"!"&amp;ADDRESS(MATCH(J$1,Profile!$A$1:$A$20,0),MATCH($I14,Profile!$1:$1,0),4))="","",INDIRECT("Profile"&amp;"!"&amp;ADDRESS(MATCH(J$1,Profile!$A$1:$A$20,0),MATCH($I14,Profile!$1:$1,0),4))),"")</f>
        <v/>
      </c>
      <c r="K14" s="9" t="str" cm="1">
        <f t="array" aca="1" ref="K14" ca="1">IF($J14="","",IF(INDIRECT("Profile"&amp;"!"&amp;ADDRESS(MATCH(K$2,Profile!$C$1:$C$20,0),MATCH($I14,Profile!$1:$1,0),4))="","",INDIRECT("Profile"&amp;"!"&amp;ADDRESS(MATCH(K$2,Profile!$C$1:$C$20,0),MATCH($I14,Profile!$1:$1,0)))))</f>
        <v/>
      </c>
      <c r="L14" s="3" t="str" cm="1">
        <f t="array" aca="1" ref="L14" ca="1">IF($J14="","",IF(INDIRECT("Profile"&amp;"!"&amp;ADDRESS(MATCH(L$2,Profile!$C$1:$C$20,0),MATCH($I14,Profile!$1:$1,0),4))="","",INDIRECT("Profile"&amp;"!"&amp;ADDRESS(MATCH(L$2,Profile!$C$1:$C$20,0),MATCH($I14,Profile!$1:$1,0)))))</f>
        <v/>
      </c>
      <c r="M14" s="9" t="str" cm="1">
        <f t="array" aca="1" ref="M14" ca="1">IF($J14="","",IF(INDIRECT("Profile"&amp;"!"&amp;ADDRESS(MATCH(M$2,Profile!$C$1:$C$20,0),MATCH($I14,Profile!$1:$1,0),4))="","",INDIRECT("Profile"&amp;"!"&amp;ADDRESS(MATCH(M$2,Profile!$C$1:$C$20,0),MATCH($I14,Profile!$1:$1,0)))))</f>
        <v/>
      </c>
      <c r="N14" s="3" t="str" cm="1">
        <f t="array" aca="1" ref="N14" ca="1">IF($J14="","",IF(INDIRECT("Profile"&amp;"!"&amp;ADDRESS(MATCH(N$2,Profile!$C$1:$C$20,0),MATCH($I14,Profile!$1:$1,0),4))="","",INDIRECT("Profile"&amp;"!"&amp;ADDRESS(MATCH(N$2,Profile!$C$1:$C$20,0),MATCH($I14,Profile!$1:$1,0)))))</f>
        <v/>
      </c>
      <c r="O14" s="3" t="str" cm="1">
        <f t="array" aca="1" ref="O14" ca="1">IFERROR(IF($J14="","",INDIRECT("Profile"&amp;"!"&amp;ADDRESS(MATCH(O$2,Profile!$C$1:$C$20,0),MATCH($I14,Profile!$1:$1,0),4))),"")</f>
        <v/>
      </c>
      <c r="P14" s="9" t="str" cm="1">
        <f t="array" aca="1" ref="P14" ca="1">IFERROR(IF($J14="","",INDIRECT("Profile"&amp;"!"&amp;ADDRESS(MATCH(P$2,Profile!$C$1:$C$20,0),MATCH($I14,Profile!$1:$1,0),4))),"")</f>
        <v/>
      </c>
      <c r="Q14" s="3" t="str" cm="1">
        <f t="array" aca="1" ref="Q14" ca="1">IFERROR(IF($J14="","",INDIRECT("Profile"&amp;"!"&amp;ADDRESS(MATCH(Q$2,Profile!$C$1:$C$20,0),MATCH($I14,Profile!$1:$1,0),4))),"")</f>
        <v/>
      </c>
      <c r="R14" s="3" t="str" cm="1">
        <f t="array" aca="1" ref="R14" ca="1">IFERROR(IF($J14="","",INDIRECT("Profile"&amp;"!"&amp;ADDRESS(MATCH(R$2,Profile!$C$1:$C$20,0),MATCH($I14,Profile!$1:$1,0),4))),"")</f>
        <v/>
      </c>
      <c r="S14" s="3" t="str" cm="1">
        <f t="array" aca="1" ref="S14" ca="1">IFERROR(IF($J14="","",INDIRECT("Profile"&amp;"!"&amp;ADDRESS(MATCH(S$2,Profile!$C$1:$C$20,0),MATCH($I14,Profile!$1:$1,0),4))),"")</f>
        <v/>
      </c>
      <c r="T14" s="3" t="str" cm="1">
        <f t="array" aca="1" ref="T14" ca="1">IFERROR(IF($J14="","",INDIRECT("Profile"&amp;"!"&amp;ADDRESS(MATCH(T$2,Profile!$C$1:$C$20,0),MATCH($I14,Profile!$1:$1,0),4))),"")</f>
        <v/>
      </c>
      <c r="U14" s="38" t="str" cm="1">
        <f t="array" aca="1" ref="U14" ca="1">IFERROR(IF(INDIRECT("ID"&amp;"!"&amp;ADDRESS(MATCH($J14,ID!$B:$B,0),MATCH($U$1,ID!$1:$1,0),4))="","",INDIRECT("ID"&amp;"!"&amp;ADDRESS(MATCH($J14,ID!$B:$B,0),MATCH($U$1,ID!$1:$1,0),4))),"")</f>
        <v/>
      </c>
      <c r="X14" s="7">
        <v>-1</v>
      </c>
      <c r="Y14" s="7" t="str" cm="1">
        <f t="array" aca="1" ref="Y14" ca="1">IFERROR(IF(INDIRECT("Profile"&amp;"!"&amp;ADDRESS(MATCH($X$2,Profile!$D$1:$D$20,0)+ROW($X14)-ROW($X$2),MATCH(Y$1,Profile!$2:$2,0),4))="","",INDIRECT("Profile"&amp;"!"&amp;ADDRESS(MATCH($X$2,Profile!$D$1:$D$20,0)+ROW($X14)-ROW($X$2),MATCH(Y$1,Profile!$2:$2,0),4))),"")</f>
        <v/>
      </c>
      <c r="Z14" s="2" t="str" cm="1">
        <f t="array" aca="1" ref="Z14" ca="1">IFERROR(IF(INDIRECT("Profile"&amp;"!"&amp;ADDRESS(MATCH($X$2,Profile!$D$1:$D$20,0)+ROW($X14)-ROW($X$2),MATCH(Z$1,Profile!$2:$2,0),4))="","",INDIRECT("Profile"&amp;"!"&amp;ADDRESS(MATCH($X$2,Profile!$D$1:$D$20,0)+ROW($X14)-ROW($X$2),MATCH(Z$1,Profile!$2:$2,0),4))),"")</f>
        <v/>
      </c>
      <c r="AA14" s="2" t="str" cm="1">
        <f t="array" aca="1" ref="AA14" ca="1">IFERROR(IF(INDIRECT("Profile"&amp;"!"&amp;ADDRESS(MATCH($X$2,Profile!$D$1:$D$20,0)+ROW($X14)-ROW($X$2),MATCH(AA$1,Profile!$2:$2,0),4))="","",INDIRECT("Profile"&amp;"!"&amp;ADDRESS(MATCH($X$2,Profile!$D$1:$D$20,0)+ROW($X14)-ROW($X$2),MATCH(AA$1,Profile!$2:$2,0),4))),"")</f>
        <v/>
      </c>
      <c r="AB14" s="2" t="str" cm="1">
        <f t="array" aca="1" ref="AB14" ca="1">IFERROR(IF(INDIRECT("Profile"&amp;"!"&amp;ADDRESS(MATCH($X$2,Profile!$D$1:$D$20,0)+ROW($X14)-ROW($X$2),MATCH(AB$1,Profile!$2:$2,0),4))="","",INDIRECT("Profile"&amp;"!"&amp;ADDRESS(MATCH($X$2,Profile!$D$1:$D$20,0)+ROW($X14)-ROW($X$2),MATCH(AB$1,Profile!$2:$2,0),4))),"")</f>
        <v/>
      </c>
      <c r="AC14" s="2" t="str" cm="1">
        <f t="array" aca="1" ref="AC14" ca="1">IFERROR(IF(INDIRECT("Profile"&amp;"!"&amp;ADDRESS(MATCH($X$2,Profile!$D$1:$D$20,0)+ROW($X14)-ROW($X$2),MATCH(AC$1,Profile!$2:$2,0),4))="","",INDIRECT("Profile"&amp;"!"&amp;ADDRESS(MATCH($X$2,Profile!$D$1:$D$20,0)+ROW($X14)-ROW($X$2),MATCH(AC$1,Profile!$2:$2,0),4))),"")</f>
        <v/>
      </c>
      <c r="AD14" s="2" t="str" cm="1">
        <f t="array" aca="1" ref="AD14" ca="1">IFERROR(IF(INDIRECT("Profile"&amp;"!"&amp;ADDRESS(MATCH($X$2,Profile!$D$1:$D$20,0)+ROW($X14)-ROW($X$2),MATCH(AD$1,Profile!$2:$2,0),4))="","",INDIRECT("Profile"&amp;"!"&amp;ADDRESS(MATCH($X$2,Profile!$D$1:$D$20,0)+ROW($X14)-ROW($X$2),MATCH(AD$1,Profile!$2:$2,0),4))),"")</f>
        <v/>
      </c>
      <c r="AE14" s="2" t="str" cm="1">
        <f t="array" aca="1" ref="AE14" ca="1">IFERROR(IF(INDIRECT("Profile"&amp;"!"&amp;ADDRESS(MATCH($X$2,Profile!$D$1:$D$20,0)+ROW($X14)-ROW($X$2),MATCH(AE$1,Profile!$2:$2,0),4))="","",INDIRECT("Profile"&amp;"!"&amp;ADDRESS(MATCH($X$2,Profile!$D$1:$D$20,0)+ROW($X14)-ROW($X$2),MATCH(AE$1,Profile!$2:$2,0),4))),"")</f>
        <v/>
      </c>
      <c r="AF14" s="2" t="str" cm="1">
        <f t="array" aca="1" ref="AF14" ca="1">IFERROR(IF(INDIRECT("Profile"&amp;"!"&amp;ADDRESS(MATCH($X$2,Profile!$D$1:$D$20,0)+ROW($X14)-ROW($X$2),MATCH(AF$1,Profile!$2:$2,0),4))="","",INDIRECT("Profile"&amp;"!"&amp;ADDRESS(MATCH($X$2,Profile!$D$1:$D$20,0)+ROW($X14)-ROW($X$2),MATCH(AF$1,Profile!$2:$2,0),4))),"")</f>
        <v/>
      </c>
      <c r="AG14" s="2" t="str" cm="1">
        <f t="array" aca="1" ref="AG14" ca="1">IFERROR(IF(INDIRECT("Profile"&amp;"!"&amp;ADDRESS(MATCH($X$2,Profile!$D$1:$D$20,0)+ROW($X14)-ROW($X$2),MATCH(AG$1,Profile!$2:$2,0),4))="","",INDIRECT("Profile"&amp;"!"&amp;ADDRESS(MATCH($X$2,Profile!$D$1:$D$20,0)+ROW($X14)-ROW($X$2),MATCH(AG$1,Profile!$2:$2,0),4))),"")</f>
        <v/>
      </c>
      <c r="AH14" s="2" t="str" cm="1">
        <f t="array" aca="1" ref="AH14" ca="1">IFERROR(IF(INDIRECT("Profile"&amp;"!"&amp;ADDRESS(MATCH($X$2,Profile!$D$1:$D$20,0)+ROW($X14)-ROW($X$2),MATCH(AH$1,Profile!$2:$2,0),4))="","",INDIRECT("Profile"&amp;"!"&amp;ADDRESS(MATCH($X$2,Profile!$D$1:$D$20,0)+ROW($X14)-ROW($X$2),MATCH(AH$1,Profile!$2:$2,0),4))),"")</f>
        <v/>
      </c>
      <c r="AI14" s="2" t="str" cm="1">
        <f t="array" aca="1" ref="AI14" ca="1">IFERROR(IF(INDIRECT("Profile"&amp;"!"&amp;ADDRESS(MATCH($X$2,Profile!$D$1:$D$20,0)+ROW($X14)-ROW($X$2),MATCH(AI$1,Profile!$2:$2,0),4))="","",INDIRECT("Profile"&amp;"!"&amp;ADDRESS(MATCH($X$2,Profile!$D$1:$D$20,0)+ROW($X14)-ROW($X$2),MATCH(AI$1,Profile!$2:$2,0),4))),"")</f>
        <v/>
      </c>
      <c r="AJ14" s="2" t="str" cm="1">
        <f t="array" aca="1" ref="AJ14" ca="1">IFERROR(IF(INDIRECT("Profile"&amp;"!"&amp;ADDRESS(MATCH($X$2,Profile!$D$1:$D$20,0)+ROW($X14)-ROW($X$2),MATCH(AJ$1,Profile!$2:$2,0),4))="","",INDIRECT("Profile"&amp;"!"&amp;ADDRESS(MATCH($X$2,Profile!$D$1:$D$20,0)+ROW($X14)-ROW($X$2),MATCH(AJ$1,Profile!$2:$2,0),4))),"")</f>
        <v/>
      </c>
      <c r="AK14" s="2" t="str" cm="1">
        <f t="array" aca="1" ref="AK14" ca="1">IFERROR(IF(INDIRECT("Profile"&amp;"!"&amp;ADDRESS(MATCH($X$2,Profile!$D$1:$D$20,0)+ROW($X14)-ROW($X$2),MATCH(AK$1,Profile!$2:$2,0),4))="","",INDIRECT("Profile"&amp;"!"&amp;ADDRESS(MATCH($X$2,Profile!$D$1:$D$20,0)+ROW($X14)-ROW($X$2),MATCH(AK$1,Profile!$2:$2,0),4))),"")</f>
        <v/>
      </c>
      <c r="AL14" s="2" t="str" cm="1">
        <f t="array" aca="1" ref="AL14" ca="1">IFERROR(IF(INDIRECT("Profile"&amp;"!"&amp;ADDRESS(MATCH($X$2,Profile!$D$1:$D$20,0)+ROW($X14)-ROW($X$2),MATCH(AL$1,Profile!$2:$2,0),4))="","",INDIRECT("Profile"&amp;"!"&amp;ADDRESS(MATCH($X$2,Profile!$D$1:$D$20,0)+ROW($X14)-ROW($X$2),MATCH(AL$1,Profile!$2:$2,0),4))),"")</f>
        <v/>
      </c>
      <c r="AM14" s="2" t="str" cm="1">
        <f t="array" aca="1" ref="AM14" ca="1">IFERROR(IF(INDIRECT("Profile"&amp;"!"&amp;ADDRESS(MATCH($X$2,Profile!$D$1:$D$20,0)+ROW($X14)-ROW($X$2),MATCH(AM$1,Profile!$2:$2,0),4))="","",INDIRECT("Profile"&amp;"!"&amp;ADDRESS(MATCH($X$2,Profile!$D$1:$D$20,0)+ROW($X14)-ROW($X$2),MATCH(AM$1,Profile!$2:$2,0),4))),"")</f>
        <v/>
      </c>
      <c r="AN14" s="2" t="str" cm="1">
        <f t="array" aca="1" ref="AN14" ca="1">IFERROR(IF(INDIRECT("Profile"&amp;"!"&amp;ADDRESS(MATCH($X$2,Profile!$D$1:$D$20,0)+ROW($X14)-ROW($X$2),MATCH(AN$1,Profile!$2:$2,0),4))="","",INDIRECT("Profile"&amp;"!"&amp;ADDRESS(MATCH($X$2,Profile!$D$1:$D$20,0)+ROW($X14)-ROW($X$2),MATCH(AN$1,Profile!$2:$2,0),4))),"")</f>
        <v/>
      </c>
    </row>
    <row r="15" spans="9:40" x14ac:dyDescent="0.25">
      <c r="I15" s="7">
        <v>12</v>
      </c>
      <c r="J15" s="7" t="str" cm="1">
        <f t="array" aca="1" ref="J15" ca="1">IFERROR(IF(INDIRECT("Profile"&amp;"!"&amp;ADDRESS(MATCH(J$1,Profile!$A$1:$A$20,0),MATCH($I15,Profile!$1:$1,0),4))="","",INDIRECT("Profile"&amp;"!"&amp;ADDRESS(MATCH(J$1,Profile!$A$1:$A$20,0),MATCH($I15,Profile!$1:$1,0),4))),"")</f>
        <v/>
      </c>
      <c r="K15" s="9" t="str" cm="1">
        <f t="array" aca="1" ref="K15" ca="1">IF($J15="","",IF(INDIRECT("Profile"&amp;"!"&amp;ADDRESS(MATCH(K$2,Profile!$C$1:$C$20,0),MATCH($I15,Profile!$1:$1,0),4))="","",INDIRECT("Profile"&amp;"!"&amp;ADDRESS(MATCH(K$2,Profile!$C$1:$C$20,0),MATCH($I15,Profile!$1:$1,0)))))</f>
        <v/>
      </c>
      <c r="L15" s="3" t="str" cm="1">
        <f t="array" aca="1" ref="L15" ca="1">IF($J15="","",IF(INDIRECT("Profile"&amp;"!"&amp;ADDRESS(MATCH(L$2,Profile!$C$1:$C$20,0),MATCH($I15,Profile!$1:$1,0),4))="","",INDIRECT("Profile"&amp;"!"&amp;ADDRESS(MATCH(L$2,Profile!$C$1:$C$20,0),MATCH($I15,Profile!$1:$1,0)))))</f>
        <v/>
      </c>
      <c r="M15" s="9" t="str" cm="1">
        <f t="array" aca="1" ref="M15" ca="1">IF($J15="","",IF(INDIRECT("Profile"&amp;"!"&amp;ADDRESS(MATCH(M$2,Profile!$C$1:$C$20,0),MATCH($I15,Profile!$1:$1,0),4))="","",INDIRECT("Profile"&amp;"!"&amp;ADDRESS(MATCH(M$2,Profile!$C$1:$C$20,0),MATCH($I15,Profile!$1:$1,0)))))</f>
        <v/>
      </c>
      <c r="N15" s="3" t="str" cm="1">
        <f t="array" aca="1" ref="N15" ca="1">IF($J15="","",IF(INDIRECT("Profile"&amp;"!"&amp;ADDRESS(MATCH(N$2,Profile!$C$1:$C$20,0),MATCH($I15,Profile!$1:$1,0),4))="","",INDIRECT("Profile"&amp;"!"&amp;ADDRESS(MATCH(N$2,Profile!$C$1:$C$20,0),MATCH($I15,Profile!$1:$1,0)))))</f>
        <v/>
      </c>
      <c r="O15" s="3" t="str" cm="1">
        <f t="array" aca="1" ref="O15" ca="1">IFERROR(IF($J15="","",INDIRECT("Profile"&amp;"!"&amp;ADDRESS(MATCH(O$2,Profile!$C$1:$C$20,0),MATCH($I15,Profile!$1:$1,0),4))),"")</f>
        <v/>
      </c>
      <c r="P15" s="9" t="str" cm="1">
        <f t="array" aca="1" ref="P15" ca="1">IFERROR(IF($J15="","",INDIRECT("Profile"&amp;"!"&amp;ADDRESS(MATCH(P$2,Profile!$C$1:$C$20,0),MATCH($I15,Profile!$1:$1,0),4))),"")</f>
        <v/>
      </c>
      <c r="Q15" s="3" t="str" cm="1">
        <f t="array" aca="1" ref="Q15" ca="1">IFERROR(IF($J15="","",INDIRECT("Profile"&amp;"!"&amp;ADDRESS(MATCH(Q$2,Profile!$C$1:$C$20,0),MATCH($I15,Profile!$1:$1,0),4))),"")</f>
        <v/>
      </c>
      <c r="R15" s="3" t="str" cm="1">
        <f t="array" aca="1" ref="R15" ca="1">IFERROR(IF($J15="","",INDIRECT("Profile"&amp;"!"&amp;ADDRESS(MATCH(R$2,Profile!$C$1:$C$20,0),MATCH($I15,Profile!$1:$1,0),4))),"")</f>
        <v/>
      </c>
      <c r="S15" s="3" t="str" cm="1">
        <f t="array" aca="1" ref="S15" ca="1">IFERROR(IF($J15="","",INDIRECT("Profile"&amp;"!"&amp;ADDRESS(MATCH(S$2,Profile!$C$1:$C$20,0),MATCH($I15,Profile!$1:$1,0),4))),"")</f>
        <v/>
      </c>
      <c r="T15" s="3" t="str" cm="1">
        <f t="array" aca="1" ref="T15" ca="1">IFERROR(IF($J15="","",INDIRECT("Profile"&amp;"!"&amp;ADDRESS(MATCH(T$2,Profile!$C$1:$C$20,0),MATCH($I15,Profile!$1:$1,0),4))),"")</f>
        <v/>
      </c>
      <c r="U15" s="38" t="str" cm="1">
        <f t="array" aca="1" ref="U15" ca="1">IFERROR(IF(INDIRECT("ID"&amp;"!"&amp;ADDRESS(MATCH($J15,ID!$B:$B,0),MATCH($U$1,ID!$1:$1,0),4))="","",INDIRECT("ID"&amp;"!"&amp;ADDRESS(MATCH($J15,ID!$B:$B,0),MATCH($U$1,ID!$1:$1,0),4))),"")</f>
        <v/>
      </c>
      <c r="X15" s="7">
        <v>-1.1000000000000001</v>
      </c>
      <c r="Y15" s="7" t="str" cm="1">
        <f t="array" aca="1" ref="Y15" ca="1">IFERROR(IF(INDIRECT("Profile"&amp;"!"&amp;ADDRESS(MATCH($X$2,Profile!$D$1:$D$20,0)+ROW($X15)-ROW($X$2),MATCH(Y$1,Profile!$2:$2,0),4))="","",INDIRECT("Profile"&amp;"!"&amp;ADDRESS(MATCH($X$2,Profile!$D$1:$D$20,0)+ROW($X15)-ROW($X$2),MATCH(Y$1,Profile!$2:$2,0),4))),"")</f>
        <v/>
      </c>
      <c r="Z15" s="2" t="str" cm="1">
        <f t="array" aca="1" ref="Z15" ca="1">IFERROR(IF(INDIRECT("Profile"&amp;"!"&amp;ADDRESS(MATCH($X$2,Profile!$D$1:$D$20,0)+ROW($X15)-ROW($X$2),MATCH(Z$1,Profile!$2:$2,0),4))="","",INDIRECT("Profile"&amp;"!"&amp;ADDRESS(MATCH($X$2,Profile!$D$1:$D$20,0)+ROW($X15)-ROW($X$2),MATCH(Z$1,Profile!$2:$2,0),4))),"")</f>
        <v/>
      </c>
      <c r="AA15" s="2" t="str" cm="1">
        <f t="array" aca="1" ref="AA15" ca="1">IFERROR(IF(INDIRECT("Profile"&amp;"!"&amp;ADDRESS(MATCH($X$2,Profile!$D$1:$D$20,0)+ROW($X15)-ROW($X$2),MATCH(AA$1,Profile!$2:$2,0),4))="","",INDIRECT("Profile"&amp;"!"&amp;ADDRESS(MATCH($X$2,Profile!$D$1:$D$20,0)+ROW($X15)-ROW($X$2),MATCH(AA$1,Profile!$2:$2,0),4))),"")</f>
        <v/>
      </c>
      <c r="AB15" s="2" t="str" cm="1">
        <f t="array" aca="1" ref="AB15" ca="1">IFERROR(IF(INDIRECT("Profile"&amp;"!"&amp;ADDRESS(MATCH($X$2,Profile!$D$1:$D$20,0)+ROW($X15)-ROW($X$2),MATCH(AB$1,Profile!$2:$2,0),4))="","",INDIRECT("Profile"&amp;"!"&amp;ADDRESS(MATCH($X$2,Profile!$D$1:$D$20,0)+ROW($X15)-ROW($X$2),MATCH(AB$1,Profile!$2:$2,0),4))),"")</f>
        <v/>
      </c>
      <c r="AC15" s="2" t="str" cm="1">
        <f t="array" aca="1" ref="AC15" ca="1">IFERROR(IF(INDIRECT("Profile"&amp;"!"&amp;ADDRESS(MATCH($X$2,Profile!$D$1:$D$20,0)+ROW($X15)-ROW($X$2),MATCH(AC$1,Profile!$2:$2,0),4))="","",INDIRECT("Profile"&amp;"!"&amp;ADDRESS(MATCH($X$2,Profile!$D$1:$D$20,0)+ROW($X15)-ROW($X$2),MATCH(AC$1,Profile!$2:$2,0),4))),"")</f>
        <v/>
      </c>
      <c r="AD15" s="2" t="str" cm="1">
        <f t="array" aca="1" ref="AD15" ca="1">IFERROR(IF(INDIRECT("Profile"&amp;"!"&amp;ADDRESS(MATCH($X$2,Profile!$D$1:$D$20,0)+ROW($X15)-ROW($X$2),MATCH(AD$1,Profile!$2:$2,0),4))="","",INDIRECT("Profile"&amp;"!"&amp;ADDRESS(MATCH($X$2,Profile!$D$1:$D$20,0)+ROW($X15)-ROW($X$2),MATCH(AD$1,Profile!$2:$2,0),4))),"")</f>
        <v/>
      </c>
      <c r="AE15" s="2" t="str" cm="1">
        <f t="array" aca="1" ref="AE15" ca="1">IFERROR(IF(INDIRECT("Profile"&amp;"!"&amp;ADDRESS(MATCH($X$2,Profile!$D$1:$D$20,0)+ROW($X15)-ROW($X$2),MATCH(AE$1,Profile!$2:$2,0),4))="","",INDIRECT("Profile"&amp;"!"&amp;ADDRESS(MATCH($X$2,Profile!$D$1:$D$20,0)+ROW($X15)-ROW($X$2),MATCH(AE$1,Profile!$2:$2,0),4))),"")</f>
        <v/>
      </c>
      <c r="AF15" s="2" t="str" cm="1">
        <f t="array" aca="1" ref="AF15" ca="1">IFERROR(IF(INDIRECT("Profile"&amp;"!"&amp;ADDRESS(MATCH($X$2,Profile!$D$1:$D$20,0)+ROW($X15)-ROW($X$2),MATCH(AF$1,Profile!$2:$2,0),4))="","",INDIRECT("Profile"&amp;"!"&amp;ADDRESS(MATCH($X$2,Profile!$D$1:$D$20,0)+ROW($X15)-ROW($X$2),MATCH(AF$1,Profile!$2:$2,0),4))),"")</f>
        <v/>
      </c>
      <c r="AG15" s="2" t="str" cm="1">
        <f t="array" aca="1" ref="AG15" ca="1">IFERROR(IF(INDIRECT("Profile"&amp;"!"&amp;ADDRESS(MATCH($X$2,Profile!$D$1:$D$20,0)+ROW($X15)-ROW($X$2),MATCH(AG$1,Profile!$2:$2,0),4))="","",INDIRECT("Profile"&amp;"!"&amp;ADDRESS(MATCH($X$2,Profile!$D$1:$D$20,0)+ROW($X15)-ROW($X$2),MATCH(AG$1,Profile!$2:$2,0),4))),"")</f>
        <v/>
      </c>
      <c r="AH15" s="2" t="str" cm="1">
        <f t="array" aca="1" ref="AH15" ca="1">IFERROR(IF(INDIRECT("Profile"&amp;"!"&amp;ADDRESS(MATCH($X$2,Profile!$D$1:$D$20,0)+ROW($X15)-ROW($X$2),MATCH(AH$1,Profile!$2:$2,0),4))="","",INDIRECT("Profile"&amp;"!"&amp;ADDRESS(MATCH($X$2,Profile!$D$1:$D$20,0)+ROW($X15)-ROW($X$2),MATCH(AH$1,Profile!$2:$2,0),4))),"")</f>
        <v/>
      </c>
      <c r="AI15" s="2" t="str" cm="1">
        <f t="array" aca="1" ref="AI15" ca="1">IFERROR(IF(INDIRECT("Profile"&amp;"!"&amp;ADDRESS(MATCH($X$2,Profile!$D$1:$D$20,0)+ROW($X15)-ROW($X$2),MATCH(AI$1,Profile!$2:$2,0),4))="","",INDIRECT("Profile"&amp;"!"&amp;ADDRESS(MATCH($X$2,Profile!$D$1:$D$20,0)+ROW($X15)-ROW($X$2),MATCH(AI$1,Profile!$2:$2,0),4))),"")</f>
        <v/>
      </c>
      <c r="AJ15" s="2" t="str" cm="1">
        <f t="array" aca="1" ref="AJ15" ca="1">IFERROR(IF(INDIRECT("Profile"&amp;"!"&amp;ADDRESS(MATCH($X$2,Profile!$D$1:$D$20,0)+ROW($X15)-ROW($X$2),MATCH(AJ$1,Profile!$2:$2,0),4))="","",INDIRECT("Profile"&amp;"!"&amp;ADDRESS(MATCH($X$2,Profile!$D$1:$D$20,0)+ROW($X15)-ROW($X$2),MATCH(AJ$1,Profile!$2:$2,0),4))),"")</f>
        <v/>
      </c>
      <c r="AK15" s="2" t="str" cm="1">
        <f t="array" aca="1" ref="AK15" ca="1">IFERROR(IF(INDIRECT("Profile"&amp;"!"&amp;ADDRESS(MATCH($X$2,Profile!$D$1:$D$20,0)+ROW($X15)-ROW($X$2),MATCH(AK$1,Profile!$2:$2,0),4))="","",INDIRECT("Profile"&amp;"!"&amp;ADDRESS(MATCH($X$2,Profile!$D$1:$D$20,0)+ROW($X15)-ROW($X$2),MATCH(AK$1,Profile!$2:$2,0),4))),"")</f>
        <v/>
      </c>
      <c r="AL15" s="2" t="str" cm="1">
        <f t="array" aca="1" ref="AL15" ca="1">IFERROR(IF(INDIRECT("Profile"&amp;"!"&amp;ADDRESS(MATCH($X$2,Profile!$D$1:$D$20,0)+ROW($X15)-ROW($X$2),MATCH(AL$1,Profile!$2:$2,0),4))="","",INDIRECT("Profile"&amp;"!"&amp;ADDRESS(MATCH($X$2,Profile!$D$1:$D$20,0)+ROW($X15)-ROW($X$2),MATCH(AL$1,Profile!$2:$2,0),4))),"")</f>
        <v/>
      </c>
      <c r="AM15" s="2" t="str" cm="1">
        <f t="array" aca="1" ref="AM15" ca="1">IFERROR(IF(INDIRECT("Profile"&amp;"!"&amp;ADDRESS(MATCH($X$2,Profile!$D$1:$D$20,0)+ROW($X15)-ROW($X$2),MATCH(AM$1,Profile!$2:$2,0),4))="","",INDIRECT("Profile"&amp;"!"&amp;ADDRESS(MATCH($X$2,Profile!$D$1:$D$20,0)+ROW($X15)-ROW($X$2),MATCH(AM$1,Profile!$2:$2,0),4))),"")</f>
        <v/>
      </c>
      <c r="AN15" s="2" t="str" cm="1">
        <f t="array" aca="1" ref="AN15" ca="1">IFERROR(IF(INDIRECT("Profile"&amp;"!"&amp;ADDRESS(MATCH($X$2,Profile!$D$1:$D$20,0)+ROW($X15)-ROW($X$2),MATCH(AN$1,Profile!$2:$2,0),4))="","",INDIRECT("Profile"&amp;"!"&amp;ADDRESS(MATCH($X$2,Profile!$D$1:$D$20,0)+ROW($X15)-ROW($X$2),MATCH(AN$1,Profile!$2:$2,0),4))),"")</f>
        <v/>
      </c>
    </row>
    <row r="16" spans="9:40" x14ac:dyDescent="0.25">
      <c r="I16" s="7">
        <v>13</v>
      </c>
      <c r="J16" s="7" t="str" cm="1">
        <f t="array" aca="1" ref="J16" ca="1">IFERROR(IF(INDIRECT("Profile"&amp;"!"&amp;ADDRESS(MATCH(J$1,Profile!$A$1:$A$20,0),MATCH($I16,Profile!$1:$1,0),4))="","",INDIRECT("Profile"&amp;"!"&amp;ADDRESS(MATCH(J$1,Profile!$A$1:$A$20,0),MATCH($I16,Profile!$1:$1,0),4))),"")</f>
        <v/>
      </c>
      <c r="K16" s="9" t="str" cm="1">
        <f t="array" aca="1" ref="K16" ca="1">IF($J16="","",IF(INDIRECT("Profile"&amp;"!"&amp;ADDRESS(MATCH(K$2,Profile!$C$1:$C$20,0),MATCH($I16,Profile!$1:$1,0),4))="","",INDIRECT("Profile"&amp;"!"&amp;ADDRESS(MATCH(K$2,Profile!$C$1:$C$20,0),MATCH($I16,Profile!$1:$1,0)))))</f>
        <v/>
      </c>
      <c r="L16" s="3" t="str" cm="1">
        <f t="array" aca="1" ref="L16" ca="1">IF($J16="","",IF(INDIRECT("Profile"&amp;"!"&amp;ADDRESS(MATCH(L$2,Profile!$C$1:$C$20,0),MATCH($I16,Profile!$1:$1,0),4))="","",INDIRECT("Profile"&amp;"!"&amp;ADDRESS(MATCH(L$2,Profile!$C$1:$C$20,0),MATCH($I16,Profile!$1:$1,0)))))</f>
        <v/>
      </c>
      <c r="M16" s="9" t="str" cm="1">
        <f t="array" aca="1" ref="M16" ca="1">IF($J16="","",IF(INDIRECT("Profile"&amp;"!"&amp;ADDRESS(MATCH(M$2,Profile!$C$1:$C$20,0),MATCH($I16,Profile!$1:$1,0),4))="","",INDIRECT("Profile"&amp;"!"&amp;ADDRESS(MATCH(M$2,Profile!$C$1:$C$20,0),MATCH($I16,Profile!$1:$1,0)))))</f>
        <v/>
      </c>
      <c r="N16" s="3" t="str" cm="1">
        <f t="array" aca="1" ref="N16" ca="1">IF($J16="","",IF(INDIRECT("Profile"&amp;"!"&amp;ADDRESS(MATCH(N$2,Profile!$C$1:$C$20,0),MATCH($I16,Profile!$1:$1,0),4))="","",INDIRECT("Profile"&amp;"!"&amp;ADDRESS(MATCH(N$2,Profile!$C$1:$C$20,0),MATCH($I16,Profile!$1:$1,0)))))</f>
        <v/>
      </c>
      <c r="O16" s="3" t="str" cm="1">
        <f t="array" aca="1" ref="O16" ca="1">IFERROR(IF($J16="","",INDIRECT("Profile"&amp;"!"&amp;ADDRESS(MATCH(O$2,Profile!$C$1:$C$20,0),MATCH($I16,Profile!$1:$1,0),4))),"")</f>
        <v/>
      </c>
      <c r="P16" s="9" t="str" cm="1">
        <f t="array" aca="1" ref="P16" ca="1">IFERROR(IF($J16="","",INDIRECT("Profile"&amp;"!"&amp;ADDRESS(MATCH(P$2,Profile!$C$1:$C$20,0),MATCH($I16,Profile!$1:$1,0),4))),"")</f>
        <v/>
      </c>
      <c r="Q16" s="3" t="str" cm="1">
        <f t="array" aca="1" ref="Q16" ca="1">IFERROR(IF($J16="","",INDIRECT("Profile"&amp;"!"&amp;ADDRESS(MATCH(Q$2,Profile!$C$1:$C$20,0),MATCH($I16,Profile!$1:$1,0),4))),"")</f>
        <v/>
      </c>
      <c r="R16" s="3" t="str" cm="1">
        <f t="array" aca="1" ref="R16" ca="1">IFERROR(IF($J16="","",INDIRECT("Profile"&amp;"!"&amp;ADDRESS(MATCH(R$2,Profile!$C$1:$C$20,0),MATCH($I16,Profile!$1:$1,0),4))),"")</f>
        <v/>
      </c>
      <c r="S16" s="3" t="str" cm="1">
        <f t="array" aca="1" ref="S16" ca="1">IFERROR(IF($J16="","",INDIRECT("Profile"&amp;"!"&amp;ADDRESS(MATCH(S$2,Profile!$C$1:$C$20,0),MATCH($I16,Profile!$1:$1,0),4))),"")</f>
        <v/>
      </c>
      <c r="T16" s="3" t="str" cm="1">
        <f t="array" aca="1" ref="T16" ca="1">IFERROR(IF($J16="","",INDIRECT("Profile"&amp;"!"&amp;ADDRESS(MATCH(T$2,Profile!$C$1:$C$20,0),MATCH($I16,Profile!$1:$1,0),4))),"")</f>
        <v/>
      </c>
      <c r="U16" s="38" t="str" cm="1">
        <f t="array" aca="1" ref="U16" ca="1">IFERROR(IF(INDIRECT("ID"&amp;"!"&amp;ADDRESS(MATCH($J16,ID!$B:$B,0),MATCH($U$1,ID!$1:$1,0),4))="","",INDIRECT("ID"&amp;"!"&amp;ADDRESS(MATCH($J16,ID!$B:$B,0),MATCH($U$1,ID!$1:$1,0),4))),"")</f>
        <v/>
      </c>
      <c r="X16" s="7">
        <v>-1.2</v>
      </c>
      <c r="Y16" s="7" t="str" cm="1">
        <f t="array" aca="1" ref="Y16" ca="1">IFERROR(IF(INDIRECT("Profile"&amp;"!"&amp;ADDRESS(MATCH($X$2,Profile!$D$1:$D$20,0)+ROW($X16)-ROW($X$2),MATCH(Y$1,Profile!$2:$2,0),4))="","",INDIRECT("Profile"&amp;"!"&amp;ADDRESS(MATCH($X$2,Profile!$D$1:$D$20,0)+ROW($X16)-ROW($X$2),MATCH(Y$1,Profile!$2:$2,0),4))),"")</f>
        <v/>
      </c>
      <c r="Z16" s="2" t="str" cm="1">
        <f t="array" aca="1" ref="Z16" ca="1">IFERROR(IF(INDIRECT("Profile"&amp;"!"&amp;ADDRESS(MATCH($X$2,Profile!$D$1:$D$20,0)+ROW($X16)-ROW($X$2),MATCH(Z$1,Profile!$2:$2,0),4))="","",INDIRECT("Profile"&amp;"!"&amp;ADDRESS(MATCH($X$2,Profile!$D$1:$D$20,0)+ROW($X16)-ROW($X$2),MATCH(Z$1,Profile!$2:$2,0),4))),"")</f>
        <v/>
      </c>
      <c r="AA16" s="2" t="str" cm="1">
        <f t="array" aca="1" ref="AA16" ca="1">IFERROR(IF(INDIRECT("Profile"&amp;"!"&amp;ADDRESS(MATCH($X$2,Profile!$D$1:$D$20,0)+ROW($X16)-ROW($X$2),MATCH(AA$1,Profile!$2:$2,0),4))="","",INDIRECT("Profile"&amp;"!"&amp;ADDRESS(MATCH($X$2,Profile!$D$1:$D$20,0)+ROW($X16)-ROW($X$2),MATCH(AA$1,Profile!$2:$2,0),4))),"")</f>
        <v/>
      </c>
      <c r="AB16" s="2" t="str" cm="1">
        <f t="array" aca="1" ref="AB16" ca="1">IFERROR(IF(INDIRECT("Profile"&amp;"!"&amp;ADDRESS(MATCH($X$2,Profile!$D$1:$D$20,0)+ROW($X16)-ROW($X$2),MATCH(AB$1,Profile!$2:$2,0),4))="","",INDIRECT("Profile"&amp;"!"&amp;ADDRESS(MATCH($X$2,Profile!$D$1:$D$20,0)+ROW($X16)-ROW($X$2),MATCH(AB$1,Profile!$2:$2,0),4))),"")</f>
        <v/>
      </c>
      <c r="AC16" s="2" t="str" cm="1">
        <f t="array" aca="1" ref="AC16" ca="1">IFERROR(IF(INDIRECT("Profile"&amp;"!"&amp;ADDRESS(MATCH($X$2,Profile!$D$1:$D$20,0)+ROW($X16)-ROW($X$2),MATCH(AC$1,Profile!$2:$2,0),4))="","",INDIRECT("Profile"&amp;"!"&amp;ADDRESS(MATCH($X$2,Profile!$D$1:$D$20,0)+ROW($X16)-ROW($X$2),MATCH(AC$1,Profile!$2:$2,0),4))),"")</f>
        <v/>
      </c>
      <c r="AD16" s="2" t="str" cm="1">
        <f t="array" aca="1" ref="AD16" ca="1">IFERROR(IF(INDIRECT("Profile"&amp;"!"&amp;ADDRESS(MATCH($X$2,Profile!$D$1:$D$20,0)+ROW($X16)-ROW($X$2),MATCH(AD$1,Profile!$2:$2,0),4))="","",INDIRECT("Profile"&amp;"!"&amp;ADDRESS(MATCH($X$2,Profile!$D$1:$D$20,0)+ROW($X16)-ROW($X$2),MATCH(AD$1,Profile!$2:$2,0),4))),"")</f>
        <v/>
      </c>
      <c r="AE16" s="2" t="str" cm="1">
        <f t="array" aca="1" ref="AE16" ca="1">IFERROR(IF(INDIRECT("Profile"&amp;"!"&amp;ADDRESS(MATCH($X$2,Profile!$D$1:$D$20,0)+ROW($X16)-ROW($X$2),MATCH(AE$1,Profile!$2:$2,0),4))="","",INDIRECT("Profile"&amp;"!"&amp;ADDRESS(MATCH($X$2,Profile!$D$1:$D$20,0)+ROW($X16)-ROW($X$2),MATCH(AE$1,Profile!$2:$2,0),4))),"")</f>
        <v/>
      </c>
      <c r="AF16" s="2" t="str" cm="1">
        <f t="array" aca="1" ref="AF16" ca="1">IFERROR(IF(INDIRECT("Profile"&amp;"!"&amp;ADDRESS(MATCH($X$2,Profile!$D$1:$D$20,0)+ROW($X16)-ROW($X$2),MATCH(AF$1,Profile!$2:$2,0),4))="","",INDIRECT("Profile"&amp;"!"&amp;ADDRESS(MATCH($X$2,Profile!$D$1:$D$20,0)+ROW($X16)-ROW($X$2),MATCH(AF$1,Profile!$2:$2,0),4))),"")</f>
        <v/>
      </c>
      <c r="AG16" s="2" t="str" cm="1">
        <f t="array" aca="1" ref="AG16" ca="1">IFERROR(IF(INDIRECT("Profile"&amp;"!"&amp;ADDRESS(MATCH($X$2,Profile!$D$1:$D$20,0)+ROW($X16)-ROW($X$2),MATCH(AG$1,Profile!$2:$2,0),4))="","",INDIRECT("Profile"&amp;"!"&amp;ADDRESS(MATCH($X$2,Profile!$D$1:$D$20,0)+ROW($X16)-ROW($X$2),MATCH(AG$1,Profile!$2:$2,0),4))),"")</f>
        <v/>
      </c>
      <c r="AH16" s="2" t="str" cm="1">
        <f t="array" aca="1" ref="AH16" ca="1">IFERROR(IF(INDIRECT("Profile"&amp;"!"&amp;ADDRESS(MATCH($X$2,Profile!$D$1:$D$20,0)+ROW($X16)-ROW($X$2),MATCH(AH$1,Profile!$2:$2,0),4))="","",INDIRECT("Profile"&amp;"!"&amp;ADDRESS(MATCH($X$2,Profile!$D$1:$D$20,0)+ROW($X16)-ROW($X$2),MATCH(AH$1,Profile!$2:$2,0),4))),"")</f>
        <v/>
      </c>
      <c r="AI16" s="2" t="str" cm="1">
        <f t="array" aca="1" ref="AI16" ca="1">IFERROR(IF(INDIRECT("Profile"&amp;"!"&amp;ADDRESS(MATCH($X$2,Profile!$D$1:$D$20,0)+ROW($X16)-ROW($X$2),MATCH(AI$1,Profile!$2:$2,0),4))="","",INDIRECT("Profile"&amp;"!"&amp;ADDRESS(MATCH($X$2,Profile!$D$1:$D$20,0)+ROW($X16)-ROW($X$2),MATCH(AI$1,Profile!$2:$2,0),4))),"")</f>
        <v/>
      </c>
      <c r="AJ16" s="2" t="str" cm="1">
        <f t="array" aca="1" ref="AJ16" ca="1">IFERROR(IF(INDIRECT("Profile"&amp;"!"&amp;ADDRESS(MATCH($X$2,Profile!$D$1:$D$20,0)+ROW($X16)-ROW($X$2),MATCH(AJ$1,Profile!$2:$2,0),4))="","",INDIRECT("Profile"&amp;"!"&amp;ADDRESS(MATCH($X$2,Profile!$D$1:$D$20,0)+ROW($X16)-ROW($X$2),MATCH(AJ$1,Profile!$2:$2,0),4))),"")</f>
        <v/>
      </c>
      <c r="AK16" s="2" t="str" cm="1">
        <f t="array" aca="1" ref="AK16" ca="1">IFERROR(IF(INDIRECT("Profile"&amp;"!"&amp;ADDRESS(MATCH($X$2,Profile!$D$1:$D$20,0)+ROW($X16)-ROW($X$2),MATCH(AK$1,Profile!$2:$2,0),4))="","",INDIRECT("Profile"&amp;"!"&amp;ADDRESS(MATCH($X$2,Profile!$D$1:$D$20,0)+ROW($X16)-ROW($X$2),MATCH(AK$1,Profile!$2:$2,0),4))),"")</f>
        <v/>
      </c>
      <c r="AL16" s="2" t="str" cm="1">
        <f t="array" aca="1" ref="AL16" ca="1">IFERROR(IF(INDIRECT("Profile"&amp;"!"&amp;ADDRESS(MATCH($X$2,Profile!$D$1:$D$20,0)+ROW($X16)-ROW($X$2),MATCH(AL$1,Profile!$2:$2,0),4))="","",INDIRECT("Profile"&amp;"!"&amp;ADDRESS(MATCH($X$2,Profile!$D$1:$D$20,0)+ROW($X16)-ROW($X$2),MATCH(AL$1,Profile!$2:$2,0),4))),"")</f>
        <v/>
      </c>
      <c r="AM16" s="2" t="str" cm="1">
        <f t="array" aca="1" ref="AM16" ca="1">IFERROR(IF(INDIRECT("Profile"&amp;"!"&amp;ADDRESS(MATCH($X$2,Profile!$D$1:$D$20,0)+ROW($X16)-ROW($X$2),MATCH(AM$1,Profile!$2:$2,0),4))="","",INDIRECT("Profile"&amp;"!"&amp;ADDRESS(MATCH($X$2,Profile!$D$1:$D$20,0)+ROW($X16)-ROW($X$2),MATCH(AM$1,Profile!$2:$2,0),4))),"")</f>
        <v/>
      </c>
      <c r="AN16" s="2" t="str" cm="1">
        <f t="array" aca="1" ref="AN16" ca="1">IFERROR(IF(INDIRECT("Profile"&amp;"!"&amp;ADDRESS(MATCH($X$2,Profile!$D$1:$D$20,0)+ROW($X16)-ROW($X$2),MATCH(AN$1,Profile!$2:$2,0),4))="","",INDIRECT("Profile"&amp;"!"&amp;ADDRESS(MATCH($X$2,Profile!$D$1:$D$20,0)+ROW($X16)-ROW($X$2),MATCH(AN$1,Profile!$2:$2,0),4))),"")</f>
        <v/>
      </c>
    </row>
    <row r="17" spans="9:40" x14ac:dyDescent="0.25">
      <c r="I17" s="7">
        <v>14</v>
      </c>
      <c r="J17" s="7" t="str" cm="1">
        <f t="array" aca="1" ref="J17" ca="1">IFERROR(IF(INDIRECT("Profile"&amp;"!"&amp;ADDRESS(MATCH(J$1,Profile!$A$1:$A$20,0),MATCH($I17,Profile!$1:$1,0),4))="","",INDIRECT("Profile"&amp;"!"&amp;ADDRESS(MATCH(J$1,Profile!$A$1:$A$20,0),MATCH($I17,Profile!$1:$1,0),4))),"")</f>
        <v/>
      </c>
      <c r="K17" s="9" t="str" cm="1">
        <f t="array" aca="1" ref="K17" ca="1">IF($J17="","",IF(INDIRECT("Profile"&amp;"!"&amp;ADDRESS(MATCH(K$2,Profile!$C$1:$C$20,0),MATCH($I17,Profile!$1:$1,0),4))="","",INDIRECT("Profile"&amp;"!"&amp;ADDRESS(MATCH(K$2,Profile!$C$1:$C$20,0),MATCH($I17,Profile!$1:$1,0)))))</f>
        <v/>
      </c>
      <c r="L17" s="3" t="str" cm="1">
        <f t="array" aca="1" ref="L17" ca="1">IF($J17="","",IF(INDIRECT("Profile"&amp;"!"&amp;ADDRESS(MATCH(L$2,Profile!$C$1:$C$20,0),MATCH($I17,Profile!$1:$1,0),4))="","",INDIRECT("Profile"&amp;"!"&amp;ADDRESS(MATCH(L$2,Profile!$C$1:$C$20,0),MATCH($I17,Profile!$1:$1,0)))))</f>
        <v/>
      </c>
      <c r="M17" s="9" t="str" cm="1">
        <f t="array" aca="1" ref="M17" ca="1">IF($J17="","",IF(INDIRECT("Profile"&amp;"!"&amp;ADDRESS(MATCH(M$2,Profile!$C$1:$C$20,0),MATCH($I17,Profile!$1:$1,0),4))="","",INDIRECT("Profile"&amp;"!"&amp;ADDRESS(MATCH(M$2,Profile!$C$1:$C$20,0),MATCH($I17,Profile!$1:$1,0)))))</f>
        <v/>
      </c>
      <c r="N17" s="3" t="str" cm="1">
        <f t="array" aca="1" ref="N17" ca="1">IF($J17="","",IF(INDIRECT("Profile"&amp;"!"&amp;ADDRESS(MATCH(N$2,Profile!$C$1:$C$20,0),MATCH($I17,Profile!$1:$1,0),4))="","",INDIRECT("Profile"&amp;"!"&amp;ADDRESS(MATCH(N$2,Profile!$C$1:$C$20,0),MATCH($I17,Profile!$1:$1,0)))))</f>
        <v/>
      </c>
      <c r="O17" s="3" t="str" cm="1">
        <f t="array" aca="1" ref="O17" ca="1">IFERROR(IF($J17="","",INDIRECT("Profile"&amp;"!"&amp;ADDRESS(MATCH(O$2,Profile!$C$1:$C$20,0),MATCH($I17,Profile!$1:$1,0),4))),"")</f>
        <v/>
      </c>
      <c r="P17" s="9" t="str" cm="1">
        <f t="array" aca="1" ref="P17" ca="1">IFERROR(IF($J17="","",INDIRECT("Profile"&amp;"!"&amp;ADDRESS(MATCH(P$2,Profile!$C$1:$C$20,0),MATCH($I17,Profile!$1:$1,0),4))),"")</f>
        <v/>
      </c>
      <c r="Q17" s="3" t="str" cm="1">
        <f t="array" aca="1" ref="Q17" ca="1">IFERROR(IF($J17="","",INDIRECT("Profile"&amp;"!"&amp;ADDRESS(MATCH(Q$2,Profile!$C$1:$C$20,0),MATCH($I17,Profile!$1:$1,0),4))),"")</f>
        <v/>
      </c>
      <c r="R17" s="3" t="str" cm="1">
        <f t="array" aca="1" ref="R17" ca="1">IFERROR(IF($J17="","",INDIRECT("Profile"&amp;"!"&amp;ADDRESS(MATCH(R$2,Profile!$C$1:$C$20,0),MATCH($I17,Profile!$1:$1,0),4))),"")</f>
        <v/>
      </c>
      <c r="S17" s="3" t="str" cm="1">
        <f t="array" aca="1" ref="S17" ca="1">IFERROR(IF($J17="","",INDIRECT("Profile"&amp;"!"&amp;ADDRESS(MATCH(S$2,Profile!$C$1:$C$20,0),MATCH($I17,Profile!$1:$1,0),4))),"")</f>
        <v/>
      </c>
      <c r="T17" s="3" t="str" cm="1">
        <f t="array" aca="1" ref="T17" ca="1">IFERROR(IF($J17="","",INDIRECT("Profile"&amp;"!"&amp;ADDRESS(MATCH(T$2,Profile!$C$1:$C$20,0),MATCH($I17,Profile!$1:$1,0),4))),"")</f>
        <v/>
      </c>
      <c r="U17" s="38" t="str" cm="1">
        <f t="array" aca="1" ref="U17" ca="1">IFERROR(IF(INDIRECT("ID"&amp;"!"&amp;ADDRESS(MATCH($J17,ID!$B:$B,0),MATCH($U$1,ID!$1:$1,0),4))="","",INDIRECT("ID"&amp;"!"&amp;ADDRESS(MATCH($J17,ID!$B:$B,0),MATCH($U$1,ID!$1:$1,0),4))),"")</f>
        <v/>
      </c>
      <c r="X17" s="7">
        <v>-1.3</v>
      </c>
      <c r="Y17" s="7" t="str" cm="1">
        <f t="array" aca="1" ref="Y17" ca="1">IFERROR(IF(INDIRECT("Profile"&amp;"!"&amp;ADDRESS(MATCH($X$2,Profile!$D$1:$D$20,0)+ROW($X17)-ROW($X$2),MATCH(Y$1,Profile!$2:$2,0),4))="","",INDIRECT("Profile"&amp;"!"&amp;ADDRESS(MATCH($X$2,Profile!$D$1:$D$20,0)+ROW($X17)-ROW($X$2),MATCH(Y$1,Profile!$2:$2,0),4))),"")</f>
        <v/>
      </c>
      <c r="Z17" s="2" t="str" cm="1">
        <f t="array" aca="1" ref="Z17" ca="1">IFERROR(IF(INDIRECT("Profile"&amp;"!"&amp;ADDRESS(MATCH($X$2,Profile!$D$1:$D$20,0)+ROW($X17)-ROW($X$2),MATCH(Z$1,Profile!$2:$2,0),4))="","",INDIRECT("Profile"&amp;"!"&amp;ADDRESS(MATCH($X$2,Profile!$D$1:$D$20,0)+ROW($X17)-ROW($X$2),MATCH(Z$1,Profile!$2:$2,0),4))),"")</f>
        <v/>
      </c>
      <c r="AA17" s="2" t="str" cm="1">
        <f t="array" aca="1" ref="AA17" ca="1">IFERROR(IF(INDIRECT("Profile"&amp;"!"&amp;ADDRESS(MATCH($X$2,Profile!$D$1:$D$20,0)+ROW($X17)-ROW($X$2),MATCH(AA$1,Profile!$2:$2,0),4))="","",INDIRECT("Profile"&amp;"!"&amp;ADDRESS(MATCH($X$2,Profile!$D$1:$D$20,0)+ROW($X17)-ROW($X$2),MATCH(AA$1,Profile!$2:$2,0),4))),"")</f>
        <v/>
      </c>
      <c r="AB17" s="2" t="str" cm="1">
        <f t="array" aca="1" ref="AB17" ca="1">IFERROR(IF(INDIRECT("Profile"&amp;"!"&amp;ADDRESS(MATCH($X$2,Profile!$D$1:$D$20,0)+ROW($X17)-ROW($X$2),MATCH(AB$1,Profile!$2:$2,0),4))="","",INDIRECT("Profile"&amp;"!"&amp;ADDRESS(MATCH($X$2,Profile!$D$1:$D$20,0)+ROW($X17)-ROW($X$2),MATCH(AB$1,Profile!$2:$2,0),4))),"")</f>
        <v/>
      </c>
      <c r="AC17" s="2" t="str" cm="1">
        <f t="array" aca="1" ref="AC17" ca="1">IFERROR(IF(INDIRECT("Profile"&amp;"!"&amp;ADDRESS(MATCH($X$2,Profile!$D$1:$D$20,0)+ROW($X17)-ROW($X$2),MATCH(AC$1,Profile!$2:$2,0),4))="","",INDIRECT("Profile"&amp;"!"&amp;ADDRESS(MATCH($X$2,Profile!$D$1:$D$20,0)+ROW($X17)-ROW($X$2),MATCH(AC$1,Profile!$2:$2,0),4))),"")</f>
        <v/>
      </c>
      <c r="AD17" s="2" t="str" cm="1">
        <f t="array" aca="1" ref="AD17" ca="1">IFERROR(IF(INDIRECT("Profile"&amp;"!"&amp;ADDRESS(MATCH($X$2,Profile!$D$1:$D$20,0)+ROW($X17)-ROW($X$2),MATCH(AD$1,Profile!$2:$2,0),4))="","",INDIRECT("Profile"&amp;"!"&amp;ADDRESS(MATCH($X$2,Profile!$D$1:$D$20,0)+ROW($X17)-ROW($X$2),MATCH(AD$1,Profile!$2:$2,0),4))),"")</f>
        <v/>
      </c>
      <c r="AE17" s="2" t="str" cm="1">
        <f t="array" aca="1" ref="AE17" ca="1">IFERROR(IF(INDIRECT("Profile"&amp;"!"&amp;ADDRESS(MATCH($X$2,Profile!$D$1:$D$20,0)+ROW($X17)-ROW($X$2),MATCH(AE$1,Profile!$2:$2,0),4))="","",INDIRECT("Profile"&amp;"!"&amp;ADDRESS(MATCH($X$2,Profile!$D$1:$D$20,0)+ROW($X17)-ROW($X$2),MATCH(AE$1,Profile!$2:$2,0),4))),"")</f>
        <v/>
      </c>
      <c r="AF17" s="2" t="str" cm="1">
        <f t="array" aca="1" ref="AF17" ca="1">IFERROR(IF(INDIRECT("Profile"&amp;"!"&amp;ADDRESS(MATCH($X$2,Profile!$D$1:$D$20,0)+ROW($X17)-ROW($X$2),MATCH(AF$1,Profile!$2:$2,0),4))="","",INDIRECT("Profile"&amp;"!"&amp;ADDRESS(MATCH($X$2,Profile!$D$1:$D$20,0)+ROW($X17)-ROW($X$2),MATCH(AF$1,Profile!$2:$2,0),4))),"")</f>
        <v/>
      </c>
      <c r="AG17" s="2" t="str" cm="1">
        <f t="array" aca="1" ref="AG17" ca="1">IFERROR(IF(INDIRECT("Profile"&amp;"!"&amp;ADDRESS(MATCH($X$2,Profile!$D$1:$D$20,0)+ROW($X17)-ROW($X$2),MATCH(AG$1,Profile!$2:$2,0),4))="","",INDIRECT("Profile"&amp;"!"&amp;ADDRESS(MATCH($X$2,Profile!$D$1:$D$20,0)+ROW($X17)-ROW($X$2),MATCH(AG$1,Profile!$2:$2,0),4))),"")</f>
        <v/>
      </c>
      <c r="AH17" s="2" t="str" cm="1">
        <f t="array" aca="1" ref="AH17" ca="1">IFERROR(IF(INDIRECT("Profile"&amp;"!"&amp;ADDRESS(MATCH($X$2,Profile!$D$1:$D$20,0)+ROW($X17)-ROW($X$2),MATCH(AH$1,Profile!$2:$2,0),4))="","",INDIRECT("Profile"&amp;"!"&amp;ADDRESS(MATCH($X$2,Profile!$D$1:$D$20,0)+ROW($X17)-ROW($X$2),MATCH(AH$1,Profile!$2:$2,0),4))),"")</f>
        <v/>
      </c>
      <c r="AI17" s="2" t="str" cm="1">
        <f t="array" aca="1" ref="AI17" ca="1">IFERROR(IF(INDIRECT("Profile"&amp;"!"&amp;ADDRESS(MATCH($X$2,Profile!$D$1:$D$20,0)+ROW($X17)-ROW($X$2),MATCH(AI$1,Profile!$2:$2,0),4))="","",INDIRECT("Profile"&amp;"!"&amp;ADDRESS(MATCH($X$2,Profile!$D$1:$D$20,0)+ROW($X17)-ROW($X$2),MATCH(AI$1,Profile!$2:$2,0),4))),"")</f>
        <v/>
      </c>
      <c r="AJ17" s="2" t="str" cm="1">
        <f t="array" aca="1" ref="AJ17" ca="1">IFERROR(IF(INDIRECT("Profile"&amp;"!"&amp;ADDRESS(MATCH($X$2,Profile!$D$1:$D$20,0)+ROW($X17)-ROW($X$2),MATCH(AJ$1,Profile!$2:$2,0),4))="","",INDIRECT("Profile"&amp;"!"&amp;ADDRESS(MATCH($X$2,Profile!$D$1:$D$20,0)+ROW($X17)-ROW($X$2),MATCH(AJ$1,Profile!$2:$2,0),4))),"")</f>
        <v/>
      </c>
      <c r="AK17" s="2" t="str" cm="1">
        <f t="array" aca="1" ref="AK17" ca="1">IFERROR(IF(INDIRECT("Profile"&amp;"!"&amp;ADDRESS(MATCH($X$2,Profile!$D$1:$D$20,0)+ROW($X17)-ROW($X$2),MATCH(AK$1,Profile!$2:$2,0),4))="","",INDIRECT("Profile"&amp;"!"&amp;ADDRESS(MATCH($X$2,Profile!$D$1:$D$20,0)+ROW($X17)-ROW($X$2),MATCH(AK$1,Profile!$2:$2,0),4))),"")</f>
        <v/>
      </c>
      <c r="AL17" s="2" t="str" cm="1">
        <f t="array" aca="1" ref="AL17" ca="1">IFERROR(IF(INDIRECT("Profile"&amp;"!"&amp;ADDRESS(MATCH($X$2,Profile!$D$1:$D$20,0)+ROW($X17)-ROW($X$2),MATCH(AL$1,Profile!$2:$2,0),4))="","",INDIRECT("Profile"&amp;"!"&amp;ADDRESS(MATCH($X$2,Profile!$D$1:$D$20,0)+ROW($X17)-ROW($X$2),MATCH(AL$1,Profile!$2:$2,0),4))),"")</f>
        <v/>
      </c>
      <c r="AM17" s="2" t="str" cm="1">
        <f t="array" aca="1" ref="AM17" ca="1">IFERROR(IF(INDIRECT("Profile"&amp;"!"&amp;ADDRESS(MATCH($X$2,Profile!$D$1:$D$20,0)+ROW($X17)-ROW($X$2),MATCH(AM$1,Profile!$2:$2,0),4))="","",INDIRECT("Profile"&amp;"!"&amp;ADDRESS(MATCH($X$2,Profile!$D$1:$D$20,0)+ROW($X17)-ROW($X$2),MATCH(AM$1,Profile!$2:$2,0),4))),"")</f>
        <v/>
      </c>
      <c r="AN17" s="2" t="str" cm="1">
        <f t="array" aca="1" ref="AN17" ca="1">IFERROR(IF(INDIRECT("Profile"&amp;"!"&amp;ADDRESS(MATCH($X$2,Profile!$D$1:$D$20,0)+ROW($X17)-ROW($X$2),MATCH(AN$1,Profile!$2:$2,0),4))="","",INDIRECT("Profile"&amp;"!"&amp;ADDRESS(MATCH($X$2,Profile!$D$1:$D$20,0)+ROW($X17)-ROW($X$2),MATCH(AN$1,Profile!$2:$2,0),4))),"")</f>
        <v/>
      </c>
    </row>
    <row r="18" spans="9:40" x14ac:dyDescent="0.25">
      <c r="I18" s="7">
        <v>15</v>
      </c>
      <c r="J18" s="7" t="str" cm="1">
        <f t="array" aca="1" ref="J18" ca="1">IFERROR(IF(INDIRECT("Profile"&amp;"!"&amp;ADDRESS(MATCH(J$1,Profile!$A$1:$A$20,0),MATCH($I18,Profile!$1:$1,0),4))="","",INDIRECT("Profile"&amp;"!"&amp;ADDRESS(MATCH(J$1,Profile!$A$1:$A$20,0),MATCH($I18,Profile!$1:$1,0),4))),"")</f>
        <v/>
      </c>
      <c r="K18" s="9" t="str" cm="1">
        <f t="array" aca="1" ref="K18" ca="1">IF($J18="","",IF(INDIRECT("Profile"&amp;"!"&amp;ADDRESS(MATCH(K$2,Profile!$C$1:$C$20,0),MATCH($I18,Profile!$1:$1,0),4))="","",INDIRECT("Profile"&amp;"!"&amp;ADDRESS(MATCH(K$2,Profile!$C$1:$C$20,0),MATCH($I18,Profile!$1:$1,0)))))</f>
        <v/>
      </c>
      <c r="L18" s="3" t="str" cm="1">
        <f t="array" aca="1" ref="L18" ca="1">IF($J18="","",IF(INDIRECT("Profile"&amp;"!"&amp;ADDRESS(MATCH(L$2,Profile!$C$1:$C$20,0),MATCH($I18,Profile!$1:$1,0),4))="","",INDIRECT("Profile"&amp;"!"&amp;ADDRESS(MATCH(L$2,Profile!$C$1:$C$20,0),MATCH($I18,Profile!$1:$1,0)))))</f>
        <v/>
      </c>
      <c r="M18" s="9" t="str" cm="1">
        <f t="array" aca="1" ref="M18" ca="1">IF($J18="","",IF(INDIRECT("Profile"&amp;"!"&amp;ADDRESS(MATCH(M$2,Profile!$C$1:$C$20,0),MATCH($I18,Profile!$1:$1,0),4))="","",INDIRECT("Profile"&amp;"!"&amp;ADDRESS(MATCH(M$2,Profile!$C$1:$C$20,0),MATCH($I18,Profile!$1:$1,0)))))</f>
        <v/>
      </c>
      <c r="N18" s="3" t="str" cm="1">
        <f t="array" aca="1" ref="N18" ca="1">IF($J18="","",IF(INDIRECT("Profile"&amp;"!"&amp;ADDRESS(MATCH(N$2,Profile!$C$1:$C$20,0),MATCH($I18,Profile!$1:$1,0),4))="","",INDIRECT("Profile"&amp;"!"&amp;ADDRESS(MATCH(N$2,Profile!$C$1:$C$20,0),MATCH($I18,Profile!$1:$1,0)))))</f>
        <v/>
      </c>
      <c r="O18" s="3" t="str" cm="1">
        <f t="array" aca="1" ref="O18" ca="1">IFERROR(IF($J18="","",INDIRECT("Profile"&amp;"!"&amp;ADDRESS(MATCH(O$2,Profile!$C$1:$C$20,0),MATCH($I18,Profile!$1:$1,0),4))),"")</f>
        <v/>
      </c>
      <c r="P18" s="9" t="str" cm="1">
        <f t="array" aca="1" ref="P18" ca="1">IFERROR(IF($J18="","",INDIRECT("Profile"&amp;"!"&amp;ADDRESS(MATCH(P$2,Profile!$C$1:$C$20,0),MATCH($I18,Profile!$1:$1,0),4))),"")</f>
        <v/>
      </c>
      <c r="Q18" s="3" t="str" cm="1">
        <f t="array" aca="1" ref="Q18" ca="1">IFERROR(IF($J18="","",INDIRECT("Profile"&amp;"!"&amp;ADDRESS(MATCH(Q$2,Profile!$C$1:$C$20,0),MATCH($I18,Profile!$1:$1,0),4))),"")</f>
        <v/>
      </c>
      <c r="R18" s="3" t="str" cm="1">
        <f t="array" aca="1" ref="R18" ca="1">IFERROR(IF($J18="","",INDIRECT("Profile"&amp;"!"&amp;ADDRESS(MATCH(R$2,Profile!$C$1:$C$20,0),MATCH($I18,Profile!$1:$1,0),4))),"")</f>
        <v/>
      </c>
      <c r="S18" s="3" t="str" cm="1">
        <f t="array" aca="1" ref="S18" ca="1">IFERROR(IF($J18="","",INDIRECT("Profile"&amp;"!"&amp;ADDRESS(MATCH(S$2,Profile!$C$1:$C$20,0),MATCH($I18,Profile!$1:$1,0),4))),"")</f>
        <v/>
      </c>
      <c r="T18" s="3" t="str" cm="1">
        <f t="array" aca="1" ref="T18" ca="1">IFERROR(IF($J18="","",INDIRECT("Profile"&amp;"!"&amp;ADDRESS(MATCH(T$2,Profile!$C$1:$C$20,0),MATCH($I18,Profile!$1:$1,0),4))),"")</f>
        <v/>
      </c>
      <c r="U18" s="38" t="str" cm="1">
        <f t="array" aca="1" ref="U18" ca="1">IFERROR(IF(INDIRECT("ID"&amp;"!"&amp;ADDRESS(MATCH($J18,ID!$B:$B,0),MATCH($U$1,ID!$1:$1,0),4))="","",INDIRECT("ID"&amp;"!"&amp;ADDRESS(MATCH($J18,ID!$B:$B,0),MATCH($U$1,ID!$1:$1,0),4))),"")</f>
        <v/>
      </c>
      <c r="X18" s="7">
        <v>-1.4</v>
      </c>
      <c r="Y18" s="7" t="str" cm="1">
        <f t="array" aca="1" ref="Y18" ca="1">IFERROR(IF(INDIRECT("Profile"&amp;"!"&amp;ADDRESS(MATCH($X$2,Profile!$D$1:$D$20,0)+ROW($X18)-ROW($X$2),MATCH(Y$1,Profile!$2:$2,0),4))="","",INDIRECT("Profile"&amp;"!"&amp;ADDRESS(MATCH($X$2,Profile!$D$1:$D$20,0)+ROW($X18)-ROW($X$2),MATCH(Y$1,Profile!$2:$2,0),4))),"")</f>
        <v/>
      </c>
      <c r="Z18" s="2" t="str" cm="1">
        <f t="array" aca="1" ref="Z18" ca="1">IFERROR(IF(INDIRECT("Profile"&amp;"!"&amp;ADDRESS(MATCH($X$2,Profile!$D$1:$D$20,0)+ROW($X18)-ROW($X$2),MATCH(Z$1,Profile!$2:$2,0),4))="","",INDIRECT("Profile"&amp;"!"&amp;ADDRESS(MATCH($X$2,Profile!$D$1:$D$20,0)+ROW($X18)-ROW($X$2),MATCH(Z$1,Profile!$2:$2,0),4))),"")</f>
        <v/>
      </c>
      <c r="AA18" s="2" t="str" cm="1">
        <f t="array" aca="1" ref="AA18" ca="1">IFERROR(IF(INDIRECT("Profile"&amp;"!"&amp;ADDRESS(MATCH($X$2,Profile!$D$1:$D$20,0)+ROW($X18)-ROW($X$2),MATCH(AA$1,Profile!$2:$2,0),4))="","",INDIRECT("Profile"&amp;"!"&amp;ADDRESS(MATCH($X$2,Profile!$D$1:$D$20,0)+ROW($X18)-ROW($X$2),MATCH(AA$1,Profile!$2:$2,0),4))),"")</f>
        <v/>
      </c>
      <c r="AB18" s="2" t="str" cm="1">
        <f t="array" aca="1" ref="AB18" ca="1">IFERROR(IF(INDIRECT("Profile"&amp;"!"&amp;ADDRESS(MATCH($X$2,Profile!$D$1:$D$20,0)+ROW($X18)-ROW($X$2),MATCH(AB$1,Profile!$2:$2,0),4))="","",INDIRECT("Profile"&amp;"!"&amp;ADDRESS(MATCH($X$2,Profile!$D$1:$D$20,0)+ROW($X18)-ROW($X$2),MATCH(AB$1,Profile!$2:$2,0),4))),"")</f>
        <v/>
      </c>
      <c r="AC18" s="2" t="str" cm="1">
        <f t="array" aca="1" ref="AC18" ca="1">IFERROR(IF(INDIRECT("Profile"&amp;"!"&amp;ADDRESS(MATCH($X$2,Profile!$D$1:$D$20,0)+ROW($X18)-ROW($X$2),MATCH(AC$1,Profile!$2:$2,0),4))="","",INDIRECT("Profile"&amp;"!"&amp;ADDRESS(MATCH($X$2,Profile!$D$1:$D$20,0)+ROW($X18)-ROW($X$2),MATCH(AC$1,Profile!$2:$2,0),4))),"")</f>
        <v/>
      </c>
      <c r="AD18" s="2" t="str" cm="1">
        <f t="array" aca="1" ref="AD18" ca="1">IFERROR(IF(INDIRECT("Profile"&amp;"!"&amp;ADDRESS(MATCH($X$2,Profile!$D$1:$D$20,0)+ROW($X18)-ROW($X$2),MATCH(AD$1,Profile!$2:$2,0),4))="","",INDIRECT("Profile"&amp;"!"&amp;ADDRESS(MATCH($X$2,Profile!$D$1:$D$20,0)+ROW($X18)-ROW($X$2),MATCH(AD$1,Profile!$2:$2,0),4))),"")</f>
        <v/>
      </c>
      <c r="AE18" s="2" t="str" cm="1">
        <f t="array" aca="1" ref="AE18" ca="1">IFERROR(IF(INDIRECT("Profile"&amp;"!"&amp;ADDRESS(MATCH($X$2,Profile!$D$1:$D$20,0)+ROW($X18)-ROW($X$2),MATCH(AE$1,Profile!$2:$2,0),4))="","",INDIRECT("Profile"&amp;"!"&amp;ADDRESS(MATCH($X$2,Profile!$D$1:$D$20,0)+ROW($X18)-ROW($X$2),MATCH(AE$1,Profile!$2:$2,0),4))),"")</f>
        <v/>
      </c>
      <c r="AF18" s="2" t="str" cm="1">
        <f t="array" aca="1" ref="AF18" ca="1">IFERROR(IF(INDIRECT("Profile"&amp;"!"&amp;ADDRESS(MATCH($X$2,Profile!$D$1:$D$20,0)+ROW($X18)-ROW($X$2),MATCH(AF$1,Profile!$2:$2,0),4))="","",INDIRECT("Profile"&amp;"!"&amp;ADDRESS(MATCH($X$2,Profile!$D$1:$D$20,0)+ROW($X18)-ROW($X$2),MATCH(AF$1,Profile!$2:$2,0),4))),"")</f>
        <v/>
      </c>
      <c r="AG18" s="2" t="str" cm="1">
        <f t="array" aca="1" ref="AG18" ca="1">IFERROR(IF(INDIRECT("Profile"&amp;"!"&amp;ADDRESS(MATCH($X$2,Profile!$D$1:$D$20,0)+ROW($X18)-ROW($X$2),MATCH(AG$1,Profile!$2:$2,0),4))="","",INDIRECT("Profile"&amp;"!"&amp;ADDRESS(MATCH($X$2,Profile!$D$1:$D$20,0)+ROW($X18)-ROW($X$2),MATCH(AG$1,Profile!$2:$2,0),4))),"")</f>
        <v/>
      </c>
      <c r="AH18" s="2" t="str" cm="1">
        <f t="array" aca="1" ref="AH18" ca="1">IFERROR(IF(INDIRECT("Profile"&amp;"!"&amp;ADDRESS(MATCH($X$2,Profile!$D$1:$D$20,0)+ROW($X18)-ROW($X$2),MATCH(AH$1,Profile!$2:$2,0),4))="","",INDIRECT("Profile"&amp;"!"&amp;ADDRESS(MATCH($X$2,Profile!$D$1:$D$20,0)+ROW($X18)-ROW($X$2),MATCH(AH$1,Profile!$2:$2,0),4))),"")</f>
        <v/>
      </c>
      <c r="AI18" s="2" t="str" cm="1">
        <f t="array" aca="1" ref="AI18" ca="1">IFERROR(IF(INDIRECT("Profile"&amp;"!"&amp;ADDRESS(MATCH($X$2,Profile!$D$1:$D$20,0)+ROW($X18)-ROW($X$2),MATCH(AI$1,Profile!$2:$2,0),4))="","",INDIRECT("Profile"&amp;"!"&amp;ADDRESS(MATCH($X$2,Profile!$D$1:$D$20,0)+ROW($X18)-ROW($X$2),MATCH(AI$1,Profile!$2:$2,0),4))),"")</f>
        <v/>
      </c>
      <c r="AJ18" s="2" t="str" cm="1">
        <f t="array" aca="1" ref="AJ18" ca="1">IFERROR(IF(INDIRECT("Profile"&amp;"!"&amp;ADDRESS(MATCH($X$2,Profile!$D$1:$D$20,0)+ROW($X18)-ROW($X$2),MATCH(AJ$1,Profile!$2:$2,0),4))="","",INDIRECT("Profile"&amp;"!"&amp;ADDRESS(MATCH($X$2,Profile!$D$1:$D$20,0)+ROW($X18)-ROW($X$2),MATCH(AJ$1,Profile!$2:$2,0),4))),"")</f>
        <v/>
      </c>
      <c r="AK18" s="2" t="str" cm="1">
        <f t="array" aca="1" ref="AK18" ca="1">IFERROR(IF(INDIRECT("Profile"&amp;"!"&amp;ADDRESS(MATCH($X$2,Profile!$D$1:$D$20,0)+ROW($X18)-ROW($X$2),MATCH(AK$1,Profile!$2:$2,0),4))="","",INDIRECT("Profile"&amp;"!"&amp;ADDRESS(MATCH($X$2,Profile!$D$1:$D$20,0)+ROW($X18)-ROW($X$2),MATCH(AK$1,Profile!$2:$2,0),4))),"")</f>
        <v/>
      </c>
      <c r="AL18" s="2" t="str" cm="1">
        <f t="array" aca="1" ref="AL18" ca="1">IFERROR(IF(INDIRECT("Profile"&amp;"!"&amp;ADDRESS(MATCH($X$2,Profile!$D$1:$D$20,0)+ROW($X18)-ROW($X$2),MATCH(AL$1,Profile!$2:$2,0),4))="","",INDIRECT("Profile"&amp;"!"&amp;ADDRESS(MATCH($X$2,Profile!$D$1:$D$20,0)+ROW($X18)-ROW($X$2),MATCH(AL$1,Profile!$2:$2,0),4))),"")</f>
        <v/>
      </c>
      <c r="AM18" s="2" t="str" cm="1">
        <f t="array" aca="1" ref="AM18" ca="1">IFERROR(IF(INDIRECT("Profile"&amp;"!"&amp;ADDRESS(MATCH($X$2,Profile!$D$1:$D$20,0)+ROW($X18)-ROW($X$2),MATCH(AM$1,Profile!$2:$2,0),4))="","",INDIRECT("Profile"&amp;"!"&amp;ADDRESS(MATCH($X$2,Profile!$D$1:$D$20,0)+ROW($X18)-ROW($X$2),MATCH(AM$1,Profile!$2:$2,0),4))),"")</f>
        <v/>
      </c>
      <c r="AN18" s="2" t="str" cm="1">
        <f t="array" aca="1" ref="AN18" ca="1">IFERROR(IF(INDIRECT("Profile"&amp;"!"&amp;ADDRESS(MATCH($X$2,Profile!$D$1:$D$20,0)+ROW($X18)-ROW($X$2),MATCH(AN$1,Profile!$2:$2,0),4))="","",INDIRECT("Profile"&amp;"!"&amp;ADDRESS(MATCH($X$2,Profile!$D$1:$D$20,0)+ROW($X18)-ROW($X$2),MATCH(AN$1,Profile!$2:$2,0),4))),"")</f>
        <v/>
      </c>
    </row>
    <row r="19" spans="9:40" x14ac:dyDescent="0.25">
      <c r="I19" s="7">
        <v>16</v>
      </c>
      <c r="J19" s="7" t="str" cm="1">
        <f t="array" aca="1" ref="J19" ca="1">IFERROR(IF(INDIRECT("Profile"&amp;"!"&amp;ADDRESS(MATCH(J$1,Profile!$A$1:$A$20,0),MATCH($I19,Profile!$1:$1,0),4))="","",INDIRECT("Profile"&amp;"!"&amp;ADDRESS(MATCH(J$1,Profile!$A$1:$A$20,0),MATCH($I19,Profile!$1:$1,0),4))),"")</f>
        <v/>
      </c>
      <c r="K19" s="9" t="str" cm="1">
        <f t="array" aca="1" ref="K19" ca="1">IF($J19="","",IF(INDIRECT("Profile"&amp;"!"&amp;ADDRESS(MATCH(K$2,Profile!$C$1:$C$20,0),MATCH($I19,Profile!$1:$1,0),4))="","",INDIRECT("Profile"&amp;"!"&amp;ADDRESS(MATCH(K$2,Profile!$C$1:$C$20,0),MATCH($I19,Profile!$1:$1,0)))))</f>
        <v/>
      </c>
      <c r="L19" s="3" t="str" cm="1">
        <f t="array" aca="1" ref="L19" ca="1">IF($J19="","",IF(INDIRECT("Profile"&amp;"!"&amp;ADDRESS(MATCH(L$2,Profile!$C$1:$C$20,0),MATCH($I19,Profile!$1:$1,0),4))="","",INDIRECT("Profile"&amp;"!"&amp;ADDRESS(MATCH(L$2,Profile!$C$1:$C$20,0),MATCH($I19,Profile!$1:$1,0)))))</f>
        <v/>
      </c>
      <c r="M19" s="9" t="str" cm="1">
        <f t="array" aca="1" ref="M19" ca="1">IF($J19="","",IF(INDIRECT("Profile"&amp;"!"&amp;ADDRESS(MATCH(M$2,Profile!$C$1:$C$20,0),MATCH($I19,Profile!$1:$1,0),4))="","",INDIRECT("Profile"&amp;"!"&amp;ADDRESS(MATCH(M$2,Profile!$C$1:$C$20,0),MATCH($I19,Profile!$1:$1,0)))))</f>
        <v/>
      </c>
      <c r="N19" s="3" t="str" cm="1">
        <f t="array" aca="1" ref="N19" ca="1">IF($J19="","",IF(INDIRECT("Profile"&amp;"!"&amp;ADDRESS(MATCH(N$2,Profile!$C$1:$C$20,0),MATCH($I19,Profile!$1:$1,0),4))="","",INDIRECT("Profile"&amp;"!"&amp;ADDRESS(MATCH(N$2,Profile!$C$1:$C$20,0),MATCH($I19,Profile!$1:$1,0)))))</f>
        <v/>
      </c>
      <c r="O19" s="3" t="str" cm="1">
        <f t="array" aca="1" ref="O19" ca="1">IFERROR(IF($J19="","",INDIRECT("Profile"&amp;"!"&amp;ADDRESS(MATCH(O$2,Profile!$C$1:$C$20,0),MATCH($I19,Profile!$1:$1,0),4))),"")</f>
        <v/>
      </c>
      <c r="P19" s="9" t="str" cm="1">
        <f t="array" aca="1" ref="P19" ca="1">IFERROR(IF($J19="","",INDIRECT("Profile"&amp;"!"&amp;ADDRESS(MATCH(P$2,Profile!$C$1:$C$20,0),MATCH($I19,Profile!$1:$1,0),4))),"")</f>
        <v/>
      </c>
      <c r="Q19" s="3" t="str" cm="1">
        <f t="array" aca="1" ref="Q19" ca="1">IFERROR(IF($J19="","",INDIRECT("Profile"&amp;"!"&amp;ADDRESS(MATCH(Q$2,Profile!$C$1:$C$20,0),MATCH($I19,Profile!$1:$1,0),4))),"")</f>
        <v/>
      </c>
      <c r="R19" s="3" t="str" cm="1">
        <f t="array" aca="1" ref="R19" ca="1">IFERROR(IF($J19="","",INDIRECT("Profile"&amp;"!"&amp;ADDRESS(MATCH(R$2,Profile!$C$1:$C$20,0),MATCH($I19,Profile!$1:$1,0),4))),"")</f>
        <v/>
      </c>
      <c r="S19" s="3" t="str" cm="1">
        <f t="array" aca="1" ref="S19" ca="1">IFERROR(IF($J19="","",INDIRECT("Profile"&amp;"!"&amp;ADDRESS(MATCH(S$2,Profile!$C$1:$C$20,0),MATCH($I19,Profile!$1:$1,0),4))),"")</f>
        <v/>
      </c>
      <c r="T19" s="3" t="str" cm="1">
        <f t="array" aca="1" ref="T19" ca="1">IFERROR(IF($J19="","",INDIRECT("Profile"&amp;"!"&amp;ADDRESS(MATCH(T$2,Profile!$C$1:$C$20,0),MATCH($I19,Profile!$1:$1,0),4))),"")</f>
        <v/>
      </c>
      <c r="U19" s="38" t="str" cm="1">
        <f t="array" aca="1" ref="U19" ca="1">IFERROR(IF(INDIRECT("ID"&amp;"!"&amp;ADDRESS(MATCH($J19,ID!$B:$B,0),MATCH($U$1,ID!$1:$1,0),4))="","",INDIRECT("ID"&amp;"!"&amp;ADDRESS(MATCH($J19,ID!$B:$B,0),MATCH($U$1,ID!$1:$1,0),4))),"")</f>
        <v/>
      </c>
      <c r="X19" s="7">
        <v>-1.5</v>
      </c>
      <c r="Y19" s="7" t="str" cm="1">
        <f t="array" aca="1" ref="Y19" ca="1">IFERROR(IF(INDIRECT("Profile"&amp;"!"&amp;ADDRESS(MATCH($X$2,Profile!$D$1:$D$20,0)+ROW($X19)-ROW($X$2),MATCH(Y$1,Profile!$2:$2,0),4))="","",INDIRECT("Profile"&amp;"!"&amp;ADDRESS(MATCH($X$2,Profile!$D$1:$D$20,0)+ROW($X19)-ROW($X$2),MATCH(Y$1,Profile!$2:$2,0),4))),"")</f>
        <v/>
      </c>
      <c r="Z19" s="2" t="str" cm="1">
        <f t="array" aca="1" ref="Z19" ca="1">IFERROR(IF(INDIRECT("Profile"&amp;"!"&amp;ADDRESS(MATCH($X$2,Profile!$D$1:$D$20,0)+ROW($X19)-ROW($X$2),MATCH(Z$1,Profile!$2:$2,0),4))="","",INDIRECT("Profile"&amp;"!"&amp;ADDRESS(MATCH($X$2,Profile!$D$1:$D$20,0)+ROW($X19)-ROW($X$2),MATCH(Z$1,Profile!$2:$2,0),4))),"")</f>
        <v/>
      </c>
      <c r="AA19" s="2" t="str" cm="1">
        <f t="array" aca="1" ref="AA19" ca="1">IFERROR(IF(INDIRECT("Profile"&amp;"!"&amp;ADDRESS(MATCH($X$2,Profile!$D$1:$D$20,0)+ROW($X19)-ROW($X$2),MATCH(AA$1,Profile!$2:$2,0),4))="","",INDIRECT("Profile"&amp;"!"&amp;ADDRESS(MATCH($X$2,Profile!$D$1:$D$20,0)+ROW($X19)-ROW($X$2),MATCH(AA$1,Profile!$2:$2,0),4))),"")</f>
        <v/>
      </c>
      <c r="AB19" s="2" t="str" cm="1">
        <f t="array" aca="1" ref="AB19" ca="1">IFERROR(IF(INDIRECT("Profile"&amp;"!"&amp;ADDRESS(MATCH($X$2,Profile!$D$1:$D$20,0)+ROW($X19)-ROW($X$2),MATCH(AB$1,Profile!$2:$2,0),4))="","",INDIRECT("Profile"&amp;"!"&amp;ADDRESS(MATCH($X$2,Profile!$D$1:$D$20,0)+ROW($X19)-ROW($X$2),MATCH(AB$1,Profile!$2:$2,0),4))),"")</f>
        <v/>
      </c>
      <c r="AC19" s="2" t="str" cm="1">
        <f t="array" aca="1" ref="AC19" ca="1">IFERROR(IF(INDIRECT("Profile"&amp;"!"&amp;ADDRESS(MATCH($X$2,Profile!$D$1:$D$20,0)+ROW($X19)-ROW($X$2),MATCH(AC$1,Profile!$2:$2,0),4))="","",INDIRECT("Profile"&amp;"!"&amp;ADDRESS(MATCH($X$2,Profile!$D$1:$D$20,0)+ROW($X19)-ROW($X$2),MATCH(AC$1,Profile!$2:$2,0),4))),"")</f>
        <v/>
      </c>
      <c r="AD19" s="2" t="str" cm="1">
        <f t="array" aca="1" ref="AD19" ca="1">IFERROR(IF(INDIRECT("Profile"&amp;"!"&amp;ADDRESS(MATCH($X$2,Profile!$D$1:$D$20,0)+ROW($X19)-ROW($X$2),MATCH(AD$1,Profile!$2:$2,0),4))="","",INDIRECT("Profile"&amp;"!"&amp;ADDRESS(MATCH($X$2,Profile!$D$1:$D$20,0)+ROW($X19)-ROW($X$2),MATCH(AD$1,Profile!$2:$2,0),4))),"")</f>
        <v/>
      </c>
      <c r="AE19" s="2" t="str" cm="1">
        <f t="array" aca="1" ref="AE19" ca="1">IFERROR(IF(INDIRECT("Profile"&amp;"!"&amp;ADDRESS(MATCH($X$2,Profile!$D$1:$D$20,0)+ROW($X19)-ROW($X$2),MATCH(AE$1,Profile!$2:$2,0),4))="","",INDIRECT("Profile"&amp;"!"&amp;ADDRESS(MATCH($X$2,Profile!$D$1:$D$20,0)+ROW($X19)-ROW($X$2),MATCH(AE$1,Profile!$2:$2,0),4))),"")</f>
        <v/>
      </c>
      <c r="AF19" s="2" t="str" cm="1">
        <f t="array" aca="1" ref="AF19" ca="1">IFERROR(IF(INDIRECT("Profile"&amp;"!"&amp;ADDRESS(MATCH($X$2,Profile!$D$1:$D$20,0)+ROW($X19)-ROW($X$2),MATCH(AF$1,Profile!$2:$2,0),4))="","",INDIRECT("Profile"&amp;"!"&amp;ADDRESS(MATCH($X$2,Profile!$D$1:$D$20,0)+ROW($X19)-ROW($X$2),MATCH(AF$1,Profile!$2:$2,0),4))),"")</f>
        <v/>
      </c>
      <c r="AG19" s="2" t="str" cm="1">
        <f t="array" aca="1" ref="AG19" ca="1">IFERROR(IF(INDIRECT("Profile"&amp;"!"&amp;ADDRESS(MATCH($X$2,Profile!$D$1:$D$20,0)+ROW($X19)-ROW($X$2),MATCH(AG$1,Profile!$2:$2,0),4))="","",INDIRECT("Profile"&amp;"!"&amp;ADDRESS(MATCH($X$2,Profile!$D$1:$D$20,0)+ROW($X19)-ROW($X$2),MATCH(AG$1,Profile!$2:$2,0),4))),"")</f>
        <v/>
      </c>
      <c r="AH19" s="2" t="str" cm="1">
        <f t="array" aca="1" ref="AH19" ca="1">IFERROR(IF(INDIRECT("Profile"&amp;"!"&amp;ADDRESS(MATCH($X$2,Profile!$D$1:$D$20,0)+ROW($X19)-ROW($X$2),MATCH(AH$1,Profile!$2:$2,0),4))="","",INDIRECT("Profile"&amp;"!"&amp;ADDRESS(MATCH($X$2,Profile!$D$1:$D$20,0)+ROW($X19)-ROW($X$2),MATCH(AH$1,Profile!$2:$2,0),4))),"")</f>
        <v/>
      </c>
      <c r="AI19" s="2" t="str" cm="1">
        <f t="array" aca="1" ref="AI19" ca="1">IFERROR(IF(INDIRECT("Profile"&amp;"!"&amp;ADDRESS(MATCH($X$2,Profile!$D$1:$D$20,0)+ROW($X19)-ROW($X$2),MATCH(AI$1,Profile!$2:$2,0),4))="","",INDIRECT("Profile"&amp;"!"&amp;ADDRESS(MATCH($X$2,Profile!$D$1:$D$20,0)+ROW($X19)-ROW($X$2),MATCH(AI$1,Profile!$2:$2,0),4))),"")</f>
        <v/>
      </c>
      <c r="AJ19" s="2" t="str" cm="1">
        <f t="array" aca="1" ref="AJ19" ca="1">IFERROR(IF(INDIRECT("Profile"&amp;"!"&amp;ADDRESS(MATCH($X$2,Profile!$D$1:$D$20,0)+ROW($X19)-ROW($X$2),MATCH(AJ$1,Profile!$2:$2,0),4))="","",INDIRECT("Profile"&amp;"!"&amp;ADDRESS(MATCH($X$2,Profile!$D$1:$D$20,0)+ROW($X19)-ROW($X$2),MATCH(AJ$1,Profile!$2:$2,0),4))),"")</f>
        <v/>
      </c>
      <c r="AK19" s="2" t="str" cm="1">
        <f t="array" aca="1" ref="AK19" ca="1">IFERROR(IF(INDIRECT("Profile"&amp;"!"&amp;ADDRESS(MATCH($X$2,Profile!$D$1:$D$20,0)+ROW($X19)-ROW($X$2),MATCH(AK$1,Profile!$2:$2,0),4))="","",INDIRECT("Profile"&amp;"!"&amp;ADDRESS(MATCH($X$2,Profile!$D$1:$D$20,0)+ROW($X19)-ROW($X$2),MATCH(AK$1,Profile!$2:$2,0),4))),"")</f>
        <v/>
      </c>
      <c r="AL19" s="2" t="str" cm="1">
        <f t="array" aca="1" ref="AL19" ca="1">IFERROR(IF(INDIRECT("Profile"&amp;"!"&amp;ADDRESS(MATCH($X$2,Profile!$D$1:$D$20,0)+ROW($X19)-ROW($X$2),MATCH(AL$1,Profile!$2:$2,0),4))="","",INDIRECT("Profile"&amp;"!"&amp;ADDRESS(MATCH($X$2,Profile!$D$1:$D$20,0)+ROW($X19)-ROW($X$2),MATCH(AL$1,Profile!$2:$2,0),4))),"")</f>
        <v/>
      </c>
      <c r="AM19" s="2" t="str" cm="1">
        <f t="array" aca="1" ref="AM19" ca="1">IFERROR(IF(INDIRECT("Profile"&amp;"!"&amp;ADDRESS(MATCH($X$2,Profile!$D$1:$D$20,0)+ROW($X19)-ROW($X$2),MATCH(AM$1,Profile!$2:$2,0),4))="","",INDIRECT("Profile"&amp;"!"&amp;ADDRESS(MATCH($X$2,Profile!$D$1:$D$20,0)+ROW($X19)-ROW($X$2),MATCH(AM$1,Profile!$2:$2,0),4))),"")</f>
        <v/>
      </c>
      <c r="AN19" s="2" t="str" cm="1">
        <f t="array" aca="1" ref="AN19" ca="1">IFERROR(IF(INDIRECT("Profile"&amp;"!"&amp;ADDRESS(MATCH($X$2,Profile!$D$1:$D$20,0)+ROW($X19)-ROW($X$2),MATCH(AN$1,Profile!$2:$2,0),4))="","",INDIRECT("Profile"&amp;"!"&amp;ADDRESS(MATCH($X$2,Profile!$D$1:$D$20,0)+ROW($X19)-ROW($X$2),MATCH(AN$1,Profile!$2:$2,0),4))),"")</f>
        <v/>
      </c>
    </row>
    <row r="20" spans="9:40" x14ac:dyDescent="0.25">
      <c r="I20" s="7">
        <v>17</v>
      </c>
      <c r="J20" s="7" t="str" cm="1">
        <f t="array" aca="1" ref="J20" ca="1">IFERROR(IF(INDIRECT("Profile"&amp;"!"&amp;ADDRESS(MATCH(J$1,Profile!$A$1:$A$20,0),MATCH($I20,Profile!$1:$1,0),4))="","",INDIRECT("Profile"&amp;"!"&amp;ADDRESS(MATCH(J$1,Profile!$A$1:$A$20,0),MATCH($I20,Profile!$1:$1,0),4))),"")</f>
        <v/>
      </c>
      <c r="K20" s="9" t="str" cm="1">
        <f t="array" aca="1" ref="K20" ca="1">IF($J20="","",IF(INDIRECT("Profile"&amp;"!"&amp;ADDRESS(MATCH(K$2,Profile!$C$1:$C$20,0),MATCH($I20,Profile!$1:$1,0),4))="","",INDIRECT("Profile"&amp;"!"&amp;ADDRESS(MATCH(K$2,Profile!$C$1:$C$20,0),MATCH($I20,Profile!$1:$1,0)))))</f>
        <v/>
      </c>
      <c r="L20" s="3" t="str" cm="1">
        <f t="array" aca="1" ref="L20" ca="1">IF($J20="","",IF(INDIRECT("Profile"&amp;"!"&amp;ADDRESS(MATCH(L$2,Profile!$C$1:$C$20,0),MATCH($I20,Profile!$1:$1,0),4))="","",INDIRECT("Profile"&amp;"!"&amp;ADDRESS(MATCH(L$2,Profile!$C$1:$C$20,0),MATCH($I20,Profile!$1:$1,0)))))</f>
        <v/>
      </c>
      <c r="M20" s="9" t="str" cm="1">
        <f t="array" aca="1" ref="M20" ca="1">IF($J20="","",IF(INDIRECT("Profile"&amp;"!"&amp;ADDRESS(MATCH(M$2,Profile!$C$1:$C$20,0),MATCH($I20,Profile!$1:$1,0),4))="","",INDIRECT("Profile"&amp;"!"&amp;ADDRESS(MATCH(M$2,Profile!$C$1:$C$20,0),MATCH($I20,Profile!$1:$1,0)))))</f>
        <v/>
      </c>
      <c r="N20" s="3" t="str" cm="1">
        <f t="array" aca="1" ref="N20" ca="1">IF($J20="","",IF(INDIRECT("Profile"&amp;"!"&amp;ADDRESS(MATCH(N$2,Profile!$C$1:$C$20,0),MATCH($I20,Profile!$1:$1,0),4))="","",INDIRECT("Profile"&amp;"!"&amp;ADDRESS(MATCH(N$2,Profile!$C$1:$C$20,0),MATCH($I20,Profile!$1:$1,0)))))</f>
        <v/>
      </c>
      <c r="O20" s="3" t="str" cm="1">
        <f t="array" aca="1" ref="O20" ca="1">IFERROR(IF($J20="","",INDIRECT("Profile"&amp;"!"&amp;ADDRESS(MATCH(O$2,Profile!$C$1:$C$20,0),MATCH($I20,Profile!$1:$1,0),4))),"")</f>
        <v/>
      </c>
      <c r="P20" s="9" t="str" cm="1">
        <f t="array" aca="1" ref="P20" ca="1">IFERROR(IF($J20="","",INDIRECT("Profile"&amp;"!"&amp;ADDRESS(MATCH(P$2,Profile!$C$1:$C$20,0),MATCH($I20,Profile!$1:$1,0),4))),"")</f>
        <v/>
      </c>
      <c r="Q20" s="3" t="str" cm="1">
        <f t="array" aca="1" ref="Q20" ca="1">IFERROR(IF($J20="","",INDIRECT("Profile"&amp;"!"&amp;ADDRESS(MATCH(Q$2,Profile!$C$1:$C$20,0),MATCH($I20,Profile!$1:$1,0),4))),"")</f>
        <v/>
      </c>
      <c r="R20" s="3" t="str" cm="1">
        <f t="array" aca="1" ref="R20" ca="1">IFERROR(IF($J20="","",INDIRECT("Profile"&amp;"!"&amp;ADDRESS(MATCH(R$2,Profile!$C$1:$C$20,0),MATCH($I20,Profile!$1:$1,0),4))),"")</f>
        <v/>
      </c>
      <c r="S20" s="3" t="str" cm="1">
        <f t="array" aca="1" ref="S20" ca="1">IFERROR(IF($J20="","",INDIRECT("Profile"&amp;"!"&amp;ADDRESS(MATCH(S$2,Profile!$C$1:$C$20,0),MATCH($I20,Profile!$1:$1,0),4))),"")</f>
        <v/>
      </c>
      <c r="T20" s="3" t="str" cm="1">
        <f t="array" aca="1" ref="T20" ca="1">IFERROR(IF($J20="","",INDIRECT("Profile"&amp;"!"&amp;ADDRESS(MATCH(T$2,Profile!$C$1:$C$20,0),MATCH($I20,Profile!$1:$1,0),4))),"")</f>
        <v/>
      </c>
      <c r="U20" s="38" t="str" cm="1">
        <f t="array" aca="1" ref="U20" ca="1">IFERROR(IF(INDIRECT("ID"&amp;"!"&amp;ADDRESS(MATCH($J20,ID!$B:$B,0),MATCH($U$1,ID!$1:$1,0),4))="","",INDIRECT("ID"&amp;"!"&amp;ADDRESS(MATCH($J20,ID!$B:$B,0),MATCH($U$1,ID!$1:$1,0),4))),"")</f>
        <v/>
      </c>
      <c r="X20" s="7">
        <v>-1.6</v>
      </c>
      <c r="Y20" s="7" t="str" cm="1">
        <f t="array" aca="1" ref="Y20" ca="1">IFERROR(IF(INDIRECT("Profile"&amp;"!"&amp;ADDRESS(MATCH($X$2,Profile!$D$1:$D$20,0)+ROW($X20)-ROW($X$2),MATCH(Y$1,Profile!$2:$2,0),4))="","",INDIRECT("Profile"&amp;"!"&amp;ADDRESS(MATCH($X$2,Profile!$D$1:$D$20,0)+ROW($X20)-ROW($X$2),MATCH(Y$1,Profile!$2:$2,0),4))),"")</f>
        <v/>
      </c>
      <c r="Z20" s="2" t="str" cm="1">
        <f t="array" aca="1" ref="Z20" ca="1">IFERROR(IF(INDIRECT("Profile"&amp;"!"&amp;ADDRESS(MATCH($X$2,Profile!$D$1:$D$20,0)+ROW($X20)-ROW($X$2),MATCH(Z$1,Profile!$2:$2,0),4))="","",INDIRECT("Profile"&amp;"!"&amp;ADDRESS(MATCH($X$2,Profile!$D$1:$D$20,0)+ROW($X20)-ROW($X$2),MATCH(Z$1,Profile!$2:$2,0),4))),"")</f>
        <v/>
      </c>
      <c r="AA20" s="2" t="str" cm="1">
        <f t="array" aca="1" ref="AA20" ca="1">IFERROR(IF(INDIRECT("Profile"&amp;"!"&amp;ADDRESS(MATCH($X$2,Profile!$D$1:$D$20,0)+ROW($X20)-ROW($X$2),MATCH(AA$1,Profile!$2:$2,0),4))="","",INDIRECT("Profile"&amp;"!"&amp;ADDRESS(MATCH($X$2,Profile!$D$1:$D$20,0)+ROW($X20)-ROW($X$2),MATCH(AA$1,Profile!$2:$2,0),4))),"")</f>
        <v/>
      </c>
      <c r="AB20" s="2" t="str" cm="1">
        <f t="array" aca="1" ref="AB20" ca="1">IFERROR(IF(INDIRECT("Profile"&amp;"!"&amp;ADDRESS(MATCH($X$2,Profile!$D$1:$D$20,0)+ROW($X20)-ROW($X$2),MATCH(AB$1,Profile!$2:$2,0),4))="","",INDIRECT("Profile"&amp;"!"&amp;ADDRESS(MATCH($X$2,Profile!$D$1:$D$20,0)+ROW($X20)-ROW($X$2),MATCH(AB$1,Profile!$2:$2,0),4))),"")</f>
        <v/>
      </c>
      <c r="AC20" s="2" t="str" cm="1">
        <f t="array" aca="1" ref="AC20" ca="1">IFERROR(IF(INDIRECT("Profile"&amp;"!"&amp;ADDRESS(MATCH($X$2,Profile!$D$1:$D$20,0)+ROW($X20)-ROW($X$2),MATCH(AC$1,Profile!$2:$2,0),4))="","",INDIRECT("Profile"&amp;"!"&amp;ADDRESS(MATCH($X$2,Profile!$D$1:$D$20,0)+ROW($X20)-ROW($X$2),MATCH(AC$1,Profile!$2:$2,0),4))),"")</f>
        <v/>
      </c>
      <c r="AD20" s="2" t="str" cm="1">
        <f t="array" aca="1" ref="AD20" ca="1">IFERROR(IF(INDIRECT("Profile"&amp;"!"&amp;ADDRESS(MATCH($X$2,Profile!$D$1:$D$20,0)+ROW($X20)-ROW($X$2),MATCH(AD$1,Profile!$2:$2,0),4))="","",INDIRECT("Profile"&amp;"!"&amp;ADDRESS(MATCH($X$2,Profile!$D$1:$D$20,0)+ROW($X20)-ROW($X$2),MATCH(AD$1,Profile!$2:$2,0),4))),"")</f>
        <v/>
      </c>
      <c r="AE20" s="2" t="str" cm="1">
        <f t="array" aca="1" ref="AE20" ca="1">IFERROR(IF(INDIRECT("Profile"&amp;"!"&amp;ADDRESS(MATCH($X$2,Profile!$D$1:$D$20,0)+ROW($X20)-ROW($X$2),MATCH(AE$1,Profile!$2:$2,0),4))="","",INDIRECT("Profile"&amp;"!"&amp;ADDRESS(MATCH($X$2,Profile!$D$1:$D$20,0)+ROW($X20)-ROW($X$2),MATCH(AE$1,Profile!$2:$2,0),4))),"")</f>
        <v/>
      </c>
      <c r="AF20" s="2" t="str" cm="1">
        <f t="array" aca="1" ref="AF20" ca="1">IFERROR(IF(INDIRECT("Profile"&amp;"!"&amp;ADDRESS(MATCH($X$2,Profile!$D$1:$D$20,0)+ROW($X20)-ROW($X$2),MATCH(AF$1,Profile!$2:$2,0),4))="","",INDIRECT("Profile"&amp;"!"&amp;ADDRESS(MATCH($X$2,Profile!$D$1:$D$20,0)+ROW($X20)-ROW($X$2),MATCH(AF$1,Profile!$2:$2,0),4))),"")</f>
        <v/>
      </c>
      <c r="AG20" s="2" t="str" cm="1">
        <f t="array" aca="1" ref="AG20" ca="1">IFERROR(IF(INDIRECT("Profile"&amp;"!"&amp;ADDRESS(MATCH($X$2,Profile!$D$1:$D$20,0)+ROW($X20)-ROW($X$2),MATCH(AG$1,Profile!$2:$2,0),4))="","",INDIRECT("Profile"&amp;"!"&amp;ADDRESS(MATCH($X$2,Profile!$D$1:$D$20,0)+ROW($X20)-ROW($X$2),MATCH(AG$1,Profile!$2:$2,0),4))),"")</f>
        <v/>
      </c>
      <c r="AH20" s="2" t="str" cm="1">
        <f t="array" aca="1" ref="AH20" ca="1">IFERROR(IF(INDIRECT("Profile"&amp;"!"&amp;ADDRESS(MATCH($X$2,Profile!$D$1:$D$20,0)+ROW($X20)-ROW($X$2),MATCH(AH$1,Profile!$2:$2,0),4))="","",INDIRECT("Profile"&amp;"!"&amp;ADDRESS(MATCH($X$2,Profile!$D$1:$D$20,0)+ROW($X20)-ROW($X$2),MATCH(AH$1,Profile!$2:$2,0),4))),"")</f>
        <v/>
      </c>
      <c r="AI20" s="2" t="str" cm="1">
        <f t="array" aca="1" ref="AI20" ca="1">IFERROR(IF(INDIRECT("Profile"&amp;"!"&amp;ADDRESS(MATCH($X$2,Profile!$D$1:$D$20,0)+ROW($X20)-ROW($X$2),MATCH(AI$1,Profile!$2:$2,0),4))="","",INDIRECT("Profile"&amp;"!"&amp;ADDRESS(MATCH($X$2,Profile!$D$1:$D$20,0)+ROW($X20)-ROW($X$2),MATCH(AI$1,Profile!$2:$2,0),4))),"")</f>
        <v/>
      </c>
      <c r="AJ20" s="2" t="str" cm="1">
        <f t="array" aca="1" ref="AJ20" ca="1">IFERROR(IF(INDIRECT("Profile"&amp;"!"&amp;ADDRESS(MATCH($X$2,Profile!$D$1:$D$20,0)+ROW($X20)-ROW($X$2),MATCH(AJ$1,Profile!$2:$2,0),4))="","",INDIRECT("Profile"&amp;"!"&amp;ADDRESS(MATCH($X$2,Profile!$D$1:$D$20,0)+ROW($X20)-ROW($X$2),MATCH(AJ$1,Profile!$2:$2,0),4))),"")</f>
        <v/>
      </c>
      <c r="AK20" s="2" t="str" cm="1">
        <f t="array" aca="1" ref="AK20" ca="1">IFERROR(IF(INDIRECT("Profile"&amp;"!"&amp;ADDRESS(MATCH($X$2,Profile!$D$1:$D$20,0)+ROW($X20)-ROW($X$2),MATCH(AK$1,Profile!$2:$2,0),4))="","",INDIRECT("Profile"&amp;"!"&amp;ADDRESS(MATCH($X$2,Profile!$D$1:$D$20,0)+ROW($X20)-ROW($X$2),MATCH(AK$1,Profile!$2:$2,0),4))),"")</f>
        <v/>
      </c>
      <c r="AL20" s="2" t="str" cm="1">
        <f t="array" aca="1" ref="AL20" ca="1">IFERROR(IF(INDIRECT("Profile"&amp;"!"&amp;ADDRESS(MATCH($X$2,Profile!$D$1:$D$20,0)+ROW($X20)-ROW($X$2),MATCH(AL$1,Profile!$2:$2,0),4))="","",INDIRECT("Profile"&amp;"!"&amp;ADDRESS(MATCH($X$2,Profile!$D$1:$D$20,0)+ROW($X20)-ROW($X$2),MATCH(AL$1,Profile!$2:$2,0),4))),"")</f>
        <v/>
      </c>
      <c r="AM20" s="2" t="str" cm="1">
        <f t="array" aca="1" ref="AM20" ca="1">IFERROR(IF(INDIRECT("Profile"&amp;"!"&amp;ADDRESS(MATCH($X$2,Profile!$D$1:$D$20,0)+ROW($X20)-ROW($X$2),MATCH(AM$1,Profile!$2:$2,0),4))="","",INDIRECT("Profile"&amp;"!"&amp;ADDRESS(MATCH($X$2,Profile!$D$1:$D$20,0)+ROW($X20)-ROW($X$2),MATCH(AM$1,Profile!$2:$2,0),4))),"")</f>
        <v/>
      </c>
      <c r="AN20" s="2" t="str" cm="1">
        <f t="array" aca="1" ref="AN20" ca="1">IFERROR(IF(INDIRECT("Profile"&amp;"!"&amp;ADDRESS(MATCH($X$2,Profile!$D$1:$D$20,0)+ROW($X20)-ROW($X$2),MATCH(AN$1,Profile!$2:$2,0),4))="","",INDIRECT("Profile"&amp;"!"&amp;ADDRESS(MATCH($X$2,Profile!$D$1:$D$20,0)+ROW($X20)-ROW($X$2),MATCH(AN$1,Profile!$2:$2,0),4))),"")</f>
        <v/>
      </c>
    </row>
    <row r="21" spans="9:40" x14ac:dyDescent="0.25">
      <c r="I21" s="7">
        <v>18</v>
      </c>
      <c r="J21" s="7" t="str" cm="1">
        <f t="array" aca="1" ref="J21" ca="1">IFERROR(IF(INDIRECT("Profile"&amp;"!"&amp;ADDRESS(MATCH(J$1,Profile!$A$1:$A$20,0),MATCH($I21,Profile!$1:$1,0),4))="","",INDIRECT("Profile"&amp;"!"&amp;ADDRESS(MATCH(J$1,Profile!$A$1:$A$20,0),MATCH($I21,Profile!$1:$1,0),4))),"")</f>
        <v/>
      </c>
      <c r="K21" s="9" t="str" cm="1">
        <f t="array" aca="1" ref="K21" ca="1">IF($J21="","",IF(INDIRECT("Profile"&amp;"!"&amp;ADDRESS(MATCH(K$2,Profile!$C$1:$C$20,0),MATCH($I21,Profile!$1:$1,0),4))="","",INDIRECT("Profile"&amp;"!"&amp;ADDRESS(MATCH(K$2,Profile!$C$1:$C$20,0),MATCH($I21,Profile!$1:$1,0)))))</f>
        <v/>
      </c>
      <c r="L21" s="3" t="str" cm="1">
        <f t="array" aca="1" ref="L21" ca="1">IF($J21="","",IF(INDIRECT("Profile"&amp;"!"&amp;ADDRESS(MATCH(L$2,Profile!$C$1:$C$20,0),MATCH($I21,Profile!$1:$1,0),4))="","",INDIRECT("Profile"&amp;"!"&amp;ADDRESS(MATCH(L$2,Profile!$C$1:$C$20,0),MATCH($I21,Profile!$1:$1,0)))))</f>
        <v/>
      </c>
      <c r="M21" s="9" t="str" cm="1">
        <f t="array" aca="1" ref="M21" ca="1">IF($J21="","",IF(INDIRECT("Profile"&amp;"!"&amp;ADDRESS(MATCH(M$2,Profile!$C$1:$C$20,0),MATCH($I21,Profile!$1:$1,0),4))="","",INDIRECT("Profile"&amp;"!"&amp;ADDRESS(MATCH(M$2,Profile!$C$1:$C$20,0),MATCH($I21,Profile!$1:$1,0)))))</f>
        <v/>
      </c>
      <c r="N21" s="3" t="str" cm="1">
        <f t="array" aca="1" ref="N21" ca="1">IF($J21="","",IF(INDIRECT("Profile"&amp;"!"&amp;ADDRESS(MATCH(N$2,Profile!$C$1:$C$20,0),MATCH($I21,Profile!$1:$1,0),4))="","",INDIRECT("Profile"&amp;"!"&amp;ADDRESS(MATCH(N$2,Profile!$C$1:$C$20,0),MATCH($I21,Profile!$1:$1,0)))))</f>
        <v/>
      </c>
      <c r="O21" s="3" t="str" cm="1">
        <f t="array" aca="1" ref="O21" ca="1">IFERROR(IF($J21="","",INDIRECT("Profile"&amp;"!"&amp;ADDRESS(MATCH(O$2,Profile!$C$1:$C$20,0),MATCH($I21,Profile!$1:$1,0),4))),"")</f>
        <v/>
      </c>
      <c r="P21" s="9" t="str" cm="1">
        <f t="array" aca="1" ref="P21" ca="1">IFERROR(IF($J21="","",INDIRECT("Profile"&amp;"!"&amp;ADDRESS(MATCH(P$2,Profile!$C$1:$C$20,0),MATCH($I21,Profile!$1:$1,0),4))),"")</f>
        <v/>
      </c>
      <c r="Q21" s="3" t="str" cm="1">
        <f t="array" aca="1" ref="Q21" ca="1">IFERROR(IF($J21="","",INDIRECT("Profile"&amp;"!"&amp;ADDRESS(MATCH(Q$2,Profile!$C$1:$C$20,0),MATCH($I21,Profile!$1:$1,0),4))),"")</f>
        <v/>
      </c>
      <c r="R21" s="3" t="str" cm="1">
        <f t="array" aca="1" ref="R21" ca="1">IFERROR(IF($J21="","",INDIRECT("Profile"&amp;"!"&amp;ADDRESS(MATCH(R$2,Profile!$C$1:$C$20,0),MATCH($I21,Profile!$1:$1,0),4))),"")</f>
        <v/>
      </c>
      <c r="S21" s="3" t="str" cm="1">
        <f t="array" aca="1" ref="S21" ca="1">IFERROR(IF($J21="","",INDIRECT("Profile"&amp;"!"&amp;ADDRESS(MATCH(S$2,Profile!$C$1:$C$20,0),MATCH($I21,Profile!$1:$1,0),4))),"")</f>
        <v/>
      </c>
      <c r="T21" s="3" t="str" cm="1">
        <f t="array" aca="1" ref="T21" ca="1">IFERROR(IF($J21="","",INDIRECT("Profile"&amp;"!"&amp;ADDRESS(MATCH(T$2,Profile!$C$1:$C$20,0),MATCH($I21,Profile!$1:$1,0),4))),"")</f>
        <v/>
      </c>
      <c r="U21" s="38" t="str" cm="1">
        <f t="array" aca="1" ref="U21" ca="1">IFERROR(IF(INDIRECT("ID"&amp;"!"&amp;ADDRESS(MATCH($J21,ID!$B:$B,0),MATCH($U$1,ID!$1:$1,0),4))="","",INDIRECT("ID"&amp;"!"&amp;ADDRESS(MATCH($J21,ID!$B:$B,0),MATCH($U$1,ID!$1:$1,0),4))),"")</f>
        <v/>
      </c>
      <c r="X21" s="7">
        <v>-1.7</v>
      </c>
      <c r="Y21" s="7" t="str" cm="1">
        <f t="array" aca="1" ref="Y21" ca="1">IFERROR(IF(INDIRECT("Profile"&amp;"!"&amp;ADDRESS(MATCH($X$2,Profile!$D$1:$D$20,0)+ROW($X21)-ROW($X$2),MATCH(Y$1,Profile!$2:$2,0),4))="","",INDIRECT("Profile"&amp;"!"&amp;ADDRESS(MATCH($X$2,Profile!$D$1:$D$20,0)+ROW($X21)-ROW($X$2),MATCH(Y$1,Profile!$2:$2,0),4))),"")</f>
        <v/>
      </c>
      <c r="Z21" s="2" t="str" cm="1">
        <f t="array" aca="1" ref="Z21" ca="1">IFERROR(IF(INDIRECT("Profile"&amp;"!"&amp;ADDRESS(MATCH($X$2,Profile!$D$1:$D$20,0)+ROW($X21)-ROW($X$2),MATCH(Z$1,Profile!$2:$2,0),4))="","",INDIRECT("Profile"&amp;"!"&amp;ADDRESS(MATCH($X$2,Profile!$D$1:$D$20,0)+ROW($X21)-ROW($X$2),MATCH(Z$1,Profile!$2:$2,0),4))),"")</f>
        <v/>
      </c>
      <c r="AA21" s="2" t="str" cm="1">
        <f t="array" aca="1" ref="AA21" ca="1">IFERROR(IF(INDIRECT("Profile"&amp;"!"&amp;ADDRESS(MATCH($X$2,Profile!$D$1:$D$20,0)+ROW($X21)-ROW($X$2),MATCH(AA$1,Profile!$2:$2,0),4))="","",INDIRECT("Profile"&amp;"!"&amp;ADDRESS(MATCH($X$2,Profile!$D$1:$D$20,0)+ROW($X21)-ROW($X$2),MATCH(AA$1,Profile!$2:$2,0),4))),"")</f>
        <v/>
      </c>
      <c r="AB21" s="2" t="str" cm="1">
        <f t="array" aca="1" ref="AB21" ca="1">IFERROR(IF(INDIRECT("Profile"&amp;"!"&amp;ADDRESS(MATCH($X$2,Profile!$D$1:$D$20,0)+ROW($X21)-ROW($X$2),MATCH(AB$1,Profile!$2:$2,0),4))="","",INDIRECT("Profile"&amp;"!"&amp;ADDRESS(MATCH($X$2,Profile!$D$1:$D$20,0)+ROW($X21)-ROW($X$2),MATCH(AB$1,Profile!$2:$2,0),4))),"")</f>
        <v/>
      </c>
      <c r="AC21" s="2" t="str" cm="1">
        <f t="array" aca="1" ref="AC21" ca="1">IFERROR(IF(INDIRECT("Profile"&amp;"!"&amp;ADDRESS(MATCH($X$2,Profile!$D$1:$D$20,0)+ROW($X21)-ROW($X$2),MATCH(AC$1,Profile!$2:$2,0),4))="","",INDIRECT("Profile"&amp;"!"&amp;ADDRESS(MATCH($X$2,Profile!$D$1:$D$20,0)+ROW($X21)-ROW($X$2),MATCH(AC$1,Profile!$2:$2,0),4))),"")</f>
        <v/>
      </c>
      <c r="AD21" s="2" t="str" cm="1">
        <f t="array" aca="1" ref="AD21" ca="1">IFERROR(IF(INDIRECT("Profile"&amp;"!"&amp;ADDRESS(MATCH($X$2,Profile!$D$1:$D$20,0)+ROW($X21)-ROW($X$2),MATCH(AD$1,Profile!$2:$2,0),4))="","",INDIRECT("Profile"&amp;"!"&amp;ADDRESS(MATCH($X$2,Profile!$D$1:$D$20,0)+ROW($X21)-ROW($X$2),MATCH(AD$1,Profile!$2:$2,0),4))),"")</f>
        <v/>
      </c>
      <c r="AE21" s="2" t="str" cm="1">
        <f t="array" aca="1" ref="AE21" ca="1">IFERROR(IF(INDIRECT("Profile"&amp;"!"&amp;ADDRESS(MATCH($X$2,Profile!$D$1:$D$20,0)+ROW($X21)-ROW($X$2),MATCH(AE$1,Profile!$2:$2,0),4))="","",INDIRECT("Profile"&amp;"!"&amp;ADDRESS(MATCH($X$2,Profile!$D$1:$D$20,0)+ROW($X21)-ROW($X$2),MATCH(AE$1,Profile!$2:$2,0),4))),"")</f>
        <v/>
      </c>
      <c r="AF21" s="2" t="str" cm="1">
        <f t="array" aca="1" ref="AF21" ca="1">IFERROR(IF(INDIRECT("Profile"&amp;"!"&amp;ADDRESS(MATCH($X$2,Profile!$D$1:$D$20,0)+ROW($X21)-ROW($X$2),MATCH(AF$1,Profile!$2:$2,0),4))="","",INDIRECT("Profile"&amp;"!"&amp;ADDRESS(MATCH($X$2,Profile!$D$1:$D$20,0)+ROW($X21)-ROW($X$2),MATCH(AF$1,Profile!$2:$2,0),4))),"")</f>
        <v/>
      </c>
      <c r="AG21" s="2" t="str" cm="1">
        <f t="array" aca="1" ref="AG21" ca="1">IFERROR(IF(INDIRECT("Profile"&amp;"!"&amp;ADDRESS(MATCH($X$2,Profile!$D$1:$D$20,0)+ROW($X21)-ROW($X$2),MATCH(AG$1,Profile!$2:$2,0),4))="","",INDIRECT("Profile"&amp;"!"&amp;ADDRESS(MATCH($X$2,Profile!$D$1:$D$20,0)+ROW($X21)-ROW($X$2),MATCH(AG$1,Profile!$2:$2,0),4))),"")</f>
        <v/>
      </c>
      <c r="AH21" s="2" t="str" cm="1">
        <f t="array" aca="1" ref="AH21" ca="1">IFERROR(IF(INDIRECT("Profile"&amp;"!"&amp;ADDRESS(MATCH($X$2,Profile!$D$1:$D$20,0)+ROW($X21)-ROW($X$2),MATCH(AH$1,Profile!$2:$2,0),4))="","",INDIRECT("Profile"&amp;"!"&amp;ADDRESS(MATCH($X$2,Profile!$D$1:$D$20,0)+ROW($X21)-ROW($X$2),MATCH(AH$1,Profile!$2:$2,0),4))),"")</f>
        <v/>
      </c>
      <c r="AI21" s="2" t="str" cm="1">
        <f t="array" aca="1" ref="AI21" ca="1">IFERROR(IF(INDIRECT("Profile"&amp;"!"&amp;ADDRESS(MATCH($X$2,Profile!$D$1:$D$20,0)+ROW($X21)-ROW($X$2),MATCH(AI$1,Profile!$2:$2,0),4))="","",INDIRECT("Profile"&amp;"!"&amp;ADDRESS(MATCH($X$2,Profile!$D$1:$D$20,0)+ROW($X21)-ROW($X$2),MATCH(AI$1,Profile!$2:$2,0),4))),"")</f>
        <v/>
      </c>
      <c r="AJ21" s="2" t="str" cm="1">
        <f t="array" aca="1" ref="AJ21" ca="1">IFERROR(IF(INDIRECT("Profile"&amp;"!"&amp;ADDRESS(MATCH($X$2,Profile!$D$1:$D$20,0)+ROW($X21)-ROW($X$2),MATCH(AJ$1,Profile!$2:$2,0),4))="","",INDIRECT("Profile"&amp;"!"&amp;ADDRESS(MATCH($X$2,Profile!$D$1:$D$20,0)+ROW($X21)-ROW($X$2),MATCH(AJ$1,Profile!$2:$2,0),4))),"")</f>
        <v/>
      </c>
      <c r="AK21" s="2" t="str" cm="1">
        <f t="array" aca="1" ref="AK21" ca="1">IFERROR(IF(INDIRECT("Profile"&amp;"!"&amp;ADDRESS(MATCH($X$2,Profile!$D$1:$D$20,0)+ROW($X21)-ROW($X$2),MATCH(AK$1,Profile!$2:$2,0),4))="","",INDIRECT("Profile"&amp;"!"&amp;ADDRESS(MATCH($X$2,Profile!$D$1:$D$20,0)+ROW($X21)-ROW($X$2),MATCH(AK$1,Profile!$2:$2,0),4))),"")</f>
        <v/>
      </c>
      <c r="AL21" s="2" t="str" cm="1">
        <f t="array" aca="1" ref="AL21" ca="1">IFERROR(IF(INDIRECT("Profile"&amp;"!"&amp;ADDRESS(MATCH($X$2,Profile!$D$1:$D$20,0)+ROW($X21)-ROW($X$2),MATCH(AL$1,Profile!$2:$2,0),4))="","",INDIRECT("Profile"&amp;"!"&amp;ADDRESS(MATCH($X$2,Profile!$D$1:$D$20,0)+ROW($X21)-ROW($X$2),MATCH(AL$1,Profile!$2:$2,0),4))),"")</f>
        <v/>
      </c>
      <c r="AM21" s="2" t="str" cm="1">
        <f t="array" aca="1" ref="AM21" ca="1">IFERROR(IF(INDIRECT("Profile"&amp;"!"&amp;ADDRESS(MATCH($X$2,Profile!$D$1:$D$20,0)+ROW($X21)-ROW($X$2),MATCH(AM$1,Profile!$2:$2,0),4))="","",INDIRECT("Profile"&amp;"!"&amp;ADDRESS(MATCH($X$2,Profile!$D$1:$D$20,0)+ROW($X21)-ROW($X$2),MATCH(AM$1,Profile!$2:$2,0),4))),"")</f>
        <v/>
      </c>
      <c r="AN21" s="2" t="str" cm="1">
        <f t="array" aca="1" ref="AN21" ca="1">IFERROR(IF(INDIRECT("Profile"&amp;"!"&amp;ADDRESS(MATCH($X$2,Profile!$D$1:$D$20,0)+ROW($X21)-ROW($X$2),MATCH(AN$1,Profile!$2:$2,0),4))="","",INDIRECT("Profile"&amp;"!"&amp;ADDRESS(MATCH($X$2,Profile!$D$1:$D$20,0)+ROW($X21)-ROW($X$2),MATCH(AN$1,Profile!$2:$2,0),4))),"")</f>
        <v/>
      </c>
    </row>
    <row r="22" spans="9:40" x14ac:dyDescent="0.25">
      <c r="I22" s="7">
        <v>19</v>
      </c>
      <c r="J22" s="7" t="str" cm="1">
        <f t="array" aca="1" ref="J22" ca="1">IFERROR(IF(INDIRECT("Profile"&amp;"!"&amp;ADDRESS(MATCH(J$1,Profile!$A$1:$A$20,0),MATCH($I22,Profile!$1:$1,0),4))="","",INDIRECT("Profile"&amp;"!"&amp;ADDRESS(MATCH(J$1,Profile!$A$1:$A$20,0),MATCH($I22,Profile!$1:$1,0),4))),"")</f>
        <v/>
      </c>
      <c r="K22" s="9" t="str" cm="1">
        <f t="array" aca="1" ref="K22" ca="1">IF($J22="","",IF(INDIRECT("Profile"&amp;"!"&amp;ADDRESS(MATCH(K$2,Profile!$C$1:$C$20,0),MATCH($I22,Profile!$1:$1,0),4))="","",INDIRECT("Profile"&amp;"!"&amp;ADDRESS(MATCH(K$2,Profile!$C$1:$C$20,0),MATCH($I22,Profile!$1:$1,0)))))</f>
        <v/>
      </c>
      <c r="L22" s="3" t="str" cm="1">
        <f t="array" aca="1" ref="L22" ca="1">IF($J22="","",IF(INDIRECT("Profile"&amp;"!"&amp;ADDRESS(MATCH(L$2,Profile!$C$1:$C$20,0),MATCH($I22,Profile!$1:$1,0),4))="","",INDIRECT("Profile"&amp;"!"&amp;ADDRESS(MATCH(L$2,Profile!$C$1:$C$20,0),MATCH($I22,Profile!$1:$1,0)))))</f>
        <v/>
      </c>
      <c r="M22" s="9" t="str" cm="1">
        <f t="array" aca="1" ref="M22" ca="1">IF($J22="","",IF(INDIRECT("Profile"&amp;"!"&amp;ADDRESS(MATCH(M$2,Profile!$C$1:$C$20,0),MATCH($I22,Profile!$1:$1,0),4))="","",INDIRECT("Profile"&amp;"!"&amp;ADDRESS(MATCH(M$2,Profile!$C$1:$C$20,0),MATCH($I22,Profile!$1:$1,0)))))</f>
        <v/>
      </c>
      <c r="N22" s="3" t="str" cm="1">
        <f t="array" aca="1" ref="N22" ca="1">IF($J22="","",IF(INDIRECT("Profile"&amp;"!"&amp;ADDRESS(MATCH(N$2,Profile!$C$1:$C$20,0),MATCH($I22,Profile!$1:$1,0),4))="","",INDIRECT("Profile"&amp;"!"&amp;ADDRESS(MATCH(N$2,Profile!$C$1:$C$20,0),MATCH($I22,Profile!$1:$1,0)))))</f>
        <v/>
      </c>
      <c r="O22" s="3" t="str" cm="1">
        <f t="array" aca="1" ref="O22" ca="1">IFERROR(IF($J22="","",INDIRECT("Profile"&amp;"!"&amp;ADDRESS(MATCH(O$2,Profile!$C$1:$C$20,0),MATCH($I22,Profile!$1:$1,0),4))),"")</f>
        <v/>
      </c>
      <c r="P22" s="9" t="str" cm="1">
        <f t="array" aca="1" ref="P22" ca="1">IFERROR(IF($J22="","",INDIRECT("Profile"&amp;"!"&amp;ADDRESS(MATCH(P$2,Profile!$C$1:$C$20,0),MATCH($I22,Profile!$1:$1,0),4))),"")</f>
        <v/>
      </c>
      <c r="Q22" s="3" t="str" cm="1">
        <f t="array" aca="1" ref="Q22" ca="1">IFERROR(IF($J22="","",INDIRECT("Profile"&amp;"!"&amp;ADDRESS(MATCH(Q$2,Profile!$C$1:$C$20,0),MATCH($I22,Profile!$1:$1,0),4))),"")</f>
        <v/>
      </c>
      <c r="R22" s="3" t="str" cm="1">
        <f t="array" aca="1" ref="R22" ca="1">IFERROR(IF($J22="","",INDIRECT("Profile"&amp;"!"&amp;ADDRESS(MATCH(R$2,Profile!$C$1:$C$20,0),MATCH($I22,Profile!$1:$1,0),4))),"")</f>
        <v/>
      </c>
      <c r="S22" s="3" t="str" cm="1">
        <f t="array" aca="1" ref="S22" ca="1">IFERROR(IF($J22="","",INDIRECT("Profile"&amp;"!"&amp;ADDRESS(MATCH(S$2,Profile!$C$1:$C$20,0),MATCH($I22,Profile!$1:$1,0),4))),"")</f>
        <v/>
      </c>
      <c r="T22" s="3" t="str" cm="1">
        <f t="array" aca="1" ref="T22" ca="1">IFERROR(IF($J22="","",INDIRECT("Profile"&amp;"!"&amp;ADDRESS(MATCH(T$2,Profile!$C$1:$C$20,0),MATCH($I22,Profile!$1:$1,0),4))),"")</f>
        <v/>
      </c>
      <c r="U22" s="38" t="str" cm="1">
        <f t="array" aca="1" ref="U22" ca="1">IFERROR(IF(INDIRECT("ID"&amp;"!"&amp;ADDRESS(MATCH($J22,ID!$B:$B,0),MATCH($U$1,ID!$1:$1,0),4))="","",INDIRECT("ID"&amp;"!"&amp;ADDRESS(MATCH($J22,ID!$B:$B,0),MATCH($U$1,ID!$1:$1,0),4))),"")</f>
        <v/>
      </c>
      <c r="X22" s="7">
        <v>-1.8</v>
      </c>
      <c r="Y22" s="7" t="str" cm="1">
        <f t="array" aca="1" ref="Y22" ca="1">IFERROR(IF(INDIRECT("Profile"&amp;"!"&amp;ADDRESS(MATCH($X$2,Profile!$D$1:$D$20,0)+ROW($X22)-ROW($X$2),MATCH(Y$1,Profile!$2:$2,0),4))="","",INDIRECT("Profile"&amp;"!"&amp;ADDRESS(MATCH($X$2,Profile!$D$1:$D$20,0)+ROW($X22)-ROW($X$2),MATCH(Y$1,Profile!$2:$2,0),4))),"")</f>
        <v/>
      </c>
      <c r="Z22" s="2" t="str" cm="1">
        <f t="array" aca="1" ref="Z22" ca="1">IFERROR(IF(INDIRECT("Profile"&amp;"!"&amp;ADDRESS(MATCH($X$2,Profile!$D$1:$D$20,0)+ROW($X22)-ROW($X$2),MATCH(Z$1,Profile!$2:$2,0),4))="","",INDIRECT("Profile"&amp;"!"&amp;ADDRESS(MATCH($X$2,Profile!$D$1:$D$20,0)+ROW($X22)-ROW($X$2),MATCH(Z$1,Profile!$2:$2,0),4))),"")</f>
        <v/>
      </c>
      <c r="AA22" s="2" t="str" cm="1">
        <f t="array" aca="1" ref="AA22" ca="1">IFERROR(IF(INDIRECT("Profile"&amp;"!"&amp;ADDRESS(MATCH($X$2,Profile!$D$1:$D$20,0)+ROW($X22)-ROW($X$2),MATCH(AA$1,Profile!$2:$2,0),4))="","",INDIRECT("Profile"&amp;"!"&amp;ADDRESS(MATCH($X$2,Profile!$D$1:$D$20,0)+ROW($X22)-ROW($X$2),MATCH(AA$1,Profile!$2:$2,0),4))),"")</f>
        <v/>
      </c>
      <c r="AB22" s="2" t="str" cm="1">
        <f t="array" aca="1" ref="AB22" ca="1">IFERROR(IF(INDIRECT("Profile"&amp;"!"&amp;ADDRESS(MATCH($X$2,Profile!$D$1:$D$20,0)+ROW($X22)-ROW($X$2),MATCH(AB$1,Profile!$2:$2,0),4))="","",INDIRECT("Profile"&amp;"!"&amp;ADDRESS(MATCH($X$2,Profile!$D$1:$D$20,0)+ROW($X22)-ROW($X$2),MATCH(AB$1,Profile!$2:$2,0),4))),"")</f>
        <v/>
      </c>
      <c r="AC22" s="2" t="str" cm="1">
        <f t="array" aca="1" ref="AC22" ca="1">IFERROR(IF(INDIRECT("Profile"&amp;"!"&amp;ADDRESS(MATCH($X$2,Profile!$D$1:$D$20,0)+ROW($X22)-ROW($X$2),MATCH(AC$1,Profile!$2:$2,0),4))="","",INDIRECT("Profile"&amp;"!"&amp;ADDRESS(MATCH($X$2,Profile!$D$1:$D$20,0)+ROW($X22)-ROW($X$2),MATCH(AC$1,Profile!$2:$2,0),4))),"")</f>
        <v/>
      </c>
      <c r="AD22" s="2" t="str" cm="1">
        <f t="array" aca="1" ref="AD22" ca="1">IFERROR(IF(INDIRECT("Profile"&amp;"!"&amp;ADDRESS(MATCH($X$2,Profile!$D$1:$D$20,0)+ROW($X22)-ROW($X$2),MATCH(AD$1,Profile!$2:$2,0),4))="","",INDIRECT("Profile"&amp;"!"&amp;ADDRESS(MATCH($X$2,Profile!$D$1:$D$20,0)+ROW($X22)-ROW($X$2),MATCH(AD$1,Profile!$2:$2,0),4))),"")</f>
        <v/>
      </c>
      <c r="AE22" s="2" t="str" cm="1">
        <f t="array" aca="1" ref="AE22" ca="1">IFERROR(IF(INDIRECT("Profile"&amp;"!"&amp;ADDRESS(MATCH($X$2,Profile!$D$1:$D$20,0)+ROW($X22)-ROW($X$2),MATCH(AE$1,Profile!$2:$2,0),4))="","",INDIRECT("Profile"&amp;"!"&amp;ADDRESS(MATCH($X$2,Profile!$D$1:$D$20,0)+ROW($X22)-ROW($X$2),MATCH(AE$1,Profile!$2:$2,0),4))),"")</f>
        <v/>
      </c>
      <c r="AF22" s="2" t="str" cm="1">
        <f t="array" aca="1" ref="AF22" ca="1">IFERROR(IF(INDIRECT("Profile"&amp;"!"&amp;ADDRESS(MATCH($X$2,Profile!$D$1:$D$20,0)+ROW($X22)-ROW($X$2),MATCH(AF$1,Profile!$2:$2,0),4))="","",INDIRECT("Profile"&amp;"!"&amp;ADDRESS(MATCH($X$2,Profile!$D$1:$D$20,0)+ROW($X22)-ROW($X$2),MATCH(AF$1,Profile!$2:$2,0),4))),"")</f>
        <v/>
      </c>
      <c r="AG22" s="2" t="str" cm="1">
        <f t="array" aca="1" ref="AG22" ca="1">IFERROR(IF(INDIRECT("Profile"&amp;"!"&amp;ADDRESS(MATCH($X$2,Profile!$D$1:$D$20,0)+ROW($X22)-ROW($X$2),MATCH(AG$1,Profile!$2:$2,0),4))="","",INDIRECT("Profile"&amp;"!"&amp;ADDRESS(MATCH($X$2,Profile!$D$1:$D$20,0)+ROW($X22)-ROW($X$2),MATCH(AG$1,Profile!$2:$2,0),4))),"")</f>
        <v/>
      </c>
      <c r="AH22" s="2" t="str" cm="1">
        <f t="array" aca="1" ref="AH22" ca="1">IFERROR(IF(INDIRECT("Profile"&amp;"!"&amp;ADDRESS(MATCH($X$2,Profile!$D$1:$D$20,0)+ROW($X22)-ROW($X$2),MATCH(AH$1,Profile!$2:$2,0),4))="","",INDIRECT("Profile"&amp;"!"&amp;ADDRESS(MATCH($X$2,Profile!$D$1:$D$20,0)+ROW($X22)-ROW($X$2),MATCH(AH$1,Profile!$2:$2,0),4))),"")</f>
        <v/>
      </c>
      <c r="AI22" s="2" t="str" cm="1">
        <f t="array" aca="1" ref="AI22" ca="1">IFERROR(IF(INDIRECT("Profile"&amp;"!"&amp;ADDRESS(MATCH($X$2,Profile!$D$1:$D$20,0)+ROW($X22)-ROW($X$2),MATCH(AI$1,Profile!$2:$2,0),4))="","",INDIRECT("Profile"&amp;"!"&amp;ADDRESS(MATCH($X$2,Profile!$D$1:$D$20,0)+ROW($X22)-ROW($X$2),MATCH(AI$1,Profile!$2:$2,0),4))),"")</f>
        <v/>
      </c>
      <c r="AJ22" s="2" t="str" cm="1">
        <f t="array" aca="1" ref="AJ22" ca="1">IFERROR(IF(INDIRECT("Profile"&amp;"!"&amp;ADDRESS(MATCH($X$2,Profile!$D$1:$D$20,0)+ROW($X22)-ROW($X$2),MATCH(AJ$1,Profile!$2:$2,0),4))="","",INDIRECT("Profile"&amp;"!"&amp;ADDRESS(MATCH($X$2,Profile!$D$1:$D$20,0)+ROW($X22)-ROW($X$2),MATCH(AJ$1,Profile!$2:$2,0),4))),"")</f>
        <v/>
      </c>
      <c r="AK22" s="2" t="str" cm="1">
        <f t="array" aca="1" ref="AK22" ca="1">IFERROR(IF(INDIRECT("Profile"&amp;"!"&amp;ADDRESS(MATCH($X$2,Profile!$D$1:$D$20,0)+ROW($X22)-ROW($X$2),MATCH(AK$1,Profile!$2:$2,0),4))="","",INDIRECT("Profile"&amp;"!"&amp;ADDRESS(MATCH($X$2,Profile!$D$1:$D$20,0)+ROW($X22)-ROW($X$2),MATCH(AK$1,Profile!$2:$2,0),4))),"")</f>
        <v/>
      </c>
      <c r="AL22" s="2" t="str" cm="1">
        <f t="array" aca="1" ref="AL22" ca="1">IFERROR(IF(INDIRECT("Profile"&amp;"!"&amp;ADDRESS(MATCH($X$2,Profile!$D$1:$D$20,0)+ROW($X22)-ROW($X$2),MATCH(AL$1,Profile!$2:$2,0),4))="","",INDIRECT("Profile"&amp;"!"&amp;ADDRESS(MATCH($X$2,Profile!$D$1:$D$20,0)+ROW($X22)-ROW($X$2),MATCH(AL$1,Profile!$2:$2,0),4))),"")</f>
        <v/>
      </c>
      <c r="AM22" s="2" t="str" cm="1">
        <f t="array" aca="1" ref="AM22" ca="1">IFERROR(IF(INDIRECT("Profile"&amp;"!"&amp;ADDRESS(MATCH($X$2,Profile!$D$1:$D$20,0)+ROW($X22)-ROW($X$2),MATCH(AM$1,Profile!$2:$2,0),4))="","",INDIRECT("Profile"&amp;"!"&amp;ADDRESS(MATCH($X$2,Profile!$D$1:$D$20,0)+ROW($X22)-ROW($X$2),MATCH(AM$1,Profile!$2:$2,0),4))),"")</f>
        <v/>
      </c>
      <c r="AN22" s="2" t="str" cm="1">
        <f t="array" aca="1" ref="AN22" ca="1">IFERROR(IF(INDIRECT("Profile"&amp;"!"&amp;ADDRESS(MATCH($X$2,Profile!$D$1:$D$20,0)+ROW($X22)-ROW($X$2),MATCH(AN$1,Profile!$2:$2,0),4))="","",INDIRECT("Profile"&amp;"!"&amp;ADDRESS(MATCH($X$2,Profile!$D$1:$D$20,0)+ROW($X22)-ROW($X$2),MATCH(AN$1,Profile!$2:$2,0),4))),"")</f>
        <v/>
      </c>
    </row>
    <row r="23" spans="9:40" x14ac:dyDescent="0.25">
      <c r="I23" s="7">
        <v>20</v>
      </c>
      <c r="J23" s="7" t="str" cm="1">
        <f t="array" aca="1" ref="J23" ca="1">IFERROR(IF(INDIRECT("Profile"&amp;"!"&amp;ADDRESS(MATCH(J$1,Profile!$A$1:$A$20,0),MATCH($I23,Profile!$1:$1,0),4))="","",INDIRECT("Profile"&amp;"!"&amp;ADDRESS(MATCH(J$1,Profile!$A$1:$A$20,0),MATCH($I23,Profile!$1:$1,0),4))),"")</f>
        <v/>
      </c>
      <c r="K23" s="9" t="str" cm="1">
        <f t="array" aca="1" ref="K23" ca="1">IF($J23="","",IF(INDIRECT("Profile"&amp;"!"&amp;ADDRESS(MATCH(K$2,Profile!$C$1:$C$20,0),MATCH($I23,Profile!$1:$1,0),4))="","",INDIRECT("Profile"&amp;"!"&amp;ADDRESS(MATCH(K$2,Profile!$C$1:$C$20,0),MATCH($I23,Profile!$1:$1,0)))))</f>
        <v/>
      </c>
      <c r="L23" s="3" t="str" cm="1">
        <f t="array" aca="1" ref="L23" ca="1">IF($J23="","",IF(INDIRECT("Profile"&amp;"!"&amp;ADDRESS(MATCH(L$2,Profile!$C$1:$C$20,0),MATCH($I23,Profile!$1:$1,0),4))="","",INDIRECT("Profile"&amp;"!"&amp;ADDRESS(MATCH(L$2,Profile!$C$1:$C$20,0),MATCH($I23,Profile!$1:$1,0)))))</f>
        <v/>
      </c>
      <c r="M23" s="9" t="str" cm="1">
        <f t="array" aca="1" ref="M23" ca="1">IF($J23="","",IF(INDIRECT("Profile"&amp;"!"&amp;ADDRESS(MATCH(M$2,Profile!$C$1:$C$20,0),MATCH($I23,Profile!$1:$1,0),4))="","",INDIRECT("Profile"&amp;"!"&amp;ADDRESS(MATCH(M$2,Profile!$C$1:$C$20,0),MATCH($I23,Profile!$1:$1,0)))))</f>
        <v/>
      </c>
      <c r="N23" s="3" t="str" cm="1">
        <f t="array" aca="1" ref="N23" ca="1">IF($J23="","",IF(INDIRECT("Profile"&amp;"!"&amp;ADDRESS(MATCH(N$2,Profile!$C$1:$C$20,0),MATCH($I23,Profile!$1:$1,0),4))="","",INDIRECT("Profile"&amp;"!"&amp;ADDRESS(MATCH(N$2,Profile!$C$1:$C$20,0),MATCH($I23,Profile!$1:$1,0)))))</f>
        <v/>
      </c>
      <c r="O23" s="3" t="str" cm="1">
        <f t="array" aca="1" ref="O23" ca="1">IFERROR(IF($J23="","",INDIRECT("Profile"&amp;"!"&amp;ADDRESS(MATCH(O$2,Profile!$C$1:$C$20,0),MATCH($I23,Profile!$1:$1,0),4))),"")</f>
        <v/>
      </c>
      <c r="P23" s="9" t="str" cm="1">
        <f t="array" aca="1" ref="P23" ca="1">IFERROR(IF($J23="","",INDIRECT("Profile"&amp;"!"&amp;ADDRESS(MATCH(P$2,Profile!$C$1:$C$20,0),MATCH($I23,Profile!$1:$1,0),4))),"")</f>
        <v/>
      </c>
      <c r="Q23" s="3" t="str" cm="1">
        <f t="array" aca="1" ref="Q23" ca="1">IFERROR(IF($J23="","",INDIRECT("Profile"&amp;"!"&amp;ADDRESS(MATCH(Q$2,Profile!$C$1:$C$20,0),MATCH($I23,Profile!$1:$1,0),4))),"")</f>
        <v/>
      </c>
      <c r="R23" s="3" t="str" cm="1">
        <f t="array" aca="1" ref="R23" ca="1">IFERROR(IF($J23="","",INDIRECT("Profile"&amp;"!"&amp;ADDRESS(MATCH(R$2,Profile!$C$1:$C$20,0),MATCH($I23,Profile!$1:$1,0),4))),"")</f>
        <v/>
      </c>
      <c r="S23" s="3" t="str" cm="1">
        <f t="array" aca="1" ref="S23" ca="1">IFERROR(IF($J23="","",INDIRECT("Profile"&amp;"!"&amp;ADDRESS(MATCH(S$2,Profile!$C$1:$C$20,0),MATCH($I23,Profile!$1:$1,0),4))),"")</f>
        <v/>
      </c>
      <c r="T23" s="3" t="str" cm="1">
        <f t="array" aca="1" ref="T23" ca="1">IFERROR(IF($J23="","",INDIRECT("Profile"&amp;"!"&amp;ADDRESS(MATCH(T$2,Profile!$C$1:$C$20,0),MATCH($I23,Profile!$1:$1,0),4))),"")</f>
        <v/>
      </c>
      <c r="U23" s="38" t="str" cm="1">
        <f t="array" aca="1" ref="U23" ca="1">IFERROR(IF(INDIRECT("ID"&amp;"!"&amp;ADDRESS(MATCH($J23,ID!$B:$B,0),MATCH($U$1,ID!$1:$1,0),4))="","",INDIRECT("ID"&amp;"!"&amp;ADDRESS(MATCH($J23,ID!$B:$B,0),MATCH($U$1,ID!$1:$1,0),4))),"")</f>
        <v/>
      </c>
      <c r="X23" s="7">
        <v>-1.9</v>
      </c>
      <c r="Y23" s="7" t="str" cm="1">
        <f t="array" aca="1" ref="Y23" ca="1">IFERROR(IF(INDIRECT("Profile"&amp;"!"&amp;ADDRESS(MATCH($X$2,Profile!$D$1:$D$20,0)+ROW($X23)-ROW($X$2),MATCH(Y$1,Profile!$2:$2,0),4))="","",INDIRECT("Profile"&amp;"!"&amp;ADDRESS(MATCH($X$2,Profile!$D$1:$D$20,0)+ROW($X23)-ROW($X$2),MATCH(Y$1,Profile!$2:$2,0),4))),"")</f>
        <v/>
      </c>
      <c r="Z23" s="2" t="str" cm="1">
        <f t="array" aca="1" ref="Z23" ca="1">IFERROR(IF(INDIRECT("Profile"&amp;"!"&amp;ADDRESS(MATCH($X$2,Profile!$D$1:$D$20,0)+ROW($X23)-ROW($X$2),MATCH(Z$1,Profile!$2:$2,0),4))="","",INDIRECT("Profile"&amp;"!"&amp;ADDRESS(MATCH($X$2,Profile!$D$1:$D$20,0)+ROW($X23)-ROW($X$2),MATCH(Z$1,Profile!$2:$2,0),4))),"")</f>
        <v/>
      </c>
      <c r="AA23" s="2" t="str" cm="1">
        <f t="array" aca="1" ref="AA23" ca="1">IFERROR(IF(INDIRECT("Profile"&amp;"!"&amp;ADDRESS(MATCH($X$2,Profile!$D$1:$D$20,0)+ROW($X23)-ROW($X$2),MATCH(AA$1,Profile!$2:$2,0),4))="","",INDIRECT("Profile"&amp;"!"&amp;ADDRESS(MATCH($X$2,Profile!$D$1:$D$20,0)+ROW($X23)-ROW($X$2),MATCH(AA$1,Profile!$2:$2,0),4))),"")</f>
        <v/>
      </c>
      <c r="AB23" s="2" t="str" cm="1">
        <f t="array" aca="1" ref="AB23" ca="1">IFERROR(IF(INDIRECT("Profile"&amp;"!"&amp;ADDRESS(MATCH($X$2,Profile!$D$1:$D$20,0)+ROW($X23)-ROW($X$2),MATCH(AB$1,Profile!$2:$2,0),4))="","",INDIRECT("Profile"&amp;"!"&amp;ADDRESS(MATCH($X$2,Profile!$D$1:$D$20,0)+ROW($X23)-ROW($X$2),MATCH(AB$1,Profile!$2:$2,0),4))),"")</f>
        <v/>
      </c>
      <c r="AC23" s="2" t="str" cm="1">
        <f t="array" aca="1" ref="AC23" ca="1">IFERROR(IF(INDIRECT("Profile"&amp;"!"&amp;ADDRESS(MATCH($X$2,Profile!$D$1:$D$20,0)+ROW($X23)-ROW($X$2),MATCH(AC$1,Profile!$2:$2,0),4))="","",INDIRECT("Profile"&amp;"!"&amp;ADDRESS(MATCH($X$2,Profile!$D$1:$D$20,0)+ROW($X23)-ROW($X$2),MATCH(AC$1,Profile!$2:$2,0),4))),"")</f>
        <v/>
      </c>
      <c r="AD23" s="2" t="str" cm="1">
        <f t="array" aca="1" ref="AD23" ca="1">IFERROR(IF(INDIRECT("Profile"&amp;"!"&amp;ADDRESS(MATCH($X$2,Profile!$D$1:$D$20,0)+ROW($X23)-ROW($X$2),MATCH(AD$1,Profile!$2:$2,0),4))="","",INDIRECT("Profile"&amp;"!"&amp;ADDRESS(MATCH($X$2,Profile!$D$1:$D$20,0)+ROW($X23)-ROW($X$2),MATCH(AD$1,Profile!$2:$2,0),4))),"")</f>
        <v/>
      </c>
      <c r="AE23" s="2" t="str" cm="1">
        <f t="array" aca="1" ref="AE23" ca="1">IFERROR(IF(INDIRECT("Profile"&amp;"!"&amp;ADDRESS(MATCH($X$2,Profile!$D$1:$D$20,0)+ROW($X23)-ROW($X$2),MATCH(AE$1,Profile!$2:$2,0),4))="","",INDIRECT("Profile"&amp;"!"&amp;ADDRESS(MATCH($X$2,Profile!$D$1:$D$20,0)+ROW($X23)-ROW($X$2),MATCH(AE$1,Profile!$2:$2,0),4))),"")</f>
        <v/>
      </c>
      <c r="AF23" s="2" t="str" cm="1">
        <f t="array" aca="1" ref="AF23" ca="1">IFERROR(IF(INDIRECT("Profile"&amp;"!"&amp;ADDRESS(MATCH($X$2,Profile!$D$1:$D$20,0)+ROW($X23)-ROW($X$2),MATCH(AF$1,Profile!$2:$2,0),4))="","",INDIRECT("Profile"&amp;"!"&amp;ADDRESS(MATCH($X$2,Profile!$D$1:$D$20,0)+ROW($X23)-ROW($X$2),MATCH(AF$1,Profile!$2:$2,0),4))),"")</f>
        <v/>
      </c>
      <c r="AG23" s="2" t="str" cm="1">
        <f t="array" aca="1" ref="AG23" ca="1">IFERROR(IF(INDIRECT("Profile"&amp;"!"&amp;ADDRESS(MATCH($X$2,Profile!$D$1:$D$20,0)+ROW($X23)-ROW($X$2),MATCH(AG$1,Profile!$2:$2,0),4))="","",INDIRECT("Profile"&amp;"!"&amp;ADDRESS(MATCH($X$2,Profile!$D$1:$D$20,0)+ROW($X23)-ROW($X$2),MATCH(AG$1,Profile!$2:$2,0),4))),"")</f>
        <v/>
      </c>
      <c r="AH23" s="2" t="str" cm="1">
        <f t="array" aca="1" ref="AH23" ca="1">IFERROR(IF(INDIRECT("Profile"&amp;"!"&amp;ADDRESS(MATCH($X$2,Profile!$D$1:$D$20,0)+ROW($X23)-ROW($X$2),MATCH(AH$1,Profile!$2:$2,0),4))="","",INDIRECT("Profile"&amp;"!"&amp;ADDRESS(MATCH($X$2,Profile!$D$1:$D$20,0)+ROW($X23)-ROW($X$2),MATCH(AH$1,Profile!$2:$2,0),4))),"")</f>
        <v/>
      </c>
      <c r="AI23" s="2" t="str" cm="1">
        <f t="array" aca="1" ref="AI23" ca="1">IFERROR(IF(INDIRECT("Profile"&amp;"!"&amp;ADDRESS(MATCH($X$2,Profile!$D$1:$D$20,0)+ROW($X23)-ROW($X$2),MATCH(AI$1,Profile!$2:$2,0),4))="","",INDIRECT("Profile"&amp;"!"&amp;ADDRESS(MATCH($X$2,Profile!$D$1:$D$20,0)+ROW($X23)-ROW($X$2),MATCH(AI$1,Profile!$2:$2,0),4))),"")</f>
        <v/>
      </c>
      <c r="AJ23" s="2" t="str" cm="1">
        <f t="array" aca="1" ref="AJ23" ca="1">IFERROR(IF(INDIRECT("Profile"&amp;"!"&amp;ADDRESS(MATCH($X$2,Profile!$D$1:$D$20,0)+ROW($X23)-ROW($X$2),MATCH(AJ$1,Profile!$2:$2,0),4))="","",INDIRECT("Profile"&amp;"!"&amp;ADDRESS(MATCH($X$2,Profile!$D$1:$D$20,0)+ROW($X23)-ROW($X$2),MATCH(AJ$1,Profile!$2:$2,0),4))),"")</f>
        <v/>
      </c>
      <c r="AK23" s="2" t="str" cm="1">
        <f t="array" aca="1" ref="AK23" ca="1">IFERROR(IF(INDIRECT("Profile"&amp;"!"&amp;ADDRESS(MATCH($X$2,Profile!$D$1:$D$20,0)+ROW($X23)-ROW($X$2),MATCH(AK$1,Profile!$2:$2,0),4))="","",INDIRECT("Profile"&amp;"!"&amp;ADDRESS(MATCH($X$2,Profile!$D$1:$D$20,0)+ROW($X23)-ROW($X$2),MATCH(AK$1,Profile!$2:$2,0),4))),"")</f>
        <v/>
      </c>
      <c r="AL23" s="2" t="str" cm="1">
        <f t="array" aca="1" ref="AL23" ca="1">IFERROR(IF(INDIRECT("Profile"&amp;"!"&amp;ADDRESS(MATCH($X$2,Profile!$D$1:$D$20,0)+ROW($X23)-ROW($X$2),MATCH(AL$1,Profile!$2:$2,0),4))="","",INDIRECT("Profile"&amp;"!"&amp;ADDRESS(MATCH($X$2,Profile!$D$1:$D$20,0)+ROW($X23)-ROW($X$2),MATCH(AL$1,Profile!$2:$2,0),4))),"")</f>
        <v/>
      </c>
      <c r="AM23" s="2" t="str" cm="1">
        <f t="array" aca="1" ref="AM23" ca="1">IFERROR(IF(INDIRECT("Profile"&amp;"!"&amp;ADDRESS(MATCH($X$2,Profile!$D$1:$D$20,0)+ROW($X23)-ROW($X$2),MATCH(AM$1,Profile!$2:$2,0),4))="","",INDIRECT("Profile"&amp;"!"&amp;ADDRESS(MATCH($X$2,Profile!$D$1:$D$20,0)+ROW($X23)-ROW($X$2),MATCH(AM$1,Profile!$2:$2,0),4))),"")</f>
        <v/>
      </c>
      <c r="AN23" s="2" t="str" cm="1">
        <f t="array" aca="1" ref="AN23" ca="1">IFERROR(IF(INDIRECT("Profile"&amp;"!"&amp;ADDRESS(MATCH($X$2,Profile!$D$1:$D$20,0)+ROW($X23)-ROW($X$2),MATCH(AN$1,Profile!$2:$2,0),4))="","",INDIRECT("Profile"&amp;"!"&amp;ADDRESS(MATCH($X$2,Profile!$D$1:$D$20,0)+ROW($X23)-ROW($X$2),MATCH(AN$1,Profile!$2:$2,0),4))),"")</f>
        <v/>
      </c>
    </row>
    <row r="24" spans="9:40" x14ac:dyDescent="0.25">
      <c r="I24" s="7">
        <v>21</v>
      </c>
      <c r="J24" s="7" t="str" cm="1">
        <f t="array" aca="1" ref="J24" ca="1">IFERROR(IF(INDIRECT("Profile"&amp;"!"&amp;ADDRESS(MATCH(J$1,Profile!$A$1:$A$20,0),MATCH($I24,Profile!$1:$1,0),4))="","",INDIRECT("Profile"&amp;"!"&amp;ADDRESS(MATCH(J$1,Profile!$A$1:$A$20,0),MATCH($I24,Profile!$1:$1,0),4))),"")</f>
        <v/>
      </c>
      <c r="K24" s="9" t="str" cm="1">
        <f t="array" aca="1" ref="K24" ca="1">IF($J24="","",IF(INDIRECT("Profile"&amp;"!"&amp;ADDRESS(MATCH(K$2,Profile!$C$1:$C$20,0),MATCH($I24,Profile!$1:$1,0),4))="","",INDIRECT("Profile"&amp;"!"&amp;ADDRESS(MATCH(K$2,Profile!$C$1:$C$20,0),MATCH($I24,Profile!$1:$1,0)))))</f>
        <v/>
      </c>
      <c r="L24" s="3" t="str" cm="1">
        <f t="array" aca="1" ref="L24" ca="1">IF($J24="","",IF(INDIRECT("Profile"&amp;"!"&amp;ADDRESS(MATCH(L$2,Profile!$C$1:$C$20,0),MATCH($I24,Profile!$1:$1,0),4))="","",INDIRECT("Profile"&amp;"!"&amp;ADDRESS(MATCH(L$2,Profile!$C$1:$C$20,0),MATCH($I24,Profile!$1:$1,0)))))</f>
        <v/>
      </c>
      <c r="M24" s="9" t="str" cm="1">
        <f t="array" aca="1" ref="M24" ca="1">IF($J24="","",IF(INDIRECT("Profile"&amp;"!"&amp;ADDRESS(MATCH(M$2,Profile!$C$1:$C$20,0),MATCH($I24,Profile!$1:$1,0),4))="","",INDIRECT("Profile"&amp;"!"&amp;ADDRESS(MATCH(M$2,Profile!$C$1:$C$20,0),MATCH($I24,Profile!$1:$1,0)))))</f>
        <v/>
      </c>
      <c r="N24" s="3" t="str" cm="1">
        <f t="array" aca="1" ref="N24" ca="1">IF($J24="","",IF(INDIRECT("Profile"&amp;"!"&amp;ADDRESS(MATCH(N$2,Profile!$C$1:$C$20,0),MATCH($I24,Profile!$1:$1,0),4))="","",INDIRECT("Profile"&amp;"!"&amp;ADDRESS(MATCH(N$2,Profile!$C$1:$C$20,0),MATCH($I24,Profile!$1:$1,0)))))</f>
        <v/>
      </c>
      <c r="O24" s="3" t="str" cm="1">
        <f t="array" aca="1" ref="O24" ca="1">IFERROR(IF($J24="","",INDIRECT("Profile"&amp;"!"&amp;ADDRESS(MATCH(O$2,Profile!$C$1:$C$20,0),MATCH($I24,Profile!$1:$1,0),4))),"")</f>
        <v/>
      </c>
      <c r="P24" s="9" t="str" cm="1">
        <f t="array" aca="1" ref="P24" ca="1">IFERROR(IF($J24="","",INDIRECT("Profile"&amp;"!"&amp;ADDRESS(MATCH(P$2,Profile!$C$1:$C$20,0),MATCH($I24,Profile!$1:$1,0),4))),"")</f>
        <v/>
      </c>
      <c r="Q24" s="3" t="str" cm="1">
        <f t="array" aca="1" ref="Q24" ca="1">IFERROR(IF($J24="","",INDIRECT("Profile"&amp;"!"&amp;ADDRESS(MATCH(Q$2,Profile!$C$1:$C$20,0),MATCH($I24,Profile!$1:$1,0),4))),"")</f>
        <v/>
      </c>
      <c r="R24" s="3" t="str" cm="1">
        <f t="array" aca="1" ref="R24" ca="1">IFERROR(IF($J24="","",INDIRECT("Profile"&amp;"!"&amp;ADDRESS(MATCH(R$2,Profile!$C$1:$C$20,0),MATCH($I24,Profile!$1:$1,0),4))),"")</f>
        <v/>
      </c>
      <c r="S24" s="3" t="str" cm="1">
        <f t="array" aca="1" ref="S24" ca="1">IFERROR(IF($J24="","",INDIRECT("Profile"&amp;"!"&amp;ADDRESS(MATCH(S$2,Profile!$C$1:$C$20,0),MATCH($I24,Profile!$1:$1,0),4))),"")</f>
        <v/>
      </c>
      <c r="T24" s="3" t="str" cm="1">
        <f t="array" aca="1" ref="T24" ca="1">IFERROR(IF($J24="","",INDIRECT("Profile"&amp;"!"&amp;ADDRESS(MATCH(T$2,Profile!$C$1:$C$20,0),MATCH($I24,Profile!$1:$1,0),4))),"")</f>
        <v/>
      </c>
      <c r="U24" s="38" t="str" cm="1">
        <f t="array" aca="1" ref="U24" ca="1">IFERROR(IF(INDIRECT("ID"&amp;"!"&amp;ADDRESS(MATCH($J24,ID!$B:$B,0),MATCH($U$1,ID!$1:$1,0),4))="","",INDIRECT("ID"&amp;"!"&amp;ADDRESS(MATCH($J24,ID!$B:$B,0),MATCH($U$1,ID!$1:$1,0),4))),"")</f>
        <v/>
      </c>
      <c r="X24" s="7">
        <v>-2</v>
      </c>
      <c r="Y24" s="7" t="str" cm="1">
        <f t="array" aca="1" ref="Y24" ca="1">IFERROR(IF(INDIRECT("Profile"&amp;"!"&amp;ADDRESS(MATCH($X$2,Profile!$D$1:$D$20,0)+ROW($X24)-ROW($X$2),MATCH(Y$1,Profile!$2:$2,0),4))="","",INDIRECT("Profile"&amp;"!"&amp;ADDRESS(MATCH($X$2,Profile!$D$1:$D$20,0)+ROW($X24)-ROW($X$2),MATCH(Y$1,Profile!$2:$2,0),4))),"")</f>
        <v/>
      </c>
      <c r="Z24" s="2" t="str" cm="1">
        <f t="array" aca="1" ref="Z24" ca="1">IFERROR(IF(INDIRECT("Profile"&amp;"!"&amp;ADDRESS(MATCH($X$2,Profile!$D$1:$D$20,0)+ROW($X24)-ROW($X$2),MATCH(Z$1,Profile!$2:$2,0),4))="","",INDIRECT("Profile"&amp;"!"&amp;ADDRESS(MATCH($X$2,Profile!$D$1:$D$20,0)+ROW($X24)-ROW($X$2),MATCH(Z$1,Profile!$2:$2,0),4))),"")</f>
        <v/>
      </c>
      <c r="AA24" s="2" t="str" cm="1">
        <f t="array" aca="1" ref="AA24" ca="1">IFERROR(IF(INDIRECT("Profile"&amp;"!"&amp;ADDRESS(MATCH($X$2,Profile!$D$1:$D$20,0)+ROW($X24)-ROW($X$2),MATCH(AA$1,Profile!$2:$2,0),4))="","",INDIRECT("Profile"&amp;"!"&amp;ADDRESS(MATCH($X$2,Profile!$D$1:$D$20,0)+ROW($X24)-ROW($X$2),MATCH(AA$1,Profile!$2:$2,0),4))),"")</f>
        <v/>
      </c>
      <c r="AB24" s="2" t="str" cm="1">
        <f t="array" aca="1" ref="AB24" ca="1">IFERROR(IF(INDIRECT("Profile"&amp;"!"&amp;ADDRESS(MATCH($X$2,Profile!$D$1:$D$20,0)+ROW($X24)-ROW($X$2),MATCH(AB$1,Profile!$2:$2,0),4))="","",INDIRECT("Profile"&amp;"!"&amp;ADDRESS(MATCH($X$2,Profile!$D$1:$D$20,0)+ROW($X24)-ROW($X$2),MATCH(AB$1,Profile!$2:$2,0),4))),"")</f>
        <v/>
      </c>
      <c r="AC24" s="2" t="str" cm="1">
        <f t="array" aca="1" ref="AC24" ca="1">IFERROR(IF(INDIRECT("Profile"&amp;"!"&amp;ADDRESS(MATCH($X$2,Profile!$D$1:$D$20,0)+ROW($X24)-ROW($X$2),MATCH(AC$1,Profile!$2:$2,0),4))="","",INDIRECT("Profile"&amp;"!"&amp;ADDRESS(MATCH($X$2,Profile!$D$1:$D$20,0)+ROW($X24)-ROW($X$2),MATCH(AC$1,Profile!$2:$2,0),4))),"")</f>
        <v/>
      </c>
      <c r="AD24" s="2" t="str" cm="1">
        <f t="array" aca="1" ref="AD24" ca="1">IFERROR(IF(INDIRECT("Profile"&amp;"!"&amp;ADDRESS(MATCH($X$2,Profile!$D$1:$D$20,0)+ROW($X24)-ROW($X$2),MATCH(AD$1,Profile!$2:$2,0),4))="","",INDIRECT("Profile"&amp;"!"&amp;ADDRESS(MATCH($X$2,Profile!$D$1:$D$20,0)+ROW($X24)-ROW($X$2),MATCH(AD$1,Profile!$2:$2,0),4))),"")</f>
        <v/>
      </c>
      <c r="AE24" s="2" t="str" cm="1">
        <f t="array" aca="1" ref="AE24" ca="1">IFERROR(IF(INDIRECT("Profile"&amp;"!"&amp;ADDRESS(MATCH($X$2,Profile!$D$1:$D$20,0)+ROW($X24)-ROW($X$2),MATCH(AE$1,Profile!$2:$2,0),4))="","",INDIRECT("Profile"&amp;"!"&amp;ADDRESS(MATCH($X$2,Profile!$D$1:$D$20,0)+ROW($X24)-ROW($X$2),MATCH(AE$1,Profile!$2:$2,0),4))),"")</f>
        <v/>
      </c>
      <c r="AF24" s="2" t="str" cm="1">
        <f t="array" aca="1" ref="AF24" ca="1">IFERROR(IF(INDIRECT("Profile"&amp;"!"&amp;ADDRESS(MATCH($X$2,Profile!$D$1:$D$20,0)+ROW($X24)-ROW($X$2),MATCH(AF$1,Profile!$2:$2,0),4))="","",INDIRECT("Profile"&amp;"!"&amp;ADDRESS(MATCH($X$2,Profile!$D$1:$D$20,0)+ROW($X24)-ROW($X$2),MATCH(AF$1,Profile!$2:$2,0),4))),"")</f>
        <v/>
      </c>
      <c r="AG24" s="2" t="str" cm="1">
        <f t="array" aca="1" ref="AG24" ca="1">IFERROR(IF(INDIRECT("Profile"&amp;"!"&amp;ADDRESS(MATCH($X$2,Profile!$D$1:$D$20,0)+ROW($X24)-ROW($X$2),MATCH(AG$1,Profile!$2:$2,0),4))="","",INDIRECT("Profile"&amp;"!"&amp;ADDRESS(MATCH($X$2,Profile!$D$1:$D$20,0)+ROW($X24)-ROW($X$2),MATCH(AG$1,Profile!$2:$2,0),4))),"")</f>
        <v/>
      </c>
      <c r="AH24" s="2" t="str" cm="1">
        <f t="array" aca="1" ref="AH24" ca="1">IFERROR(IF(INDIRECT("Profile"&amp;"!"&amp;ADDRESS(MATCH($X$2,Profile!$D$1:$D$20,0)+ROW($X24)-ROW($X$2),MATCH(AH$1,Profile!$2:$2,0),4))="","",INDIRECT("Profile"&amp;"!"&amp;ADDRESS(MATCH($X$2,Profile!$D$1:$D$20,0)+ROW($X24)-ROW($X$2),MATCH(AH$1,Profile!$2:$2,0),4))),"")</f>
        <v/>
      </c>
      <c r="AI24" s="2" t="str" cm="1">
        <f t="array" aca="1" ref="AI24" ca="1">IFERROR(IF(INDIRECT("Profile"&amp;"!"&amp;ADDRESS(MATCH($X$2,Profile!$D$1:$D$20,0)+ROW($X24)-ROW($X$2),MATCH(AI$1,Profile!$2:$2,0),4))="","",INDIRECT("Profile"&amp;"!"&amp;ADDRESS(MATCH($X$2,Profile!$D$1:$D$20,0)+ROW($X24)-ROW($X$2),MATCH(AI$1,Profile!$2:$2,0),4))),"")</f>
        <v/>
      </c>
      <c r="AJ24" s="2" t="str" cm="1">
        <f t="array" aca="1" ref="AJ24" ca="1">IFERROR(IF(INDIRECT("Profile"&amp;"!"&amp;ADDRESS(MATCH($X$2,Profile!$D$1:$D$20,0)+ROW($X24)-ROW($X$2),MATCH(AJ$1,Profile!$2:$2,0),4))="","",INDIRECT("Profile"&amp;"!"&amp;ADDRESS(MATCH($X$2,Profile!$D$1:$D$20,0)+ROW($X24)-ROW($X$2),MATCH(AJ$1,Profile!$2:$2,0),4))),"")</f>
        <v/>
      </c>
      <c r="AK24" s="2" t="str" cm="1">
        <f t="array" aca="1" ref="AK24" ca="1">IFERROR(IF(INDIRECT("Profile"&amp;"!"&amp;ADDRESS(MATCH($X$2,Profile!$D$1:$D$20,0)+ROW($X24)-ROW($X$2),MATCH(AK$1,Profile!$2:$2,0),4))="","",INDIRECT("Profile"&amp;"!"&amp;ADDRESS(MATCH($X$2,Profile!$D$1:$D$20,0)+ROW($X24)-ROW($X$2),MATCH(AK$1,Profile!$2:$2,0),4))),"")</f>
        <v/>
      </c>
      <c r="AL24" s="2" t="str" cm="1">
        <f t="array" aca="1" ref="AL24" ca="1">IFERROR(IF(INDIRECT("Profile"&amp;"!"&amp;ADDRESS(MATCH($X$2,Profile!$D$1:$D$20,0)+ROW($X24)-ROW($X$2),MATCH(AL$1,Profile!$2:$2,0),4))="","",INDIRECT("Profile"&amp;"!"&amp;ADDRESS(MATCH($X$2,Profile!$D$1:$D$20,0)+ROW($X24)-ROW($X$2),MATCH(AL$1,Profile!$2:$2,0),4))),"")</f>
        <v/>
      </c>
      <c r="AM24" s="2" t="str" cm="1">
        <f t="array" aca="1" ref="AM24" ca="1">IFERROR(IF(INDIRECT("Profile"&amp;"!"&amp;ADDRESS(MATCH($X$2,Profile!$D$1:$D$20,0)+ROW($X24)-ROW($X$2),MATCH(AM$1,Profile!$2:$2,0),4))="","",INDIRECT("Profile"&amp;"!"&amp;ADDRESS(MATCH($X$2,Profile!$D$1:$D$20,0)+ROW($X24)-ROW($X$2),MATCH(AM$1,Profile!$2:$2,0),4))),"")</f>
        <v/>
      </c>
      <c r="AN24" s="2" t="str" cm="1">
        <f t="array" aca="1" ref="AN24" ca="1">IFERROR(IF(INDIRECT("Profile"&amp;"!"&amp;ADDRESS(MATCH($X$2,Profile!$D$1:$D$20,0)+ROW($X24)-ROW($X$2),MATCH(AN$1,Profile!$2:$2,0),4))="","",INDIRECT("Profile"&amp;"!"&amp;ADDRESS(MATCH($X$2,Profile!$D$1:$D$20,0)+ROW($X24)-ROW($X$2),MATCH(AN$1,Profile!$2:$2,0),4))),"")</f>
        <v/>
      </c>
    </row>
    <row r="25" spans="9:40" x14ac:dyDescent="0.25">
      <c r="I25" s="7">
        <v>22</v>
      </c>
      <c r="J25" s="7" t="str" cm="1">
        <f t="array" aca="1" ref="J25" ca="1">IFERROR(IF(INDIRECT("Profile"&amp;"!"&amp;ADDRESS(MATCH(J$1,Profile!$A$1:$A$20,0),MATCH($I25,Profile!$1:$1,0),4))="","",INDIRECT("Profile"&amp;"!"&amp;ADDRESS(MATCH(J$1,Profile!$A$1:$A$20,0),MATCH($I25,Profile!$1:$1,0),4))),"")</f>
        <v/>
      </c>
      <c r="K25" s="9" t="str" cm="1">
        <f t="array" aca="1" ref="K25" ca="1">IF($J25="","",IF(INDIRECT("Profile"&amp;"!"&amp;ADDRESS(MATCH(K$2,Profile!$C$1:$C$20,0),MATCH($I25,Profile!$1:$1,0),4))="","",INDIRECT("Profile"&amp;"!"&amp;ADDRESS(MATCH(K$2,Profile!$C$1:$C$20,0),MATCH($I25,Profile!$1:$1,0)))))</f>
        <v/>
      </c>
      <c r="L25" s="3" t="str" cm="1">
        <f t="array" aca="1" ref="L25" ca="1">IF($J25="","",IF(INDIRECT("Profile"&amp;"!"&amp;ADDRESS(MATCH(L$2,Profile!$C$1:$C$20,0),MATCH($I25,Profile!$1:$1,0),4))="","",INDIRECT("Profile"&amp;"!"&amp;ADDRESS(MATCH(L$2,Profile!$C$1:$C$20,0),MATCH($I25,Profile!$1:$1,0)))))</f>
        <v/>
      </c>
      <c r="M25" s="9" t="str" cm="1">
        <f t="array" aca="1" ref="M25" ca="1">IF($J25="","",IF(INDIRECT("Profile"&amp;"!"&amp;ADDRESS(MATCH(M$2,Profile!$C$1:$C$20,0),MATCH($I25,Profile!$1:$1,0),4))="","",INDIRECT("Profile"&amp;"!"&amp;ADDRESS(MATCH(M$2,Profile!$C$1:$C$20,0),MATCH($I25,Profile!$1:$1,0)))))</f>
        <v/>
      </c>
      <c r="N25" s="3" t="str" cm="1">
        <f t="array" aca="1" ref="N25" ca="1">IF($J25="","",IF(INDIRECT("Profile"&amp;"!"&amp;ADDRESS(MATCH(N$2,Profile!$C$1:$C$20,0),MATCH($I25,Profile!$1:$1,0),4))="","",INDIRECT("Profile"&amp;"!"&amp;ADDRESS(MATCH(N$2,Profile!$C$1:$C$20,0),MATCH($I25,Profile!$1:$1,0)))))</f>
        <v/>
      </c>
      <c r="O25" s="3" t="str" cm="1">
        <f t="array" aca="1" ref="O25" ca="1">IFERROR(IF($J25="","",INDIRECT("Profile"&amp;"!"&amp;ADDRESS(MATCH(O$2,Profile!$C$1:$C$20,0),MATCH($I25,Profile!$1:$1,0),4))),"")</f>
        <v/>
      </c>
      <c r="P25" s="9" t="str" cm="1">
        <f t="array" aca="1" ref="P25" ca="1">IFERROR(IF($J25="","",INDIRECT("Profile"&amp;"!"&amp;ADDRESS(MATCH(P$2,Profile!$C$1:$C$20,0),MATCH($I25,Profile!$1:$1,0),4))),"")</f>
        <v/>
      </c>
      <c r="Q25" s="3" t="str" cm="1">
        <f t="array" aca="1" ref="Q25" ca="1">IFERROR(IF($J25="","",INDIRECT("Profile"&amp;"!"&amp;ADDRESS(MATCH(Q$2,Profile!$C$1:$C$20,0),MATCH($I25,Profile!$1:$1,0),4))),"")</f>
        <v/>
      </c>
      <c r="R25" s="3" t="str" cm="1">
        <f t="array" aca="1" ref="R25" ca="1">IFERROR(IF($J25="","",INDIRECT("Profile"&amp;"!"&amp;ADDRESS(MATCH(R$2,Profile!$C$1:$C$20,0),MATCH($I25,Profile!$1:$1,0),4))),"")</f>
        <v/>
      </c>
      <c r="S25" s="3" t="str" cm="1">
        <f t="array" aca="1" ref="S25" ca="1">IFERROR(IF($J25="","",INDIRECT("Profile"&amp;"!"&amp;ADDRESS(MATCH(S$2,Profile!$C$1:$C$20,0),MATCH($I25,Profile!$1:$1,0),4))),"")</f>
        <v/>
      </c>
      <c r="T25" s="3" t="str" cm="1">
        <f t="array" aca="1" ref="T25" ca="1">IFERROR(IF($J25="","",INDIRECT("Profile"&amp;"!"&amp;ADDRESS(MATCH(T$2,Profile!$C$1:$C$20,0),MATCH($I25,Profile!$1:$1,0),4))),"")</f>
        <v/>
      </c>
      <c r="U25" s="38" t="str" cm="1">
        <f t="array" aca="1" ref="U25" ca="1">IFERROR(IF(INDIRECT("ID"&amp;"!"&amp;ADDRESS(MATCH($J25,ID!$B:$B,0),MATCH($U$1,ID!$1:$1,0),4))="","",INDIRECT("ID"&amp;"!"&amp;ADDRESS(MATCH($J25,ID!$B:$B,0),MATCH($U$1,ID!$1:$1,0),4))),"")</f>
        <v/>
      </c>
      <c r="X25" s="7">
        <v>-2.1</v>
      </c>
      <c r="Y25" s="7" t="str" cm="1">
        <f t="array" aca="1" ref="Y25" ca="1">IFERROR(IF(INDIRECT("Profile"&amp;"!"&amp;ADDRESS(MATCH($X$2,Profile!$D$1:$D$20,0)+ROW($X25)-ROW($X$2),MATCH(Y$1,Profile!$2:$2,0),4))="","",INDIRECT("Profile"&amp;"!"&amp;ADDRESS(MATCH($X$2,Profile!$D$1:$D$20,0)+ROW($X25)-ROW($X$2),MATCH(Y$1,Profile!$2:$2,0),4))),"")</f>
        <v/>
      </c>
      <c r="Z25" s="2" t="str" cm="1">
        <f t="array" aca="1" ref="Z25" ca="1">IFERROR(IF(INDIRECT("Profile"&amp;"!"&amp;ADDRESS(MATCH($X$2,Profile!$D$1:$D$20,0)+ROW($X25)-ROW($X$2),MATCH(Z$1,Profile!$2:$2,0),4))="","",INDIRECT("Profile"&amp;"!"&amp;ADDRESS(MATCH($X$2,Profile!$D$1:$D$20,0)+ROW($X25)-ROW($X$2),MATCH(Z$1,Profile!$2:$2,0),4))),"")</f>
        <v/>
      </c>
      <c r="AA25" s="2" t="str" cm="1">
        <f t="array" aca="1" ref="AA25" ca="1">IFERROR(IF(INDIRECT("Profile"&amp;"!"&amp;ADDRESS(MATCH($X$2,Profile!$D$1:$D$20,0)+ROW($X25)-ROW($X$2),MATCH(AA$1,Profile!$2:$2,0),4))="","",INDIRECT("Profile"&amp;"!"&amp;ADDRESS(MATCH($X$2,Profile!$D$1:$D$20,0)+ROW($X25)-ROW($X$2),MATCH(AA$1,Profile!$2:$2,0),4))),"")</f>
        <v/>
      </c>
      <c r="AB25" s="2" t="str" cm="1">
        <f t="array" aca="1" ref="AB25" ca="1">IFERROR(IF(INDIRECT("Profile"&amp;"!"&amp;ADDRESS(MATCH($X$2,Profile!$D$1:$D$20,0)+ROW($X25)-ROW($X$2),MATCH(AB$1,Profile!$2:$2,0),4))="","",INDIRECT("Profile"&amp;"!"&amp;ADDRESS(MATCH($X$2,Profile!$D$1:$D$20,0)+ROW($X25)-ROW($X$2),MATCH(AB$1,Profile!$2:$2,0),4))),"")</f>
        <v/>
      </c>
      <c r="AC25" s="2" t="str" cm="1">
        <f t="array" aca="1" ref="AC25" ca="1">IFERROR(IF(INDIRECT("Profile"&amp;"!"&amp;ADDRESS(MATCH($X$2,Profile!$D$1:$D$20,0)+ROW($X25)-ROW($X$2),MATCH(AC$1,Profile!$2:$2,0),4))="","",INDIRECT("Profile"&amp;"!"&amp;ADDRESS(MATCH($X$2,Profile!$D$1:$D$20,0)+ROW($X25)-ROW($X$2),MATCH(AC$1,Profile!$2:$2,0),4))),"")</f>
        <v/>
      </c>
      <c r="AD25" s="2" t="str" cm="1">
        <f t="array" aca="1" ref="AD25" ca="1">IFERROR(IF(INDIRECT("Profile"&amp;"!"&amp;ADDRESS(MATCH($X$2,Profile!$D$1:$D$20,0)+ROW($X25)-ROW($X$2),MATCH(AD$1,Profile!$2:$2,0),4))="","",INDIRECT("Profile"&amp;"!"&amp;ADDRESS(MATCH($X$2,Profile!$D$1:$D$20,0)+ROW($X25)-ROW($X$2),MATCH(AD$1,Profile!$2:$2,0),4))),"")</f>
        <v/>
      </c>
      <c r="AE25" s="2" t="str" cm="1">
        <f t="array" aca="1" ref="AE25" ca="1">IFERROR(IF(INDIRECT("Profile"&amp;"!"&amp;ADDRESS(MATCH($X$2,Profile!$D$1:$D$20,0)+ROW($X25)-ROW($X$2),MATCH(AE$1,Profile!$2:$2,0),4))="","",INDIRECT("Profile"&amp;"!"&amp;ADDRESS(MATCH($X$2,Profile!$D$1:$D$20,0)+ROW($X25)-ROW($X$2),MATCH(AE$1,Profile!$2:$2,0),4))),"")</f>
        <v/>
      </c>
      <c r="AF25" s="2" t="str" cm="1">
        <f t="array" aca="1" ref="AF25" ca="1">IFERROR(IF(INDIRECT("Profile"&amp;"!"&amp;ADDRESS(MATCH($X$2,Profile!$D$1:$D$20,0)+ROW($X25)-ROW($X$2),MATCH(AF$1,Profile!$2:$2,0),4))="","",INDIRECT("Profile"&amp;"!"&amp;ADDRESS(MATCH($X$2,Profile!$D$1:$D$20,0)+ROW($X25)-ROW($X$2),MATCH(AF$1,Profile!$2:$2,0),4))),"")</f>
        <v/>
      </c>
      <c r="AG25" s="2" t="str" cm="1">
        <f t="array" aca="1" ref="AG25" ca="1">IFERROR(IF(INDIRECT("Profile"&amp;"!"&amp;ADDRESS(MATCH($X$2,Profile!$D$1:$D$20,0)+ROW($X25)-ROW($X$2),MATCH(AG$1,Profile!$2:$2,0),4))="","",INDIRECT("Profile"&amp;"!"&amp;ADDRESS(MATCH($X$2,Profile!$D$1:$D$20,0)+ROW($X25)-ROW($X$2),MATCH(AG$1,Profile!$2:$2,0),4))),"")</f>
        <v/>
      </c>
      <c r="AH25" s="2" t="str" cm="1">
        <f t="array" aca="1" ref="AH25" ca="1">IFERROR(IF(INDIRECT("Profile"&amp;"!"&amp;ADDRESS(MATCH($X$2,Profile!$D$1:$D$20,0)+ROW($X25)-ROW($X$2),MATCH(AH$1,Profile!$2:$2,0),4))="","",INDIRECT("Profile"&amp;"!"&amp;ADDRESS(MATCH($X$2,Profile!$D$1:$D$20,0)+ROW($X25)-ROW($X$2),MATCH(AH$1,Profile!$2:$2,0),4))),"")</f>
        <v/>
      </c>
      <c r="AI25" s="2" t="str" cm="1">
        <f t="array" aca="1" ref="AI25" ca="1">IFERROR(IF(INDIRECT("Profile"&amp;"!"&amp;ADDRESS(MATCH($X$2,Profile!$D$1:$D$20,0)+ROW($X25)-ROW($X$2),MATCH(AI$1,Profile!$2:$2,0),4))="","",INDIRECT("Profile"&amp;"!"&amp;ADDRESS(MATCH($X$2,Profile!$D$1:$D$20,0)+ROW($X25)-ROW($X$2),MATCH(AI$1,Profile!$2:$2,0),4))),"")</f>
        <v/>
      </c>
      <c r="AJ25" s="2" t="str" cm="1">
        <f t="array" aca="1" ref="AJ25" ca="1">IFERROR(IF(INDIRECT("Profile"&amp;"!"&amp;ADDRESS(MATCH($X$2,Profile!$D$1:$D$20,0)+ROW($X25)-ROW($X$2),MATCH(AJ$1,Profile!$2:$2,0),4))="","",INDIRECT("Profile"&amp;"!"&amp;ADDRESS(MATCH($X$2,Profile!$D$1:$D$20,0)+ROW($X25)-ROW($X$2),MATCH(AJ$1,Profile!$2:$2,0),4))),"")</f>
        <v/>
      </c>
      <c r="AK25" s="2" t="str" cm="1">
        <f t="array" aca="1" ref="AK25" ca="1">IFERROR(IF(INDIRECT("Profile"&amp;"!"&amp;ADDRESS(MATCH($X$2,Profile!$D$1:$D$20,0)+ROW($X25)-ROW($X$2),MATCH(AK$1,Profile!$2:$2,0),4))="","",INDIRECT("Profile"&amp;"!"&amp;ADDRESS(MATCH($X$2,Profile!$D$1:$D$20,0)+ROW($X25)-ROW($X$2),MATCH(AK$1,Profile!$2:$2,0),4))),"")</f>
        <v/>
      </c>
      <c r="AL25" s="2" t="str" cm="1">
        <f t="array" aca="1" ref="AL25" ca="1">IFERROR(IF(INDIRECT("Profile"&amp;"!"&amp;ADDRESS(MATCH($X$2,Profile!$D$1:$D$20,0)+ROW($X25)-ROW($X$2),MATCH(AL$1,Profile!$2:$2,0),4))="","",INDIRECT("Profile"&amp;"!"&amp;ADDRESS(MATCH($X$2,Profile!$D$1:$D$20,0)+ROW($X25)-ROW($X$2),MATCH(AL$1,Profile!$2:$2,0),4))),"")</f>
        <v/>
      </c>
      <c r="AM25" s="2" t="str" cm="1">
        <f t="array" aca="1" ref="AM25" ca="1">IFERROR(IF(INDIRECT("Profile"&amp;"!"&amp;ADDRESS(MATCH($X$2,Profile!$D$1:$D$20,0)+ROW($X25)-ROW($X$2),MATCH(AM$1,Profile!$2:$2,0),4))="","",INDIRECT("Profile"&amp;"!"&amp;ADDRESS(MATCH($X$2,Profile!$D$1:$D$20,0)+ROW($X25)-ROW($X$2),MATCH(AM$1,Profile!$2:$2,0),4))),"")</f>
        <v/>
      </c>
      <c r="AN25" s="2" t="str" cm="1">
        <f t="array" aca="1" ref="AN25" ca="1">IFERROR(IF(INDIRECT("Profile"&amp;"!"&amp;ADDRESS(MATCH($X$2,Profile!$D$1:$D$20,0)+ROW($X25)-ROW($X$2),MATCH(AN$1,Profile!$2:$2,0),4))="","",INDIRECT("Profile"&amp;"!"&amp;ADDRESS(MATCH($X$2,Profile!$D$1:$D$20,0)+ROW($X25)-ROW($X$2),MATCH(AN$1,Profile!$2:$2,0),4))),"")</f>
        <v/>
      </c>
    </row>
    <row r="26" spans="9:40" x14ac:dyDescent="0.25">
      <c r="I26" s="7">
        <v>23</v>
      </c>
      <c r="J26" s="7" t="str" cm="1">
        <f t="array" aca="1" ref="J26" ca="1">IFERROR(IF(INDIRECT("Profile"&amp;"!"&amp;ADDRESS(MATCH(J$1,Profile!$A$1:$A$20,0),MATCH($I26,Profile!$1:$1,0),4))="","",INDIRECT("Profile"&amp;"!"&amp;ADDRESS(MATCH(J$1,Profile!$A$1:$A$20,0),MATCH($I26,Profile!$1:$1,0),4))),"")</f>
        <v/>
      </c>
      <c r="K26" s="9" t="str" cm="1">
        <f t="array" aca="1" ref="K26" ca="1">IF($J26="","",IF(INDIRECT("Profile"&amp;"!"&amp;ADDRESS(MATCH(K$2,Profile!$C$1:$C$20,0),MATCH($I26,Profile!$1:$1,0),4))="","",INDIRECT("Profile"&amp;"!"&amp;ADDRESS(MATCH(K$2,Profile!$C$1:$C$20,0),MATCH($I26,Profile!$1:$1,0)))))</f>
        <v/>
      </c>
      <c r="L26" s="3" t="str" cm="1">
        <f t="array" aca="1" ref="L26" ca="1">IF($J26="","",IF(INDIRECT("Profile"&amp;"!"&amp;ADDRESS(MATCH(L$2,Profile!$C$1:$C$20,0),MATCH($I26,Profile!$1:$1,0),4))="","",INDIRECT("Profile"&amp;"!"&amp;ADDRESS(MATCH(L$2,Profile!$C$1:$C$20,0),MATCH($I26,Profile!$1:$1,0)))))</f>
        <v/>
      </c>
      <c r="M26" s="9" t="str" cm="1">
        <f t="array" aca="1" ref="M26" ca="1">IF($J26="","",IF(INDIRECT("Profile"&amp;"!"&amp;ADDRESS(MATCH(M$2,Profile!$C$1:$C$20,0),MATCH($I26,Profile!$1:$1,0),4))="","",INDIRECT("Profile"&amp;"!"&amp;ADDRESS(MATCH(M$2,Profile!$C$1:$C$20,0),MATCH($I26,Profile!$1:$1,0)))))</f>
        <v/>
      </c>
      <c r="N26" s="3" t="str" cm="1">
        <f t="array" aca="1" ref="N26" ca="1">IF($J26="","",IF(INDIRECT("Profile"&amp;"!"&amp;ADDRESS(MATCH(N$2,Profile!$C$1:$C$20,0),MATCH($I26,Profile!$1:$1,0),4))="","",INDIRECT("Profile"&amp;"!"&amp;ADDRESS(MATCH(N$2,Profile!$C$1:$C$20,0),MATCH($I26,Profile!$1:$1,0)))))</f>
        <v/>
      </c>
      <c r="O26" s="3" t="str" cm="1">
        <f t="array" aca="1" ref="O26" ca="1">IFERROR(IF($J26="","",INDIRECT("Profile"&amp;"!"&amp;ADDRESS(MATCH(O$2,Profile!$C$1:$C$20,0),MATCH($I26,Profile!$1:$1,0),4))),"")</f>
        <v/>
      </c>
      <c r="P26" s="9" t="str" cm="1">
        <f t="array" aca="1" ref="P26" ca="1">IFERROR(IF($J26="","",INDIRECT("Profile"&amp;"!"&amp;ADDRESS(MATCH(P$2,Profile!$C$1:$C$20,0),MATCH($I26,Profile!$1:$1,0),4))),"")</f>
        <v/>
      </c>
      <c r="Q26" s="3" t="str" cm="1">
        <f t="array" aca="1" ref="Q26" ca="1">IFERROR(IF($J26="","",INDIRECT("Profile"&amp;"!"&amp;ADDRESS(MATCH(Q$2,Profile!$C$1:$C$20,0),MATCH($I26,Profile!$1:$1,0),4))),"")</f>
        <v/>
      </c>
      <c r="R26" s="3" t="str" cm="1">
        <f t="array" aca="1" ref="R26" ca="1">IFERROR(IF($J26="","",INDIRECT("Profile"&amp;"!"&amp;ADDRESS(MATCH(R$2,Profile!$C$1:$C$20,0),MATCH($I26,Profile!$1:$1,0),4))),"")</f>
        <v/>
      </c>
      <c r="S26" s="3" t="str" cm="1">
        <f t="array" aca="1" ref="S26" ca="1">IFERROR(IF($J26="","",INDIRECT("Profile"&amp;"!"&amp;ADDRESS(MATCH(S$2,Profile!$C$1:$C$20,0),MATCH($I26,Profile!$1:$1,0),4))),"")</f>
        <v/>
      </c>
      <c r="T26" s="3" t="str" cm="1">
        <f t="array" aca="1" ref="T26" ca="1">IFERROR(IF($J26="","",INDIRECT("Profile"&amp;"!"&amp;ADDRESS(MATCH(T$2,Profile!$C$1:$C$20,0),MATCH($I26,Profile!$1:$1,0),4))),"")</f>
        <v/>
      </c>
      <c r="U26" s="38" t="str" cm="1">
        <f t="array" aca="1" ref="U26" ca="1">IFERROR(IF(INDIRECT("ID"&amp;"!"&amp;ADDRESS(MATCH($J26,ID!$B:$B,0),MATCH($U$1,ID!$1:$1,0),4))="","",INDIRECT("ID"&amp;"!"&amp;ADDRESS(MATCH($J26,ID!$B:$B,0),MATCH($U$1,ID!$1:$1,0),4))),"")</f>
        <v/>
      </c>
      <c r="X26" s="7">
        <v>-2.2000000000000002</v>
      </c>
      <c r="Y26" s="7" t="str" cm="1">
        <f t="array" aca="1" ref="Y26" ca="1">IFERROR(IF(INDIRECT("Profile"&amp;"!"&amp;ADDRESS(MATCH($X$2,Profile!$D$1:$D$20,0)+ROW($X26)-ROW($X$2),MATCH(Y$1,Profile!$2:$2,0),4))="","",INDIRECT("Profile"&amp;"!"&amp;ADDRESS(MATCH($X$2,Profile!$D$1:$D$20,0)+ROW($X26)-ROW($X$2),MATCH(Y$1,Profile!$2:$2,0),4))),"")</f>
        <v/>
      </c>
      <c r="Z26" s="2" t="str" cm="1">
        <f t="array" aca="1" ref="Z26" ca="1">IFERROR(IF(INDIRECT("Profile"&amp;"!"&amp;ADDRESS(MATCH($X$2,Profile!$D$1:$D$20,0)+ROW($X26)-ROW($X$2),MATCH(Z$1,Profile!$2:$2,0),4))="","",INDIRECT("Profile"&amp;"!"&amp;ADDRESS(MATCH($X$2,Profile!$D$1:$D$20,0)+ROW($X26)-ROW($X$2),MATCH(Z$1,Profile!$2:$2,0),4))),"")</f>
        <v/>
      </c>
      <c r="AA26" s="2" t="str" cm="1">
        <f t="array" aca="1" ref="AA26" ca="1">IFERROR(IF(INDIRECT("Profile"&amp;"!"&amp;ADDRESS(MATCH($X$2,Profile!$D$1:$D$20,0)+ROW($X26)-ROW($X$2),MATCH(AA$1,Profile!$2:$2,0),4))="","",INDIRECT("Profile"&amp;"!"&amp;ADDRESS(MATCH($X$2,Profile!$D$1:$D$20,0)+ROW($X26)-ROW($X$2),MATCH(AA$1,Profile!$2:$2,0),4))),"")</f>
        <v/>
      </c>
      <c r="AB26" s="2" t="str" cm="1">
        <f t="array" aca="1" ref="AB26" ca="1">IFERROR(IF(INDIRECT("Profile"&amp;"!"&amp;ADDRESS(MATCH($X$2,Profile!$D$1:$D$20,0)+ROW($X26)-ROW($X$2),MATCH(AB$1,Profile!$2:$2,0),4))="","",INDIRECT("Profile"&amp;"!"&amp;ADDRESS(MATCH($X$2,Profile!$D$1:$D$20,0)+ROW($X26)-ROW($X$2),MATCH(AB$1,Profile!$2:$2,0),4))),"")</f>
        <v/>
      </c>
      <c r="AC26" s="2" t="str" cm="1">
        <f t="array" aca="1" ref="AC26" ca="1">IFERROR(IF(INDIRECT("Profile"&amp;"!"&amp;ADDRESS(MATCH($X$2,Profile!$D$1:$D$20,0)+ROW($X26)-ROW($X$2),MATCH(AC$1,Profile!$2:$2,0),4))="","",INDIRECT("Profile"&amp;"!"&amp;ADDRESS(MATCH($X$2,Profile!$D$1:$D$20,0)+ROW($X26)-ROW($X$2),MATCH(AC$1,Profile!$2:$2,0),4))),"")</f>
        <v/>
      </c>
      <c r="AD26" s="2" t="str" cm="1">
        <f t="array" aca="1" ref="AD26" ca="1">IFERROR(IF(INDIRECT("Profile"&amp;"!"&amp;ADDRESS(MATCH($X$2,Profile!$D$1:$D$20,0)+ROW($X26)-ROW($X$2),MATCH(AD$1,Profile!$2:$2,0),4))="","",INDIRECT("Profile"&amp;"!"&amp;ADDRESS(MATCH($X$2,Profile!$D$1:$D$20,0)+ROW($X26)-ROW($X$2),MATCH(AD$1,Profile!$2:$2,0),4))),"")</f>
        <v/>
      </c>
      <c r="AE26" s="2" t="str" cm="1">
        <f t="array" aca="1" ref="AE26" ca="1">IFERROR(IF(INDIRECT("Profile"&amp;"!"&amp;ADDRESS(MATCH($X$2,Profile!$D$1:$D$20,0)+ROW($X26)-ROW($X$2),MATCH(AE$1,Profile!$2:$2,0),4))="","",INDIRECT("Profile"&amp;"!"&amp;ADDRESS(MATCH($X$2,Profile!$D$1:$D$20,0)+ROW($X26)-ROW($X$2),MATCH(AE$1,Profile!$2:$2,0),4))),"")</f>
        <v/>
      </c>
      <c r="AF26" s="2" t="str" cm="1">
        <f t="array" aca="1" ref="AF26" ca="1">IFERROR(IF(INDIRECT("Profile"&amp;"!"&amp;ADDRESS(MATCH($X$2,Profile!$D$1:$D$20,0)+ROW($X26)-ROW($X$2),MATCH(AF$1,Profile!$2:$2,0),4))="","",INDIRECT("Profile"&amp;"!"&amp;ADDRESS(MATCH($X$2,Profile!$D$1:$D$20,0)+ROW($X26)-ROW($X$2),MATCH(AF$1,Profile!$2:$2,0),4))),"")</f>
        <v/>
      </c>
      <c r="AG26" s="2" t="str" cm="1">
        <f t="array" aca="1" ref="AG26" ca="1">IFERROR(IF(INDIRECT("Profile"&amp;"!"&amp;ADDRESS(MATCH($X$2,Profile!$D$1:$D$20,0)+ROW($X26)-ROW($X$2),MATCH(AG$1,Profile!$2:$2,0),4))="","",INDIRECT("Profile"&amp;"!"&amp;ADDRESS(MATCH($X$2,Profile!$D$1:$D$20,0)+ROW($X26)-ROW($X$2),MATCH(AG$1,Profile!$2:$2,0),4))),"")</f>
        <v/>
      </c>
      <c r="AH26" s="2" t="str" cm="1">
        <f t="array" aca="1" ref="AH26" ca="1">IFERROR(IF(INDIRECT("Profile"&amp;"!"&amp;ADDRESS(MATCH($X$2,Profile!$D$1:$D$20,0)+ROW($X26)-ROW($X$2),MATCH(AH$1,Profile!$2:$2,0),4))="","",INDIRECT("Profile"&amp;"!"&amp;ADDRESS(MATCH($X$2,Profile!$D$1:$D$20,0)+ROW($X26)-ROW($X$2),MATCH(AH$1,Profile!$2:$2,0),4))),"")</f>
        <v/>
      </c>
      <c r="AI26" s="2" t="str" cm="1">
        <f t="array" aca="1" ref="AI26" ca="1">IFERROR(IF(INDIRECT("Profile"&amp;"!"&amp;ADDRESS(MATCH($X$2,Profile!$D$1:$D$20,0)+ROW($X26)-ROW($X$2),MATCH(AI$1,Profile!$2:$2,0),4))="","",INDIRECT("Profile"&amp;"!"&amp;ADDRESS(MATCH($X$2,Profile!$D$1:$D$20,0)+ROW($X26)-ROW($X$2),MATCH(AI$1,Profile!$2:$2,0),4))),"")</f>
        <v/>
      </c>
      <c r="AJ26" s="2" t="str" cm="1">
        <f t="array" aca="1" ref="AJ26" ca="1">IFERROR(IF(INDIRECT("Profile"&amp;"!"&amp;ADDRESS(MATCH($X$2,Profile!$D$1:$D$20,0)+ROW($X26)-ROW($X$2),MATCH(AJ$1,Profile!$2:$2,0),4))="","",INDIRECT("Profile"&amp;"!"&amp;ADDRESS(MATCH($X$2,Profile!$D$1:$D$20,0)+ROW($X26)-ROW($X$2),MATCH(AJ$1,Profile!$2:$2,0),4))),"")</f>
        <v/>
      </c>
      <c r="AK26" s="2" t="str" cm="1">
        <f t="array" aca="1" ref="AK26" ca="1">IFERROR(IF(INDIRECT("Profile"&amp;"!"&amp;ADDRESS(MATCH($X$2,Profile!$D$1:$D$20,0)+ROW($X26)-ROW($X$2),MATCH(AK$1,Profile!$2:$2,0),4))="","",INDIRECT("Profile"&amp;"!"&amp;ADDRESS(MATCH($X$2,Profile!$D$1:$D$20,0)+ROW($X26)-ROW($X$2),MATCH(AK$1,Profile!$2:$2,0),4))),"")</f>
        <v/>
      </c>
      <c r="AL26" s="2" t="str" cm="1">
        <f t="array" aca="1" ref="AL26" ca="1">IFERROR(IF(INDIRECT("Profile"&amp;"!"&amp;ADDRESS(MATCH($X$2,Profile!$D$1:$D$20,0)+ROW($X26)-ROW($X$2),MATCH(AL$1,Profile!$2:$2,0),4))="","",INDIRECT("Profile"&amp;"!"&amp;ADDRESS(MATCH($X$2,Profile!$D$1:$D$20,0)+ROW($X26)-ROW($X$2),MATCH(AL$1,Profile!$2:$2,0),4))),"")</f>
        <v/>
      </c>
      <c r="AM26" s="2" t="str" cm="1">
        <f t="array" aca="1" ref="AM26" ca="1">IFERROR(IF(INDIRECT("Profile"&amp;"!"&amp;ADDRESS(MATCH($X$2,Profile!$D$1:$D$20,0)+ROW($X26)-ROW($X$2),MATCH(AM$1,Profile!$2:$2,0),4))="","",INDIRECT("Profile"&amp;"!"&amp;ADDRESS(MATCH($X$2,Profile!$D$1:$D$20,0)+ROW($X26)-ROW($X$2),MATCH(AM$1,Profile!$2:$2,0),4))),"")</f>
        <v/>
      </c>
      <c r="AN26" s="2" t="str" cm="1">
        <f t="array" aca="1" ref="AN26" ca="1">IFERROR(IF(INDIRECT("Profile"&amp;"!"&amp;ADDRESS(MATCH($X$2,Profile!$D$1:$D$20,0)+ROW($X26)-ROW($X$2),MATCH(AN$1,Profile!$2:$2,0),4))="","",INDIRECT("Profile"&amp;"!"&amp;ADDRESS(MATCH($X$2,Profile!$D$1:$D$20,0)+ROW($X26)-ROW($X$2),MATCH(AN$1,Profile!$2:$2,0),4))),"")</f>
        <v/>
      </c>
    </row>
    <row r="27" spans="9:40" x14ac:dyDescent="0.25">
      <c r="I27" s="7">
        <v>24</v>
      </c>
      <c r="J27" s="7" t="str" cm="1">
        <f t="array" aca="1" ref="J27" ca="1">IFERROR(IF(INDIRECT("Profile"&amp;"!"&amp;ADDRESS(MATCH(J$1,Profile!$A$1:$A$20,0),MATCH($I27,Profile!$1:$1,0),4))="","",INDIRECT("Profile"&amp;"!"&amp;ADDRESS(MATCH(J$1,Profile!$A$1:$A$20,0),MATCH($I27,Profile!$1:$1,0),4))),"")</f>
        <v/>
      </c>
      <c r="K27" s="9" t="str" cm="1">
        <f t="array" aca="1" ref="K27" ca="1">IF($J27="","",IF(INDIRECT("Profile"&amp;"!"&amp;ADDRESS(MATCH(K$2,Profile!$C$1:$C$20,0),MATCH($I27,Profile!$1:$1,0),4))="","",INDIRECT("Profile"&amp;"!"&amp;ADDRESS(MATCH(K$2,Profile!$C$1:$C$20,0),MATCH($I27,Profile!$1:$1,0)))))</f>
        <v/>
      </c>
      <c r="L27" s="3" t="str" cm="1">
        <f t="array" aca="1" ref="L27" ca="1">IF($J27="","",IF(INDIRECT("Profile"&amp;"!"&amp;ADDRESS(MATCH(L$2,Profile!$C$1:$C$20,0),MATCH($I27,Profile!$1:$1,0),4))="","",INDIRECT("Profile"&amp;"!"&amp;ADDRESS(MATCH(L$2,Profile!$C$1:$C$20,0),MATCH($I27,Profile!$1:$1,0)))))</f>
        <v/>
      </c>
      <c r="M27" s="9" t="str" cm="1">
        <f t="array" aca="1" ref="M27" ca="1">IF($J27="","",IF(INDIRECT("Profile"&amp;"!"&amp;ADDRESS(MATCH(M$2,Profile!$C$1:$C$20,0),MATCH($I27,Profile!$1:$1,0),4))="","",INDIRECT("Profile"&amp;"!"&amp;ADDRESS(MATCH(M$2,Profile!$C$1:$C$20,0),MATCH($I27,Profile!$1:$1,0)))))</f>
        <v/>
      </c>
      <c r="N27" s="3" t="str" cm="1">
        <f t="array" aca="1" ref="N27" ca="1">IF($J27="","",IF(INDIRECT("Profile"&amp;"!"&amp;ADDRESS(MATCH(N$2,Profile!$C$1:$C$20,0),MATCH($I27,Profile!$1:$1,0),4))="","",INDIRECT("Profile"&amp;"!"&amp;ADDRESS(MATCH(N$2,Profile!$C$1:$C$20,0),MATCH($I27,Profile!$1:$1,0)))))</f>
        <v/>
      </c>
      <c r="O27" s="3" t="str" cm="1">
        <f t="array" aca="1" ref="O27" ca="1">IFERROR(IF($J27="","",INDIRECT("Profile"&amp;"!"&amp;ADDRESS(MATCH(O$2,Profile!$C$1:$C$20,0),MATCH($I27,Profile!$1:$1,0),4))),"")</f>
        <v/>
      </c>
      <c r="P27" s="9" t="str" cm="1">
        <f t="array" aca="1" ref="P27" ca="1">IFERROR(IF($J27="","",INDIRECT("Profile"&amp;"!"&amp;ADDRESS(MATCH(P$2,Profile!$C$1:$C$20,0),MATCH($I27,Profile!$1:$1,0),4))),"")</f>
        <v/>
      </c>
      <c r="Q27" s="3" t="str" cm="1">
        <f t="array" aca="1" ref="Q27" ca="1">IFERROR(IF($J27="","",INDIRECT("Profile"&amp;"!"&amp;ADDRESS(MATCH(Q$2,Profile!$C$1:$C$20,0),MATCH($I27,Profile!$1:$1,0),4))),"")</f>
        <v/>
      </c>
      <c r="R27" s="3" t="str" cm="1">
        <f t="array" aca="1" ref="R27" ca="1">IFERROR(IF($J27="","",INDIRECT("Profile"&amp;"!"&amp;ADDRESS(MATCH(R$2,Profile!$C$1:$C$20,0),MATCH($I27,Profile!$1:$1,0),4))),"")</f>
        <v/>
      </c>
      <c r="S27" s="3" t="str" cm="1">
        <f t="array" aca="1" ref="S27" ca="1">IFERROR(IF($J27="","",INDIRECT("Profile"&amp;"!"&amp;ADDRESS(MATCH(S$2,Profile!$C$1:$C$20,0),MATCH($I27,Profile!$1:$1,0),4))),"")</f>
        <v/>
      </c>
      <c r="T27" s="3" t="str" cm="1">
        <f t="array" aca="1" ref="T27" ca="1">IFERROR(IF($J27="","",INDIRECT("Profile"&amp;"!"&amp;ADDRESS(MATCH(T$2,Profile!$C$1:$C$20,0),MATCH($I27,Profile!$1:$1,0),4))),"")</f>
        <v/>
      </c>
      <c r="U27" s="38" t="str" cm="1">
        <f t="array" aca="1" ref="U27" ca="1">IFERROR(IF(INDIRECT("ID"&amp;"!"&amp;ADDRESS(MATCH($J27,ID!$B:$B,0),MATCH($U$1,ID!$1:$1,0),4))="","",INDIRECT("ID"&amp;"!"&amp;ADDRESS(MATCH($J27,ID!$B:$B,0),MATCH($U$1,ID!$1:$1,0),4))),"")</f>
        <v/>
      </c>
      <c r="X27" s="7">
        <v>-2.2999999999999998</v>
      </c>
      <c r="Y27" s="7" t="str" cm="1">
        <f t="array" aca="1" ref="Y27" ca="1">IFERROR(IF(INDIRECT("Profile"&amp;"!"&amp;ADDRESS(MATCH($X$2,Profile!$D$1:$D$20,0)+ROW($X27)-ROW($X$2),MATCH(Y$1,Profile!$2:$2,0),4))="","",INDIRECT("Profile"&amp;"!"&amp;ADDRESS(MATCH($X$2,Profile!$D$1:$D$20,0)+ROW($X27)-ROW($X$2),MATCH(Y$1,Profile!$2:$2,0),4))),"")</f>
        <v/>
      </c>
      <c r="Z27" s="2" t="str" cm="1">
        <f t="array" aca="1" ref="Z27" ca="1">IFERROR(IF(INDIRECT("Profile"&amp;"!"&amp;ADDRESS(MATCH($X$2,Profile!$D$1:$D$20,0)+ROW($X27)-ROW($X$2),MATCH(Z$1,Profile!$2:$2,0),4))="","",INDIRECT("Profile"&amp;"!"&amp;ADDRESS(MATCH($X$2,Profile!$D$1:$D$20,0)+ROW($X27)-ROW($X$2),MATCH(Z$1,Profile!$2:$2,0),4))),"")</f>
        <v/>
      </c>
      <c r="AA27" s="2" t="str" cm="1">
        <f t="array" aca="1" ref="AA27" ca="1">IFERROR(IF(INDIRECT("Profile"&amp;"!"&amp;ADDRESS(MATCH($X$2,Profile!$D$1:$D$20,0)+ROW($X27)-ROW($X$2),MATCH(AA$1,Profile!$2:$2,0),4))="","",INDIRECT("Profile"&amp;"!"&amp;ADDRESS(MATCH($X$2,Profile!$D$1:$D$20,0)+ROW($X27)-ROW($X$2),MATCH(AA$1,Profile!$2:$2,0),4))),"")</f>
        <v/>
      </c>
      <c r="AB27" s="2" t="str" cm="1">
        <f t="array" aca="1" ref="AB27" ca="1">IFERROR(IF(INDIRECT("Profile"&amp;"!"&amp;ADDRESS(MATCH($X$2,Profile!$D$1:$D$20,0)+ROW($X27)-ROW($X$2),MATCH(AB$1,Profile!$2:$2,0),4))="","",INDIRECT("Profile"&amp;"!"&amp;ADDRESS(MATCH($X$2,Profile!$D$1:$D$20,0)+ROW($X27)-ROW($X$2),MATCH(AB$1,Profile!$2:$2,0),4))),"")</f>
        <v/>
      </c>
      <c r="AC27" s="2" t="str" cm="1">
        <f t="array" aca="1" ref="AC27" ca="1">IFERROR(IF(INDIRECT("Profile"&amp;"!"&amp;ADDRESS(MATCH($X$2,Profile!$D$1:$D$20,0)+ROW($X27)-ROW($X$2),MATCH(AC$1,Profile!$2:$2,0),4))="","",INDIRECT("Profile"&amp;"!"&amp;ADDRESS(MATCH($X$2,Profile!$D$1:$D$20,0)+ROW($X27)-ROW($X$2),MATCH(AC$1,Profile!$2:$2,0),4))),"")</f>
        <v/>
      </c>
      <c r="AD27" s="2" t="str" cm="1">
        <f t="array" aca="1" ref="AD27" ca="1">IFERROR(IF(INDIRECT("Profile"&amp;"!"&amp;ADDRESS(MATCH($X$2,Profile!$D$1:$D$20,0)+ROW($X27)-ROW($X$2),MATCH(AD$1,Profile!$2:$2,0),4))="","",INDIRECT("Profile"&amp;"!"&amp;ADDRESS(MATCH($X$2,Profile!$D$1:$D$20,0)+ROW($X27)-ROW($X$2),MATCH(AD$1,Profile!$2:$2,0),4))),"")</f>
        <v/>
      </c>
      <c r="AE27" s="2" t="str" cm="1">
        <f t="array" aca="1" ref="AE27" ca="1">IFERROR(IF(INDIRECT("Profile"&amp;"!"&amp;ADDRESS(MATCH($X$2,Profile!$D$1:$D$20,0)+ROW($X27)-ROW($X$2),MATCH(AE$1,Profile!$2:$2,0),4))="","",INDIRECT("Profile"&amp;"!"&amp;ADDRESS(MATCH($X$2,Profile!$D$1:$D$20,0)+ROW($X27)-ROW($X$2),MATCH(AE$1,Profile!$2:$2,0),4))),"")</f>
        <v/>
      </c>
      <c r="AF27" s="2" t="str" cm="1">
        <f t="array" aca="1" ref="AF27" ca="1">IFERROR(IF(INDIRECT("Profile"&amp;"!"&amp;ADDRESS(MATCH($X$2,Profile!$D$1:$D$20,0)+ROW($X27)-ROW($X$2),MATCH(AF$1,Profile!$2:$2,0),4))="","",INDIRECT("Profile"&amp;"!"&amp;ADDRESS(MATCH($X$2,Profile!$D$1:$D$20,0)+ROW($X27)-ROW($X$2),MATCH(AF$1,Profile!$2:$2,0),4))),"")</f>
        <v/>
      </c>
      <c r="AG27" s="2" t="str" cm="1">
        <f t="array" aca="1" ref="AG27" ca="1">IFERROR(IF(INDIRECT("Profile"&amp;"!"&amp;ADDRESS(MATCH($X$2,Profile!$D$1:$D$20,0)+ROW($X27)-ROW($X$2),MATCH(AG$1,Profile!$2:$2,0),4))="","",INDIRECT("Profile"&amp;"!"&amp;ADDRESS(MATCH($X$2,Profile!$D$1:$D$20,0)+ROW($X27)-ROW($X$2),MATCH(AG$1,Profile!$2:$2,0),4))),"")</f>
        <v/>
      </c>
      <c r="AH27" s="2" t="str" cm="1">
        <f t="array" aca="1" ref="AH27" ca="1">IFERROR(IF(INDIRECT("Profile"&amp;"!"&amp;ADDRESS(MATCH($X$2,Profile!$D$1:$D$20,0)+ROW($X27)-ROW($X$2),MATCH(AH$1,Profile!$2:$2,0),4))="","",INDIRECT("Profile"&amp;"!"&amp;ADDRESS(MATCH($X$2,Profile!$D$1:$D$20,0)+ROW($X27)-ROW($X$2),MATCH(AH$1,Profile!$2:$2,0),4))),"")</f>
        <v/>
      </c>
      <c r="AI27" s="2" t="str" cm="1">
        <f t="array" aca="1" ref="AI27" ca="1">IFERROR(IF(INDIRECT("Profile"&amp;"!"&amp;ADDRESS(MATCH($X$2,Profile!$D$1:$D$20,0)+ROW($X27)-ROW($X$2),MATCH(AI$1,Profile!$2:$2,0),4))="","",INDIRECT("Profile"&amp;"!"&amp;ADDRESS(MATCH($X$2,Profile!$D$1:$D$20,0)+ROW($X27)-ROW($X$2),MATCH(AI$1,Profile!$2:$2,0),4))),"")</f>
        <v/>
      </c>
      <c r="AJ27" s="2" t="str" cm="1">
        <f t="array" aca="1" ref="AJ27" ca="1">IFERROR(IF(INDIRECT("Profile"&amp;"!"&amp;ADDRESS(MATCH($X$2,Profile!$D$1:$D$20,0)+ROW($X27)-ROW($X$2),MATCH(AJ$1,Profile!$2:$2,0),4))="","",INDIRECT("Profile"&amp;"!"&amp;ADDRESS(MATCH($X$2,Profile!$D$1:$D$20,0)+ROW($X27)-ROW($X$2),MATCH(AJ$1,Profile!$2:$2,0),4))),"")</f>
        <v/>
      </c>
      <c r="AK27" s="2" t="str" cm="1">
        <f t="array" aca="1" ref="AK27" ca="1">IFERROR(IF(INDIRECT("Profile"&amp;"!"&amp;ADDRESS(MATCH($X$2,Profile!$D$1:$D$20,0)+ROW($X27)-ROW($X$2),MATCH(AK$1,Profile!$2:$2,0),4))="","",INDIRECT("Profile"&amp;"!"&amp;ADDRESS(MATCH($X$2,Profile!$D$1:$D$20,0)+ROW($X27)-ROW($X$2),MATCH(AK$1,Profile!$2:$2,0),4))),"")</f>
        <v/>
      </c>
      <c r="AL27" s="2" t="str" cm="1">
        <f t="array" aca="1" ref="AL27" ca="1">IFERROR(IF(INDIRECT("Profile"&amp;"!"&amp;ADDRESS(MATCH($X$2,Profile!$D$1:$D$20,0)+ROW($X27)-ROW($X$2),MATCH(AL$1,Profile!$2:$2,0),4))="","",INDIRECT("Profile"&amp;"!"&amp;ADDRESS(MATCH($X$2,Profile!$D$1:$D$20,0)+ROW($X27)-ROW($X$2),MATCH(AL$1,Profile!$2:$2,0),4))),"")</f>
        <v/>
      </c>
      <c r="AM27" s="2" t="str" cm="1">
        <f t="array" aca="1" ref="AM27" ca="1">IFERROR(IF(INDIRECT("Profile"&amp;"!"&amp;ADDRESS(MATCH($X$2,Profile!$D$1:$D$20,0)+ROW($X27)-ROW($X$2),MATCH(AM$1,Profile!$2:$2,0),4))="","",INDIRECT("Profile"&amp;"!"&amp;ADDRESS(MATCH($X$2,Profile!$D$1:$D$20,0)+ROW($X27)-ROW($X$2),MATCH(AM$1,Profile!$2:$2,0),4))),"")</f>
        <v/>
      </c>
      <c r="AN27" s="2" t="str" cm="1">
        <f t="array" aca="1" ref="AN27" ca="1">IFERROR(IF(INDIRECT("Profile"&amp;"!"&amp;ADDRESS(MATCH($X$2,Profile!$D$1:$D$20,0)+ROW($X27)-ROW($X$2),MATCH(AN$1,Profile!$2:$2,0),4))="","",INDIRECT("Profile"&amp;"!"&amp;ADDRESS(MATCH($X$2,Profile!$D$1:$D$20,0)+ROW($X27)-ROW($X$2),MATCH(AN$1,Profile!$2:$2,0),4))),"")</f>
        <v/>
      </c>
    </row>
    <row r="28" spans="9:40" x14ac:dyDescent="0.25">
      <c r="I28" s="7">
        <v>25</v>
      </c>
      <c r="J28" s="7" t="str" cm="1">
        <f t="array" aca="1" ref="J28" ca="1">IFERROR(IF(INDIRECT("Profile"&amp;"!"&amp;ADDRESS(MATCH(J$1,Profile!$A$1:$A$20,0),MATCH($I28,Profile!$1:$1,0),4))="","",INDIRECT("Profile"&amp;"!"&amp;ADDRESS(MATCH(J$1,Profile!$A$1:$A$20,0),MATCH($I28,Profile!$1:$1,0),4))),"")</f>
        <v/>
      </c>
      <c r="K28" s="9" t="str" cm="1">
        <f t="array" aca="1" ref="K28" ca="1">IF($J28="","",IF(INDIRECT("Profile"&amp;"!"&amp;ADDRESS(MATCH(K$2,Profile!$C$1:$C$20,0),MATCH($I28,Profile!$1:$1,0),4))="","",INDIRECT("Profile"&amp;"!"&amp;ADDRESS(MATCH(K$2,Profile!$C$1:$C$20,0),MATCH($I28,Profile!$1:$1,0)))))</f>
        <v/>
      </c>
      <c r="L28" s="3" t="str" cm="1">
        <f t="array" aca="1" ref="L28" ca="1">IF($J28="","",IF(INDIRECT("Profile"&amp;"!"&amp;ADDRESS(MATCH(L$2,Profile!$C$1:$C$20,0),MATCH($I28,Profile!$1:$1,0),4))="","",INDIRECT("Profile"&amp;"!"&amp;ADDRESS(MATCH(L$2,Profile!$C$1:$C$20,0),MATCH($I28,Profile!$1:$1,0)))))</f>
        <v/>
      </c>
      <c r="M28" s="9" t="str" cm="1">
        <f t="array" aca="1" ref="M28" ca="1">IF($J28="","",IF(INDIRECT("Profile"&amp;"!"&amp;ADDRESS(MATCH(M$2,Profile!$C$1:$C$20,0),MATCH($I28,Profile!$1:$1,0),4))="","",INDIRECT("Profile"&amp;"!"&amp;ADDRESS(MATCH(M$2,Profile!$C$1:$C$20,0),MATCH($I28,Profile!$1:$1,0)))))</f>
        <v/>
      </c>
      <c r="N28" s="3" t="str" cm="1">
        <f t="array" aca="1" ref="N28" ca="1">IF($J28="","",IF(INDIRECT("Profile"&amp;"!"&amp;ADDRESS(MATCH(N$2,Profile!$C$1:$C$20,0),MATCH($I28,Profile!$1:$1,0),4))="","",INDIRECT("Profile"&amp;"!"&amp;ADDRESS(MATCH(N$2,Profile!$C$1:$C$20,0),MATCH($I28,Profile!$1:$1,0)))))</f>
        <v/>
      </c>
      <c r="O28" s="3" t="str" cm="1">
        <f t="array" aca="1" ref="O28" ca="1">IFERROR(IF($J28="","",INDIRECT("Profile"&amp;"!"&amp;ADDRESS(MATCH(O$2,Profile!$C$1:$C$20,0),MATCH($I28,Profile!$1:$1,0),4))),"")</f>
        <v/>
      </c>
      <c r="P28" s="9" t="str" cm="1">
        <f t="array" aca="1" ref="P28" ca="1">IFERROR(IF($J28="","",INDIRECT("Profile"&amp;"!"&amp;ADDRESS(MATCH(P$2,Profile!$C$1:$C$20,0),MATCH($I28,Profile!$1:$1,0),4))),"")</f>
        <v/>
      </c>
      <c r="Q28" s="3" t="str" cm="1">
        <f t="array" aca="1" ref="Q28" ca="1">IFERROR(IF($J28="","",INDIRECT("Profile"&amp;"!"&amp;ADDRESS(MATCH(Q$2,Profile!$C$1:$C$20,0),MATCH($I28,Profile!$1:$1,0),4))),"")</f>
        <v/>
      </c>
      <c r="R28" s="3" t="str" cm="1">
        <f t="array" aca="1" ref="R28" ca="1">IFERROR(IF($J28="","",INDIRECT("Profile"&amp;"!"&amp;ADDRESS(MATCH(R$2,Profile!$C$1:$C$20,0),MATCH($I28,Profile!$1:$1,0),4))),"")</f>
        <v/>
      </c>
      <c r="S28" s="3" t="str" cm="1">
        <f t="array" aca="1" ref="S28" ca="1">IFERROR(IF($J28="","",INDIRECT("Profile"&amp;"!"&amp;ADDRESS(MATCH(S$2,Profile!$C$1:$C$20,0),MATCH($I28,Profile!$1:$1,0),4))),"")</f>
        <v/>
      </c>
      <c r="T28" s="3" t="str" cm="1">
        <f t="array" aca="1" ref="T28" ca="1">IFERROR(IF($J28="","",INDIRECT("Profile"&amp;"!"&amp;ADDRESS(MATCH(T$2,Profile!$C$1:$C$20,0),MATCH($I28,Profile!$1:$1,0),4))),"")</f>
        <v/>
      </c>
      <c r="U28" s="38" t="str" cm="1">
        <f t="array" aca="1" ref="U28" ca="1">IFERROR(IF(INDIRECT("ID"&amp;"!"&amp;ADDRESS(MATCH($J28,ID!$B:$B,0),MATCH($U$1,ID!$1:$1,0),4))="","",INDIRECT("ID"&amp;"!"&amp;ADDRESS(MATCH($J28,ID!$B:$B,0),MATCH($U$1,ID!$1:$1,0),4))),"")</f>
        <v/>
      </c>
      <c r="X28" s="7">
        <v>-2.4</v>
      </c>
      <c r="Y28" s="7" t="str" cm="1">
        <f t="array" aca="1" ref="Y28" ca="1">IFERROR(IF(INDIRECT("Profile"&amp;"!"&amp;ADDRESS(MATCH($X$2,Profile!$D$1:$D$20,0)+ROW($X28)-ROW($X$2),MATCH(Y$1,Profile!$2:$2,0),4))="","",INDIRECT("Profile"&amp;"!"&amp;ADDRESS(MATCH($X$2,Profile!$D$1:$D$20,0)+ROW($X28)-ROW($X$2),MATCH(Y$1,Profile!$2:$2,0),4))),"")</f>
        <v/>
      </c>
      <c r="Z28" s="2" t="str" cm="1">
        <f t="array" aca="1" ref="Z28" ca="1">IFERROR(IF(INDIRECT("Profile"&amp;"!"&amp;ADDRESS(MATCH($X$2,Profile!$D$1:$D$20,0)+ROW($X28)-ROW($X$2),MATCH(Z$1,Profile!$2:$2,0),4))="","",INDIRECT("Profile"&amp;"!"&amp;ADDRESS(MATCH($X$2,Profile!$D$1:$D$20,0)+ROW($X28)-ROW($X$2),MATCH(Z$1,Profile!$2:$2,0),4))),"")</f>
        <v/>
      </c>
      <c r="AA28" s="2" t="str" cm="1">
        <f t="array" aca="1" ref="AA28" ca="1">IFERROR(IF(INDIRECT("Profile"&amp;"!"&amp;ADDRESS(MATCH($X$2,Profile!$D$1:$D$20,0)+ROW($X28)-ROW($X$2),MATCH(AA$1,Profile!$2:$2,0),4))="","",INDIRECT("Profile"&amp;"!"&amp;ADDRESS(MATCH($X$2,Profile!$D$1:$D$20,0)+ROW($X28)-ROW($X$2),MATCH(AA$1,Profile!$2:$2,0),4))),"")</f>
        <v/>
      </c>
      <c r="AB28" s="2" t="str" cm="1">
        <f t="array" aca="1" ref="AB28" ca="1">IFERROR(IF(INDIRECT("Profile"&amp;"!"&amp;ADDRESS(MATCH($X$2,Profile!$D$1:$D$20,0)+ROW($X28)-ROW($X$2),MATCH(AB$1,Profile!$2:$2,0),4))="","",INDIRECT("Profile"&amp;"!"&amp;ADDRESS(MATCH($X$2,Profile!$D$1:$D$20,0)+ROW($X28)-ROW($X$2),MATCH(AB$1,Profile!$2:$2,0),4))),"")</f>
        <v/>
      </c>
      <c r="AC28" s="2" t="str" cm="1">
        <f t="array" aca="1" ref="AC28" ca="1">IFERROR(IF(INDIRECT("Profile"&amp;"!"&amp;ADDRESS(MATCH($X$2,Profile!$D$1:$D$20,0)+ROW($X28)-ROW($X$2),MATCH(AC$1,Profile!$2:$2,0),4))="","",INDIRECT("Profile"&amp;"!"&amp;ADDRESS(MATCH($X$2,Profile!$D$1:$D$20,0)+ROW($X28)-ROW($X$2),MATCH(AC$1,Profile!$2:$2,0),4))),"")</f>
        <v/>
      </c>
      <c r="AD28" s="2" t="str" cm="1">
        <f t="array" aca="1" ref="AD28" ca="1">IFERROR(IF(INDIRECT("Profile"&amp;"!"&amp;ADDRESS(MATCH($X$2,Profile!$D$1:$D$20,0)+ROW($X28)-ROW($X$2),MATCH(AD$1,Profile!$2:$2,0),4))="","",INDIRECT("Profile"&amp;"!"&amp;ADDRESS(MATCH($X$2,Profile!$D$1:$D$20,0)+ROW($X28)-ROW($X$2),MATCH(AD$1,Profile!$2:$2,0),4))),"")</f>
        <v/>
      </c>
      <c r="AE28" s="2" t="str" cm="1">
        <f t="array" aca="1" ref="AE28" ca="1">IFERROR(IF(INDIRECT("Profile"&amp;"!"&amp;ADDRESS(MATCH($X$2,Profile!$D$1:$D$20,0)+ROW($X28)-ROW($X$2),MATCH(AE$1,Profile!$2:$2,0),4))="","",INDIRECT("Profile"&amp;"!"&amp;ADDRESS(MATCH($X$2,Profile!$D$1:$D$20,0)+ROW($X28)-ROW($X$2),MATCH(AE$1,Profile!$2:$2,0),4))),"")</f>
        <v/>
      </c>
      <c r="AF28" s="2" t="str" cm="1">
        <f t="array" aca="1" ref="AF28" ca="1">IFERROR(IF(INDIRECT("Profile"&amp;"!"&amp;ADDRESS(MATCH($X$2,Profile!$D$1:$D$20,0)+ROW($X28)-ROW($X$2),MATCH(AF$1,Profile!$2:$2,0),4))="","",INDIRECT("Profile"&amp;"!"&amp;ADDRESS(MATCH($X$2,Profile!$D$1:$D$20,0)+ROW($X28)-ROW($X$2),MATCH(AF$1,Profile!$2:$2,0),4))),"")</f>
        <v/>
      </c>
      <c r="AG28" s="2" t="str" cm="1">
        <f t="array" aca="1" ref="AG28" ca="1">IFERROR(IF(INDIRECT("Profile"&amp;"!"&amp;ADDRESS(MATCH($X$2,Profile!$D$1:$D$20,0)+ROW($X28)-ROW($X$2),MATCH(AG$1,Profile!$2:$2,0),4))="","",INDIRECT("Profile"&amp;"!"&amp;ADDRESS(MATCH($X$2,Profile!$D$1:$D$20,0)+ROW($X28)-ROW($X$2),MATCH(AG$1,Profile!$2:$2,0),4))),"")</f>
        <v/>
      </c>
      <c r="AH28" s="2" t="str" cm="1">
        <f t="array" aca="1" ref="AH28" ca="1">IFERROR(IF(INDIRECT("Profile"&amp;"!"&amp;ADDRESS(MATCH($X$2,Profile!$D$1:$D$20,0)+ROW($X28)-ROW($X$2),MATCH(AH$1,Profile!$2:$2,0),4))="","",INDIRECT("Profile"&amp;"!"&amp;ADDRESS(MATCH($X$2,Profile!$D$1:$D$20,0)+ROW($X28)-ROW($X$2),MATCH(AH$1,Profile!$2:$2,0),4))),"")</f>
        <v/>
      </c>
      <c r="AI28" s="2" t="str" cm="1">
        <f t="array" aca="1" ref="AI28" ca="1">IFERROR(IF(INDIRECT("Profile"&amp;"!"&amp;ADDRESS(MATCH($X$2,Profile!$D$1:$D$20,0)+ROW($X28)-ROW($X$2),MATCH(AI$1,Profile!$2:$2,0),4))="","",INDIRECT("Profile"&amp;"!"&amp;ADDRESS(MATCH($X$2,Profile!$D$1:$D$20,0)+ROW($X28)-ROW($X$2),MATCH(AI$1,Profile!$2:$2,0),4))),"")</f>
        <v/>
      </c>
      <c r="AJ28" s="2" t="str" cm="1">
        <f t="array" aca="1" ref="AJ28" ca="1">IFERROR(IF(INDIRECT("Profile"&amp;"!"&amp;ADDRESS(MATCH($X$2,Profile!$D$1:$D$20,0)+ROW($X28)-ROW($X$2),MATCH(AJ$1,Profile!$2:$2,0),4))="","",INDIRECT("Profile"&amp;"!"&amp;ADDRESS(MATCH($X$2,Profile!$D$1:$D$20,0)+ROW($X28)-ROW($X$2),MATCH(AJ$1,Profile!$2:$2,0),4))),"")</f>
        <v/>
      </c>
      <c r="AK28" s="2" t="str" cm="1">
        <f t="array" aca="1" ref="AK28" ca="1">IFERROR(IF(INDIRECT("Profile"&amp;"!"&amp;ADDRESS(MATCH($X$2,Profile!$D$1:$D$20,0)+ROW($X28)-ROW($X$2),MATCH(AK$1,Profile!$2:$2,0),4))="","",INDIRECT("Profile"&amp;"!"&amp;ADDRESS(MATCH($X$2,Profile!$D$1:$D$20,0)+ROW($X28)-ROW($X$2),MATCH(AK$1,Profile!$2:$2,0),4))),"")</f>
        <v/>
      </c>
      <c r="AL28" s="2" t="str" cm="1">
        <f t="array" aca="1" ref="AL28" ca="1">IFERROR(IF(INDIRECT("Profile"&amp;"!"&amp;ADDRESS(MATCH($X$2,Profile!$D$1:$D$20,0)+ROW($X28)-ROW($X$2),MATCH(AL$1,Profile!$2:$2,0),4))="","",INDIRECT("Profile"&amp;"!"&amp;ADDRESS(MATCH($X$2,Profile!$D$1:$D$20,0)+ROW($X28)-ROW($X$2),MATCH(AL$1,Profile!$2:$2,0),4))),"")</f>
        <v/>
      </c>
      <c r="AM28" s="2" t="str" cm="1">
        <f t="array" aca="1" ref="AM28" ca="1">IFERROR(IF(INDIRECT("Profile"&amp;"!"&amp;ADDRESS(MATCH($X$2,Profile!$D$1:$D$20,0)+ROW($X28)-ROW($X$2),MATCH(AM$1,Profile!$2:$2,0),4))="","",INDIRECT("Profile"&amp;"!"&amp;ADDRESS(MATCH($X$2,Profile!$D$1:$D$20,0)+ROW($X28)-ROW($X$2),MATCH(AM$1,Profile!$2:$2,0),4))),"")</f>
        <v/>
      </c>
      <c r="AN28" s="2" t="str" cm="1">
        <f t="array" aca="1" ref="AN28" ca="1">IFERROR(IF(INDIRECT("Profile"&amp;"!"&amp;ADDRESS(MATCH($X$2,Profile!$D$1:$D$20,0)+ROW($X28)-ROW($X$2),MATCH(AN$1,Profile!$2:$2,0),4))="","",INDIRECT("Profile"&amp;"!"&amp;ADDRESS(MATCH($X$2,Profile!$D$1:$D$20,0)+ROW($X28)-ROW($X$2),MATCH(AN$1,Profile!$2:$2,0),4))),"")</f>
        <v/>
      </c>
    </row>
    <row r="29" spans="9:40" x14ac:dyDescent="0.25">
      <c r="I29" s="7">
        <v>26</v>
      </c>
      <c r="J29" s="7" t="str" cm="1">
        <f t="array" aca="1" ref="J29" ca="1">IFERROR(IF(INDIRECT("Profile"&amp;"!"&amp;ADDRESS(MATCH(J$1,Profile!$A$1:$A$20,0),MATCH($I29,Profile!$1:$1,0),4))="","",INDIRECT("Profile"&amp;"!"&amp;ADDRESS(MATCH(J$1,Profile!$A$1:$A$20,0),MATCH($I29,Profile!$1:$1,0),4))),"")</f>
        <v/>
      </c>
      <c r="K29" s="9" t="str" cm="1">
        <f t="array" aca="1" ref="K29" ca="1">IF($J29="","",IF(INDIRECT("Profile"&amp;"!"&amp;ADDRESS(MATCH(K$2,Profile!$C$1:$C$20,0),MATCH($I29,Profile!$1:$1,0),4))="","",INDIRECT("Profile"&amp;"!"&amp;ADDRESS(MATCH(K$2,Profile!$C$1:$C$20,0),MATCH($I29,Profile!$1:$1,0)))))</f>
        <v/>
      </c>
      <c r="L29" s="3" t="str" cm="1">
        <f t="array" aca="1" ref="L29" ca="1">IF($J29="","",IF(INDIRECT("Profile"&amp;"!"&amp;ADDRESS(MATCH(L$2,Profile!$C$1:$C$20,0),MATCH($I29,Profile!$1:$1,0),4))="","",INDIRECT("Profile"&amp;"!"&amp;ADDRESS(MATCH(L$2,Profile!$C$1:$C$20,0),MATCH($I29,Profile!$1:$1,0)))))</f>
        <v/>
      </c>
      <c r="M29" s="9" t="str" cm="1">
        <f t="array" aca="1" ref="M29" ca="1">IF($J29="","",IF(INDIRECT("Profile"&amp;"!"&amp;ADDRESS(MATCH(M$2,Profile!$C$1:$C$20,0),MATCH($I29,Profile!$1:$1,0),4))="","",INDIRECT("Profile"&amp;"!"&amp;ADDRESS(MATCH(M$2,Profile!$C$1:$C$20,0),MATCH($I29,Profile!$1:$1,0)))))</f>
        <v/>
      </c>
      <c r="N29" s="3" t="str" cm="1">
        <f t="array" aca="1" ref="N29" ca="1">IF($J29="","",IF(INDIRECT("Profile"&amp;"!"&amp;ADDRESS(MATCH(N$2,Profile!$C$1:$C$20,0),MATCH($I29,Profile!$1:$1,0),4))="","",INDIRECT("Profile"&amp;"!"&amp;ADDRESS(MATCH(N$2,Profile!$C$1:$C$20,0),MATCH($I29,Profile!$1:$1,0)))))</f>
        <v/>
      </c>
      <c r="O29" s="3" t="str" cm="1">
        <f t="array" aca="1" ref="O29" ca="1">IFERROR(IF($J29="","",INDIRECT("Profile"&amp;"!"&amp;ADDRESS(MATCH(O$2,Profile!$C$1:$C$20,0),MATCH($I29,Profile!$1:$1,0),4))),"")</f>
        <v/>
      </c>
      <c r="P29" s="9" t="str" cm="1">
        <f t="array" aca="1" ref="P29" ca="1">IFERROR(IF($J29="","",INDIRECT("Profile"&amp;"!"&amp;ADDRESS(MATCH(P$2,Profile!$C$1:$C$20,0),MATCH($I29,Profile!$1:$1,0),4))),"")</f>
        <v/>
      </c>
      <c r="Q29" s="3" t="str" cm="1">
        <f t="array" aca="1" ref="Q29" ca="1">IFERROR(IF($J29="","",INDIRECT("Profile"&amp;"!"&amp;ADDRESS(MATCH(Q$2,Profile!$C$1:$C$20,0),MATCH($I29,Profile!$1:$1,0),4))),"")</f>
        <v/>
      </c>
      <c r="R29" s="3" t="str" cm="1">
        <f t="array" aca="1" ref="R29" ca="1">IFERROR(IF($J29="","",INDIRECT("Profile"&amp;"!"&amp;ADDRESS(MATCH(R$2,Profile!$C$1:$C$20,0),MATCH($I29,Profile!$1:$1,0),4))),"")</f>
        <v/>
      </c>
      <c r="S29" s="3" t="str" cm="1">
        <f t="array" aca="1" ref="S29" ca="1">IFERROR(IF($J29="","",INDIRECT("Profile"&amp;"!"&amp;ADDRESS(MATCH(S$2,Profile!$C$1:$C$20,0),MATCH($I29,Profile!$1:$1,0),4))),"")</f>
        <v/>
      </c>
      <c r="T29" s="3" t="str" cm="1">
        <f t="array" aca="1" ref="T29" ca="1">IFERROR(IF($J29="","",INDIRECT("Profile"&amp;"!"&amp;ADDRESS(MATCH(T$2,Profile!$C$1:$C$20,0),MATCH($I29,Profile!$1:$1,0),4))),"")</f>
        <v/>
      </c>
      <c r="U29" s="38" t="str" cm="1">
        <f t="array" aca="1" ref="U29" ca="1">IFERROR(IF(INDIRECT("ID"&amp;"!"&amp;ADDRESS(MATCH($J29,ID!$B:$B,0),MATCH($U$1,ID!$1:$1,0),4))="","",INDIRECT("ID"&amp;"!"&amp;ADDRESS(MATCH($J29,ID!$B:$B,0),MATCH($U$1,ID!$1:$1,0),4))),"")</f>
        <v/>
      </c>
      <c r="X29" s="7">
        <v>-2.5</v>
      </c>
      <c r="Y29" s="7" t="str" cm="1">
        <f t="array" aca="1" ref="Y29" ca="1">IFERROR(IF(INDIRECT("Profile"&amp;"!"&amp;ADDRESS(MATCH($X$2,Profile!$D$1:$D$20,0)+ROW($X29)-ROW($X$2),MATCH(Y$1,Profile!$2:$2,0),4))="","",INDIRECT("Profile"&amp;"!"&amp;ADDRESS(MATCH($X$2,Profile!$D$1:$D$20,0)+ROW($X29)-ROW($X$2),MATCH(Y$1,Profile!$2:$2,0),4))),"")</f>
        <v/>
      </c>
      <c r="Z29" s="2" t="str" cm="1">
        <f t="array" aca="1" ref="Z29" ca="1">IFERROR(IF(INDIRECT("Profile"&amp;"!"&amp;ADDRESS(MATCH($X$2,Profile!$D$1:$D$20,0)+ROW($X29)-ROW($X$2),MATCH(Z$1,Profile!$2:$2,0),4))="","",INDIRECT("Profile"&amp;"!"&amp;ADDRESS(MATCH($X$2,Profile!$D$1:$D$20,0)+ROW($X29)-ROW($X$2),MATCH(Z$1,Profile!$2:$2,0),4))),"")</f>
        <v/>
      </c>
      <c r="AA29" s="2" t="str" cm="1">
        <f t="array" aca="1" ref="AA29" ca="1">IFERROR(IF(INDIRECT("Profile"&amp;"!"&amp;ADDRESS(MATCH($X$2,Profile!$D$1:$D$20,0)+ROW($X29)-ROW($X$2),MATCH(AA$1,Profile!$2:$2,0),4))="","",INDIRECT("Profile"&amp;"!"&amp;ADDRESS(MATCH($X$2,Profile!$D$1:$D$20,0)+ROW($X29)-ROW($X$2),MATCH(AA$1,Profile!$2:$2,0),4))),"")</f>
        <v/>
      </c>
      <c r="AB29" s="2" t="str" cm="1">
        <f t="array" aca="1" ref="AB29" ca="1">IFERROR(IF(INDIRECT("Profile"&amp;"!"&amp;ADDRESS(MATCH($X$2,Profile!$D$1:$D$20,0)+ROW($X29)-ROW($X$2),MATCH(AB$1,Profile!$2:$2,0),4))="","",INDIRECT("Profile"&amp;"!"&amp;ADDRESS(MATCH($X$2,Profile!$D$1:$D$20,0)+ROW($X29)-ROW($X$2),MATCH(AB$1,Profile!$2:$2,0),4))),"")</f>
        <v/>
      </c>
      <c r="AC29" s="2" t="str" cm="1">
        <f t="array" aca="1" ref="AC29" ca="1">IFERROR(IF(INDIRECT("Profile"&amp;"!"&amp;ADDRESS(MATCH($X$2,Profile!$D$1:$D$20,0)+ROW($X29)-ROW($X$2),MATCH(AC$1,Profile!$2:$2,0),4))="","",INDIRECT("Profile"&amp;"!"&amp;ADDRESS(MATCH($X$2,Profile!$D$1:$D$20,0)+ROW($X29)-ROW($X$2),MATCH(AC$1,Profile!$2:$2,0),4))),"")</f>
        <v/>
      </c>
      <c r="AD29" s="2" t="str" cm="1">
        <f t="array" aca="1" ref="AD29" ca="1">IFERROR(IF(INDIRECT("Profile"&amp;"!"&amp;ADDRESS(MATCH($X$2,Profile!$D$1:$D$20,0)+ROW($X29)-ROW($X$2),MATCH(AD$1,Profile!$2:$2,0),4))="","",INDIRECT("Profile"&amp;"!"&amp;ADDRESS(MATCH($X$2,Profile!$D$1:$D$20,0)+ROW($X29)-ROW($X$2),MATCH(AD$1,Profile!$2:$2,0),4))),"")</f>
        <v/>
      </c>
      <c r="AE29" s="2" t="str" cm="1">
        <f t="array" aca="1" ref="AE29" ca="1">IFERROR(IF(INDIRECT("Profile"&amp;"!"&amp;ADDRESS(MATCH($X$2,Profile!$D$1:$D$20,0)+ROW($X29)-ROW($X$2),MATCH(AE$1,Profile!$2:$2,0),4))="","",INDIRECT("Profile"&amp;"!"&amp;ADDRESS(MATCH($X$2,Profile!$D$1:$D$20,0)+ROW($X29)-ROW($X$2),MATCH(AE$1,Profile!$2:$2,0),4))),"")</f>
        <v/>
      </c>
      <c r="AF29" s="2" t="str" cm="1">
        <f t="array" aca="1" ref="AF29" ca="1">IFERROR(IF(INDIRECT("Profile"&amp;"!"&amp;ADDRESS(MATCH($X$2,Profile!$D$1:$D$20,0)+ROW($X29)-ROW($X$2),MATCH(AF$1,Profile!$2:$2,0),4))="","",INDIRECT("Profile"&amp;"!"&amp;ADDRESS(MATCH($X$2,Profile!$D$1:$D$20,0)+ROW($X29)-ROW($X$2),MATCH(AF$1,Profile!$2:$2,0),4))),"")</f>
        <v/>
      </c>
      <c r="AG29" s="2" t="str" cm="1">
        <f t="array" aca="1" ref="AG29" ca="1">IFERROR(IF(INDIRECT("Profile"&amp;"!"&amp;ADDRESS(MATCH($X$2,Profile!$D$1:$D$20,0)+ROW($X29)-ROW($X$2),MATCH(AG$1,Profile!$2:$2,0),4))="","",INDIRECT("Profile"&amp;"!"&amp;ADDRESS(MATCH($X$2,Profile!$D$1:$D$20,0)+ROW($X29)-ROW($X$2),MATCH(AG$1,Profile!$2:$2,0),4))),"")</f>
        <v/>
      </c>
      <c r="AH29" s="2" t="str" cm="1">
        <f t="array" aca="1" ref="AH29" ca="1">IFERROR(IF(INDIRECT("Profile"&amp;"!"&amp;ADDRESS(MATCH($X$2,Profile!$D$1:$D$20,0)+ROW($X29)-ROW($X$2),MATCH(AH$1,Profile!$2:$2,0),4))="","",INDIRECT("Profile"&amp;"!"&amp;ADDRESS(MATCH($X$2,Profile!$D$1:$D$20,0)+ROW($X29)-ROW($X$2),MATCH(AH$1,Profile!$2:$2,0),4))),"")</f>
        <v/>
      </c>
      <c r="AI29" s="2" t="str" cm="1">
        <f t="array" aca="1" ref="AI29" ca="1">IFERROR(IF(INDIRECT("Profile"&amp;"!"&amp;ADDRESS(MATCH($X$2,Profile!$D$1:$D$20,0)+ROW($X29)-ROW($X$2),MATCH(AI$1,Profile!$2:$2,0),4))="","",INDIRECT("Profile"&amp;"!"&amp;ADDRESS(MATCH($X$2,Profile!$D$1:$D$20,0)+ROW($X29)-ROW($X$2),MATCH(AI$1,Profile!$2:$2,0),4))),"")</f>
        <v/>
      </c>
      <c r="AJ29" s="2" t="str" cm="1">
        <f t="array" aca="1" ref="AJ29" ca="1">IFERROR(IF(INDIRECT("Profile"&amp;"!"&amp;ADDRESS(MATCH($X$2,Profile!$D$1:$D$20,0)+ROW($X29)-ROW($X$2),MATCH(AJ$1,Profile!$2:$2,0),4))="","",INDIRECT("Profile"&amp;"!"&amp;ADDRESS(MATCH($X$2,Profile!$D$1:$D$20,0)+ROW($X29)-ROW($X$2),MATCH(AJ$1,Profile!$2:$2,0),4))),"")</f>
        <v/>
      </c>
      <c r="AK29" s="2" t="str" cm="1">
        <f t="array" aca="1" ref="AK29" ca="1">IFERROR(IF(INDIRECT("Profile"&amp;"!"&amp;ADDRESS(MATCH($X$2,Profile!$D$1:$D$20,0)+ROW($X29)-ROW($X$2),MATCH(AK$1,Profile!$2:$2,0),4))="","",INDIRECT("Profile"&amp;"!"&amp;ADDRESS(MATCH($X$2,Profile!$D$1:$D$20,0)+ROW($X29)-ROW($X$2),MATCH(AK$1,Profile!$2:$2,0),4))),"")</f>
        <v/>
      </c>
      <c r="AL29" s="2" t="str" cm="1">
        <f t="array" aca="1" ref="AL29" ca="1">IFERROR(IF(INDIRECT("Profile"&amp;"!"&amp;ADDRESS(MATCH($X$2,Profile!$D$1:$D$20,0)+ROW($X29)-ROW($X$2),MATCH(AL$1,Profile!$2:$2,0),4))="","",INDIRECT("Profile"&amp;"!"&amp;ADDRESS(MATCH($X$2,Profile!$D$1:$D$20,0)+ROW($X29)-ROW($X$2),MATCH(AL$1,Profile!$2:$2,0),4))),"")</f>
        <v/>
      </c>
      <c r="AM29" s="2" t="str" cm="1">
        <f t="array" aca="1" ref="AM29" ca="1">IFERROR(IF(INDIRECT("Profile"&amp;"!"&amp;ADDRESS(MATCH($X$2,Profile!$D$1:$D$20,0)+ROW($X29)-ROW($X$2),MATCH(AM$1,Profile!$2:$2,0),4))="","",INDIRECT("Profile"&amp;"!"&amp;ADDRESS(MATCH($X$2,Profile!$D$1:$D$20,0)+ROW($X29)-ROW($X$2),MATCH(AM$1,Profile!$2:$2,0),4))),"")</f>
        <v/>
      </c>
      <c r="AN29" s="2" t="str" cm="1">
        <f t="array" aca="1" ref="AN29" ca="1">IFERROR(IF(INDIRECT("Profile"&amp;"!"&amp;ADDRESS(MATCH($X$2,Profile!$D$1:$D$20,0)+ROW($X29)-ROW($X$2),MATCH(AN$1,Profile!$2:$2,0),4))="","",INDIRECT("Profile"&amp;"!"&amp;ADDRESS(MATCH($X$2,Profile!$D$1:$D$20,0)+ROW($X29)-ROW($X$2),MATCH(AN$1,Profile!$2:$2,0),4))),"")</f>
        <v/>
      </c>
    </row>
    <row r="30" spans="9:40" x14ac:dyDescent="0.25">
      <c r="I30" s="7">
        <v>27</v>
      </c>
      <c r="J30" s="7" t="str" cm="1">
        <f t="array" aca="1" ref="J30" ca="1">IFERROR(IF(INDIRECT("Profile"&amp;"!"&amp;ADDRESS(MATCH(J$1,Profile!$A$1:$A$20,0),MATCH($I30,Profile!$1:$1,0),4))="","",INDIRECT("Profile"&amp;"!"&amp;ADDRESS(MATCH(J$1,Profile!$A$1:$A$20,0),MATCH($I30,Profile!$1:$1,0),4))),"")</f>
        <v/>
      </c>
      <c r="K30" s="9" t="str" cm="1">
        <f t="array" aca="1" ref="K30" ca="1">IF($J30="","",IF(INDIRECT("Profile"&amp;"!"&amp;ADDRESS(MATCH(K$2,Profile!$C$1:$C$20,0),MATCH($I30,Profile!$1:$1,0),4))="","",INDIRECT("Profile"&amp;"!"&amp;ADDRESS(MATCH(K$2,Profile!$C$1:$C$20,0),MATCH($I30,Profile!$1:$1,0)))))</f>
        <v/>
      </c>
      <c r="L30" s="3" t="str" cm="1">
        <f t="array" aca="1" ref="L30" ca="1">IF($J30="","",IF(INDIRECT("Profile"&amp;"!"&amp;ADDRESS(MATCH(L$2,Profile!$C$1:$C$20,0),MATCH($I30,Profile!$1:$1,0),4))="","",INDIRECT("Profile"&amp;"!"&amp;ADDRESS(MATCH(L$2,Profile!$C$1:$C$20,0),MATCH($I30,Profile!$1:$1,0)))))</f>
        <v/>
      </c>
      <c r="M30" s="9" t="str" cm="1">
        <f t="array" aca="1" ref="M30" ca="1">IF($J30="","",IF(INDIRECT("Profile"&amp;"!"&amp;ADDRESS(MATCH(M$2,Profile!$C$1:$C$20,0),MATCH($I30,Profile!$1:$1,0),4))="","",INDIRECT("Profile"&amp;"!"&amp;ADDRESS(MATCH(M$2,Profile!$C$1:$C$20,0),MATCH($I30,Profile!$1:$1,0)))))</f>
        <v/>
      </c>
      <c r="N30" s="3" t="str" cm="1">
        <f t="array" aca="1" ref="N30" ca="1">IF($J30="","",IF(INDIRECT("Profile"&amp;"!"&amp;ADDRESS(MATCH(N$2,Profile!$C$1:$C$20,0),MATCH($I30,Profile!$1:$1,0),4))="","",INDIRECT("Profile"&amp;"!"&amp;ADDRESS(MATCH(N$2,Profile!$C$1:$C$20,0),MATCH($I30,Profile!$1:$1,0)))))</f>
        <v/>
      </c>
      <c r="O30" s="3" t="str" cm="1">
        <f t="array" aca="1" ref="O30" ca="1">IFERROR(IF($J30="","",INDIRECT("Profile"&amp;"!"&amp;ADDRESS(MATCH(O$2,Profile!$C$1:$C$20,0),MATCH($I30,Profile!$1:$1,0),4))),"")</f>
        <v/>
      </c>
      <c r="P30" s="9" t="str" cm="1">
        <f t="array" aca="1" ref="P30" ca="1">IFERROR(IF($J30="","",INDIRECT("Profile"&amp;"!"&amp;ADDRESS(MATCH(P$2,Profile!$C$1:$C$20,0),MATCH($I30,Profile!$1:$1,0),4))),"")</f>
        <v/>
      </c>
      <c r="Q30" s="3" t="str" cm="1">
        <f t="array" aca="1" ref="Q30" ca="1">IFERROR(IF($J30="","",INDIRECT("Profile"&amp;"!"&amp;ADDRESS(MATCH(Q$2,Profile!$C$1:$C$20,0),MATCH($I30,Profile!$1:$1,0),4))),"")</f>
        <v/>
      </c>
      <c r="R30" s="3" t="str" cm="1">
        <f t="array" aca="1" ref="R30" ca="1">IFERROR(IF($J30="","",INDIRECT("Profile"&amp;"!"&amp;ADDRESS(MATCH(R$2,Profile!$C$1:$C$20,0),MATCH($I30,Profile!$1:$1,0),4))),"")</f>
        <v/>
      </c>
      <c r="S30" s="3" t="str" cm="1">
        <f t="array" aca="1" ref="S30" ca="1">IFERROR(IF($J30="","",INDIRECT("Profile"&amp;"!"&amp;ADDRESS(MATCH(S$2,Profile!$C$1:$C$20,0),MATCH($I30,Profile!$1:$1,0),4))),"")</f>
        <v/>
      </c>
      <c r="T30" s="3" t="str" cm="1">
        <f t="array" aca="1" ref="T30" ca="1">IFERROR(IF($J30="","",INDIRECT("Profile"&amp;"!"&amp;ADDRESS(MATCH(T$2,Profile!$C$1:$C$20,0),MATCH($I30,Profile!$1:$1,0),4))),"")</f>
        <v/>
      </c>
      <c r="U30" s="38" t="str" cm="1">
        <f t="array" aca="1" ref="U30" ca="1">IFERROR(IF(INDIRECT("ID"&amp;"!"&amp;ADDRESS(MATCH($J30,ID!$B:$B,0),MATCH($U$1,ID!$1:$1,0),4))="","",INDIRECT("ID"&amp;"!"&amp;ADDRESS(MATCH($J30,ID!$B:$B,0),MATCH($U$1,ID!$1:$1,0),4))),"")</f>
        <v/>
      </c>
      <c r="X30" s="7">
        <v>-2.6</v>
      </c>
      <c r="Y30" s="7" t="str" cm="1">
        <f t="array" aca="1" ref="Y30" ca="1">IFERROR(IF(INDIRECT("Profile"&amp;"!"&amp;ADDRESS(MATCH($X$2,Profile!$D$1:$D$20,0)+ROW($X30)-ROW($X$2),MATCH(Y$1,Profile!$2:$2,0),4))="","",INDIRECT("Profile"&amp;"!"&amp;ADDRESS(MATCH($X$2,Profile!$D$1:$D$20,0)+ROW($X30)-ROW($X$2),MATCH(Y$1,Profile!$2:$2,0),4))),"")</f>
        <v/>
      </c>
      <c r="Z30" s="2" t="str" cm="1">
        <f t="array" aca="1" ref="Z30" ca="1">IFERROR(IF(INDIRECT("Profile"&amp;"!"&amp;ADDRESS(MATCH($X$2,Profile!$D$1:$D$20,0)+ROW($X30)-ROW($X$2),MATCH(Z$1,Profile!$2:$2,0),4))="","",INDIRECT("Profile"&amp;"!"&amp;ADDRESS(MATCH($X$2,Profile!$D$1:$D$20,0)+ROW($X30)-ROW($X$2),MATCH(Z$1,Profile!$2:$2,0),4))),"")</f>
        <v/>
      </c>
      <c r="AA30" s="2" t="str" cm="1">
        <f t="array" aca="1" ref="AA30" ca="1">IFERROR(IF(INDIRECT("Profile"&amp;"!"&amp;ADDRESS(MATCH($X$2,Profile!$D$1:$D$20,0)+ROW($X30)-ROW($X$2),MATCH(AA$1,Profile!$2:$2,0),4))="","",INDIRECT("Profile"&amp;"!"&amp;ADDRESS(MATCH($X$2,Profile!$D$1:$D$20,0)+ROW($X30)-ROW($X$2),MATCH(AA$1,Profile!$2:$2,0),4))),"")</f>
        <v/>
      </c>
      <c r="AB30" s="2" t="str" cm="1">
        <f t="array" aca="1" ref="AB30" ca="1">IFERROR(IF(INDIRECT("Profile"&amp;"!"&amp;ADDRESS(MATCH($X$2,Profile!$D$1:$D$20,0)+ROW($X30)-ROW($X$2),MATCH(AB$1,Profile!$2:$2,0),4))="","",INDIRECT("Profile"&amp;"!"&amp;ADDRESS(MATCH($X$2,Profile!$D$1:$D$20,0)+ROW($X30)-ROW($X$2),MATCH(AB$1,Profile!$2:$2,0),4))),"")</f>
        <v/>
      </c>
      <c r="AC30" s="2" t="str" cm="1">
        <f t="array" aca="1" ref="AC30" ca="1">IFERROR(IF(INDIRECT("Profile"&amp;"!"&amp;ADDRESS(MATCH($X$2,Profile!$D$1:$D$20,0)+ROW($X30)-ROW($X$2),MATCH(AC$1,Profile!$2:$2,0),4))="","",INDIRECT("Profile"&amp;"!"&amp;ADDRESS(MATCH($X$2,Profile!$D$1:$D$20,0)+ROW($X30)-ROW($X$2),MATCH(AC$1,Profile!$2:$2,0),4))),"")</f>
        <v/>
      </c>
      <c r="AD30" s="2" t="str" cm="1">
        <f t="array" aca="1" ref="AD30" ca="1">IFERROR(IF(INDIRECT("Profile"&amp;"!"&amp;ADDRESS(MATCH($X$2,Profile!$D$1:$D$20,0)+ROW($X30)-ROW($X$2),MATCH(AD$1,Profile!$2:$2,0),4))="","",INDIRECT("Profile"&amp;"!"&amp;ADDRESS(MATCH($X$2,Profile!$D$1:$D$20,0)+ROW($X30)-ROW($X$2),MATCH(AD$1,Profile!$2:$2,0),4))),"")</f>
        <v/>
      </c>
      <c r="AE30" s="2" t="str" cm="1">
        <f t="array" aca="1" ref="AE30" ca="1">IFERROR(IF(INDIRECT("Profile"&amp;"!"&amp;ADDRESS(MATCH($X$2,Profile!$D$1:$D$20,0)+ROW($X30)-ROW($X$2),MATCH(AE$1,Profile!$2:$2,0),4))="","",INDIRECT("Profile"&amp;"!"&amp;ADDRESS(MATCH($X$2,Profile!$D$1:$D$20,0)+ROW($X30)-ROW($X$2),MATCH(AE$1,Profile!$2:$2,0),4))),"")</f>
        <v/>
      </c>
      <c r="AF30" s="2" t="str" cm="1">
        <f t="array" aca="1" ref="AF30" ca="1">IFERROR(IF(INDIRECT("Profile"&amp;"!"&amp;ADDRESS(MATCH($X$2,Profile!$D$1:$D$20,0)+ROW($X30)-ROW($X$2),MATCH(AF$1,Profile!$2:$2,0),4))="","",INDIRECT("Profile"&amp;"!"&amp;ADDRESS(MATCH($X$2,Profile!$D$1:$D$20,0)+ROW($X30)-ROW($X$2),MATCH(AF$1,Profile!$2:$2,0),4))),"")</f>
        <v/>
      </c>
      <c r="AG30" s="2" t="str" cm="1">
        <f t="array" aca="1" ref="AG30" ca="1">IFERROR(IF(INDIRECT("Profile"&amp;"!"&amp;ADDRESS(MATCH($X$2,Profile!$D$1:$D$20,0)+ROW($X30)-ROW($X$2),MATCH(AG$1,Profile!$2:$2,0),4))="","",INDIRECT("Profile"&amp;"!"&amp;ADDRESS(MATCH($X$2,Profile!$D$1:$D$20,0)+ROW($X30)-ROW($X$2),MATCH(AG$1,Profile!$2:$2,0),4))),"")</f>
        <v/>
      </c>
      <c r="AH30" s="2" t="str" cm="1">
        <f t="array" aca="1" ref="AH30" ca="1">IFERROR(IF(INDIRECT("Profile"&amp;"!"&amp;ADDRESS(MATCH($X$2,Profile!$D$1:$D$20,0)+ROW($X30)-ROW($X$2),MATCH(AH$1,Profile!$2:$2,0),4))="","",INDIRECT("Profile"&amp;"!"&amp;ADDRESS(MATCH($X$2,Profile!$D$1:$D$20,0)+ROW($X30)-ROW($X$2),MATCH(AH$1,Profile!$2:$2,0),4))),"")</f>
        <v/>
      </c>
      <c r="AI30" s="2" t="str" cm="1">
        <f t="array" aca="1" ref="AI30" ca="1">IFERROR(IF(INDIRECT("Profile"&amp;"!"&amp;ADDRESS(MATCH($X$2,Profile!$D$1:$D$20,0)+ROW($X30)-ROW($X$2),MATCH(AI$1,Profile!$2:$2,0),4))="","",INDIRECT("Profile"&amp;"!"&amp;ADDRESS(MATCH($X$2,Profile!$D$1:$D$20,0)+ROW($X30)-ROW($X$2),MATCH(AI$1,Profile!$2:$2,0),4))),"")</f>
        <v/>
      </c>
      <c r="AJ30" s="2" t="str" cm="1">
        <f t="array" aca="1" ref="AJ30" ca="1">IFERROR(IF(INDIRECT("Profile"&amp;"!"&amp;ADDRESS(MATCH($X$2,Profile!$D$1:$D$20,0)+ROW($X30)-ROW($X$2),MATCH(AJ$1,Profile!$2:$2,0),4))="","",INDIRECT("Profile"&amp;"!"&amp;ADDRESS(MATCH($X$2,Profile!$D$1:$D$20,0)+ROW($X30)-ROW($X$2),MATCH(AJ$1,Profile!$2:$2,0),4))),"")</f>
        <v/>
      </c>
      <c r="AK30" s="2" t="str" cm="1">
        <f t="array" aca="1" ref="AK30" ca="1">IFERROR(IF(INDIRECT("Profile"&amp;"!"&amp;ADDRESS(MATCH($X$2,Profile!$D$1:$D$20,0)+ROW($X30)-ROW($X$2),MATCH(AK$1,Profile!$2:$2,0),4))="","",INDIRECT("Profile"&amp;"!"&amp;ADDRESS(MATCH($X$2,Profile!$D$1:$D$20,0)+ROW($X30)-ROW($X$2),MATCH(AK$1,Profile!$2:$2,0),4))),"")</f>
        <v/>
      </c>
      <c r="AL30" s="2" t="str" cm="1">
        <f t="array" aca="1" ref="AL30" ca="1">IFERROR(IF(INDIRECT("Profile"&amp;"!"&amp;ADDRESS(MATCH($X$2,Profile!$D$1:$D$20,0)+ROW($X30)-ROW($X$2),MATCH(AL$1,Profile!$2:$2,0),4))="","",INDIRECT("Profile"&amp;"!"&amp;ADDRESS(MATCH($X$2,Profile!$D$1:$D$20,0)+ROW($X30)-ROW($X$2),MATCH(AL$1,Profile!$2:$2,0),4))),"")</f>
        <v/>
      </c>
      <c r="AM30" s="2" t="str" cm="1">
        <f t="array" aca="1" ref="AM30" ca="1">IFERROR(IF(INDIRECT("Profile"&amp;"!"&amp;ADDRESS(MATCH($X$2,Profile!$D$1:$D$20,0)+ROW($X30)-ROW($X$2),MATCH(AM$1,Profile!$2:$2,0),4))="","",INDIRECT("Profile"&amp;"!"&amp;ADDRESS(MATCH($X$2,Profile!$D$1:$D$20,0)+ROW($X30)-ROW($X$2),MATCH(AM$1,Profile!$2:$2,0),4))),"")</f>
        <v/>
      </c>
      <c r="AN30" s="2" t="str" cm="1">
        <f t="array" aca="1" ref="AN30" ca="1">IFERROR(IF(INDIRECT("Profile"&amp;"!"&amp;ADDRESS(MATCH($X$2,Profile!$D$1:$D$20,0)+ROW($X30)-ROW($X$2),MATCH(AN$1,Profile!$2:$2,0),4))="","",INDIRECT("Profile"&amp;"!"&amp;ADDRESS(MATCH($X$2,Profile!$D$1:$D$20,0)+ROW($X30)-ROW($X$2),MATCH(AN$1,Profile!$2:$2,0),4))),"")</f>
        <v/>
      </c>
    </row>
    <row r="31" spans="9:40" x14ac:dyDescent="0.25">
      <c r="I31" s="7">
        <v>28</v>
      </c>
      <c r="J31" s="7" t="str" cm="1">
        <f t="array" aca="1" ref="J31" ca="1">IFERROR(IF(INDIRECT("Profile"&amp;"!"&amp;ADDRESS(MATCH(J$1,Profile!$A$1:$A$20,0),MATCH($I31,Profile!$1:$1,0),4))="","",INDIRECT("Profile"&amp;"!"&amp;ADDRESS(MATCH(J$1,Profile!$A$1:$A$20,0),MATCH($I31,Profile!$1:$1,0),4))),"")</f>
        <v/>
      </c>
      <c r="K31" s="9" t="str" cm="1">
        <f t="array" aca="1" ref="K31" ca="1">IF($J31="","",IF(INDIRECT("Profile"&amp;"!"&amp;ADDRESS(MATCH(K$2,Profile!$C$1:$C$20,0),MATCH($I31,Profile!$1:$1,0),4))="","",INDIRECT("Profile"&amp;"!"&amp;ADDRESS(MATCH(K$2,Profile!$C$1:$C$20,0),MATCH($I31,Profile!$1:$1,0)))))</f>
        <v/>
      </c>
      <c r="L31" s="3" t="str" cm="1">
        <f t="array" aca="1" ref="L31" ca="1">IF($J31="","",IF(INDIRECT("Profile"&amp;"!"&amp;ADDRESS(MATCH(L$2,Profile!$C$1:$C$20,0),MATCH($I31,Profile!$1:$1,0),4))="","",INDIRECT("Profile"&amp;"!"&amp;ADDRESS(MATCH(L$2,Profile!$C$1:$C$20,0),MATCH($I31,Profile!$1:$1,0)))))</f>
        <v/>
      </c>
      <c r="M31" s="9" t="str" cm="1">
        <f t="array" aca="1" ref="M31" ca="1">IF($J31="","",IF(INDIRECT("Profile"&amp;"!"&amp;ADDRESS(MATCH(M$2,Profile!$C$1:$C$20,0),MATCH($I31,Profile!$1:$1,0),4))="","",INDIRECT("Profile"&amp;"!"&amp;ADDRESS(MATCH(M$2,Profile!$C$1:$C$20,0),MATCH($I31,Profile!$1:$1,0)))))</f>
        <v/>
      </c>
      <c r="N31" s="3" t="str" cm="1">
        <f t="array" aca="1" ref="N31" ca="1">IF($J31="","",IF(INDIRECT("Profile"&amp;"!"&amp;ADDRESS(MATCH(N$2,Profile!$C$1:$C$20,0),MATCH($I31,Profile!$1:$1,0),4))="","",INDIRECT("Profile"&amp;"!"&amp;ADDRESS(MATCH(N$2,Profile!$C$1:$C$20,0),MATCH($I31,Profile!$1:$1,0)))))</f>
        <v/>
      </c>
      <c r="O31" s="3" t="str" cm="1">
        <f t="array" aca="1" ref="O31" ca="1">IFERROR(IF($J31="","",INDIRECT("Profile"&amp;"!"&amp;ADDRESS(MATCH(O$2,Profile!$C$1:$C$20,0),MATCH($I31,Profile!$1:$1,0),4))),"")</f>
        <v/>
      </c>
      <c r="P31" s="9" t="str" cm="1">
        <f t="array" aca="1" ref="P31" ca="1">IFERROR(IF($J31="","",INDIRECT("Profile"&amp;"!"&amp;ADDRESS(MATCH(P$2,Profile!$C$1:$C$20,0),MATCH($I31,Profile!$1:$1,0),4))),"")</f>
        <v/>
      </c>
      <c r="Q31" s="3" t="str" cm="1">
        <f t="array" aca="1" ref="Q31" ca="1">IFERROR(IF($J31="","",INDIRECT("Profile"&amp;"!"&amp;ADDRESS(MATCH(Q$2,Profile!$C$1:$C$20,0),MATCH($I31,Profile!$1:$1,0),4))),"")</f>
        <v/>
      </c>
      <c r="R31" s="3" t="str" cm="1">
        <f t="array" aca="1" ref="R31" ca="1">IFERROR(IF($J31="","",INDIRECT("Profile"&amp;"!"&amp;ADDRESS(MATCH(R$2,Profile!$C$1:$C$20,0),MATCH($I31,Profile!$1:$1,0),4))),"")</f>
        <v/>
      </c>
      <c r="S31" s="3" t="str" cm="1">
        <f t="array" aca="1" ref="S31" ca="1">IFERROR(IF($J31="","",INDIRECT("Profile"&amp;"!"&amp;ADDRESS(MATCH(S$2,Profile!$C$1:$C$20,0),MATCH($I31,Profile!$1:$1,0),4))),"")</f>
        <v/>
      </c>
      <c r="T31" s="3" t="str" cm="1">
        <f t="array" aca="1" ref="T31" ca="1">IFERROR(IF($J31="","",INDIRECT("Profile"&amp;"!"&amp;ADDRESS(MATCH(T$2,Profile!$C$1:$C$20,0),MATCH($I31,Profile!$1:$1,0),4))),"")</f>
        <v/>
      </c>
      <c r="U31" s="38" t="str" cm="1">
        <f t="array" aca="1" ref="U31" ca="1">IFERROR(IF(INDIRECT("ID"&amp;"!"&amp;ADDRESS(MATCH($J31,ID!$B:$B,0),MATCH($U$1,ID!$1:$1,0),4))="","",INDIRECT("ID"&amp;"!"&amp;ADDRESS(MATCH($J31,ID!$B:$B,0),MATCH($U$1,ID!$1:$1,0),4))),"")</f>
        <v/>
      </c>
      <c r="X31" s="7">
        <v>-2.7</v>
      </c>
      <c r="Y31" s="7" t="str" cm="1">
        <f t="array" aca="1" ref="Y31" ca="1">IFERROR(IF(INDIRECT("Profile"&amp;"!"&amp;ADDRESS(MATCH($X$2,Profile!$D$1:$D$20,0)+ROW($X31)-ROW($X$2),MATCH(Y$1,Profile!$2:$2,0),4))="","",INDIRECT("Profile"&amp;"!"&amp;ADDRESS(MATCH($X$2,Profile!$D$1:$D$20,0)+ROW($X31)-ROW($X$2),MATCH(Y$1,Profile!$2:$2,0),4))),"")</f>
        <v/>
      </c>
      <c r="Z31" s="2" t="str" cm="1">
        <f t="array" aca="1" ref="Z31" ca="1">IFERROR(IF(INDIRECT("Profile"&amp;"!"&amp;ADDRESS(MATCH($X$2,Profile!$D$1:$D$20,0)+ROW($X31)-ROW($X$2),MATCH(Z$1,Profile!$2:$2,0),4))="","",INDIRECT("Profile"&amp;"!"&amp;ADDRESS(MATCH($X$2,Profile!$D$1:$D$20,0)+ROW($X31)-ROW($X$2),MATCH(Z$1,Profile!$2:$2,0),4))),"")</f>
        <v/>
      </c>
      <c r="AA31" s="2" t="str" cm="1">
        <f t="array" aca="1" ref="AA31" ca="1">IFERROR(IF(INDIRECT("Profile"&amp;"!"&amp;ADDRESS(MATCH($X$2,Profile!$D$1:$D$20,0)+ROW($X31)-ROW($X$2),MATCH(AA$1,Profile!$2:$2,0),4))="","",INDIRECT("Profile"&amp;"!"&amp;ADDRESS(MATCH($X$2,Profile!$D$1:$D$20,0)+ROW($X31)-ROW($X$2),MATCH(AA$1,Profile!$2:$2,0),4))),"")</f>
        <v/>
      </c>
      <c r="AB31" s="2" t="str" cm="1">
        <f t="array" aca="1" ref="AB31" ca="1">IFERROR(IF(INDIRECT("Profile"&amp;"!"&amp;ADDRESS(MATCH($X$2,Profile!$D$1:$D$20,0)+ROW($X31)-ROW($X$2),MATCH(AB$1,Profile!$2:$2,0),4))="","",INDIRECT("Profile"&amp;"!"&amp;ADDRESS(MATCH($X$2,Profile!$D$1:$D$20,0)+ROW($X31)-ROW($X$2),MATCH(AB$1,Profile!$2:$2,0),4))),"")</f>
        <v/>
      </c>
      <c r="AC31" s="2" t="str" cm="1">
        <f t="array" aca="1" ref="AC31" ca="1">IFERROR(IF(INDIRECT("Profile"&amp;"!"&amp;ADDRESS(MATCH($X$2,Profile!$D$1:$D$20,0)+ROW($X31)-ROW($X$2),MATCH(AC$1,Profile!$2:$2,0),4))="","",INDIRECT("Profile"&amp;"!"&amp;ADDRESS(MATCH($X$2,Profile!$D$1:$D$20,0)+ROW($X31)-ROW($X$2),MATCH(AC$1,Profile!$2:$2,0),4))),"")</f>
        <v/>
      </c>
      <c r="AD31" s="2" t="str" cm="1">
        <f t="array" aca="1" ref="AD31" ca="1">IFERROR(IF(INDIRECT("Profile"&amp;"!"&amp;ADDRESS(MATCH($X$2,Profile!$D$1:$D$20,0)+ROW($X31)-ROW($X$2),MATCH(AD$1,Profile!$2:$2,0),4))="","",INDIRECT("Profile"&amp;"!"&amp;ADDRESS(MATCH($X$2,Profile!$D$1:$D$20,0)+ROW($X31)-ROW($X$2),MATCH(AD$1,Profile!$2:$2,0),4))),"")</f>
        <v/>
      </c>
      <c r="AE31" s="2" t="str" cm="1">
        <f t="array" aca="1" ref="AE31" ca="1">IFERROR(IF(INDIRECT("Profile"&amp;"!"&amp;ADDRESS(MATCH($X$2,Profile!$D$1:$D$20,0)+ROW($X31)-ROW($X$2),MATCH(AE$1,Profile!$2:$2,0),4))="","",INDIRECT("Profile"&amp;"!"&amp;ADDRESS(MATCH($X$2,Profile!$D$1:$D$20,0)+ROW($X31)-ROW($X$2),MATCH(AE$1,Profile!$2:$2,0),4))),"")</f>
        <v/>
      </c>
      <c r="AF31" s="2" t="str" cm="1">
        <f t="array" aca="1" ref="AF31" ca="1">IFERROR(IF(INDIRECT("Profile"&amp;"!"&amp;ADDRESS(MATCH($X$2,Profile!$D$1:$D$20,0)+ROW($X31)-ROW($X$2),MATCH(AF$1,Profile!$2:$2,0),4))="","",INDIRECT("Profile"&amp;"!"&amp;ADDRESS(MATCH($X$2,Profile!$D$1:$D$20,0)+ROW($X31)-ROW($X$2),MATCH(AF$1,Profile!$2:$2,0),4))),"")</f>
        <v/>
      </c>
      <c r="AG31" s="2" t="str" cm="1">
        <f t="array" aca="1" ref="AG31" ca="1">IFERROR(IF(INDIRECT("Profile"&amp;"!"&amp;ADDRESS(MATCH($X$2,Profile!$D$1:$D$20,0)+ROW($X31)-ROW($X$2),MATCH(AG$1,Profile!$2:$2,0),4))="","",INDIRECT("Profile"&amp;"!"&amp;ADDRESS(MATCH($X$2,Profile!$D$1:$D$20,0)+ROW($X31)-ROW($X$2),MATCH(AG$1,Profile!$2:$2,0),4))),"")</f>
        <v/>
      </c>
      <c r="AH31" s="2" t="str" cm="1">
        <f t="array" aca="1" ref="AH31" ca="1">IFERROR(IF(INDIRECT("Profile"&amp;"!"&amp;ADDRESS(MATCH($X$2,Profile!$D$1:$D$20,0)+ROW($X31)-ROW($X$2),MATCH(AH$1,Profile!$2:$2,0),4))="","",INDIRECT("Profile"&amp;"!"&amp;ADDRESS(MATCH($X$2,Profile!$D$1:$D$20,0)+ROW($X31)-ROW($X$2),MATCH(AH$1,Profile!$2:$2,0),4))),"")</f>
        <v/>
      </c>
      <c r="AI31" s="2" t="str" cm="1">
        <f t="array" aca="1" ref="AI31" ca="1">IFERROR(IF(INDIRECT("Profile"&amp;"!"&amp;ADDRESS(MATCH($X$2,Profile!$D$1:$D$20,0)+ROW($X31)-ROW($X$2),MATCH(AI$1,Profile!$2:$2,0),4))="","",INDIRECT("Profile"&amp;"!"&amp;ADDRESS(MATCH($X$2,Profile!$D$1:$D$20,0)+ROW($X31)-ROW($X$2),MATCH(AI$1,Profile!$2:$2,0),4))),"")</f>
        <v/>
      </c>
      <c r="AJ31" s="2" t="str" cm="1">
        <f t="array" aca="1" ref="AJ31" ca="1">IFERROR(IF(INDIRECT("Profile"&amp;"!"&amp;ADDRESS(MATCH($X$2,Profile!$D$1:$D$20,0)+ROW($X31)-ROW($X$2),MATCH(AJ$1,Profile!$2:$2,0),4))="","",INDIRECT("Profile"&amp;"!"&amp;ADDRESS(MATCH($X$2,Profile!$D$1:$D$20,0)+ROW($X31)-ROW($X$2),MATCH(AJ$1,Profile!$2:$2,0),4))),"")</f>
        <v/>
      </c>
      <c r="AK31" s="2" t="str" cm="1">
        <f t="array" aca="1" ref="AK31" ca="1">IFERROR(IF(INDIRECT("Profile"&amp;"!"&amp;ADDRESS(MATCH($X$2,Profile!$D$1:$D$20,0)+ROW($X31)-ROW($X$2),MATCH(AK$1,Profile!$2:$2,0),4))="","",INDIRECT("Profile"&amp;"!"&amp;ADDRESS(MATCH($X$2,Profile!$D$1:$D$20,0)+ROW($X31)-ROW($X$2),MATCH(AK$1,Profile!$2:$2,0),4))),"")</f>
        <v/>
      </c>
      <c r="AL31" s="2" t="str" cm="1">
        <f t="array" aca="1" ref="AL31" ca="1">IFERROR(IF(INDIRECT("Profile"&amp;"!"&amp;ADDRESS(MATCH($X$2,Profile!$D$1:$D$20,0)+ROW($X31)-ROW($X$2),MATCH(AL$1,Profile!$2:$2,0),4))="","",INDIRECT("Profile"&amp;"!"&amp;ADDRESS(MATCH($X$2,Profile!$D$1:$D$20,0)+ROW($X31)-ROW($X$2),MATCH(AL$1,Profile!$2:$2,0),4))),"")</f>
        <v/>
      </c>
      <c r="AM31" s="2" t="str" cm="1">
        <f t="array" aca="1" ref="AM31" ca="1">IFERROR(IF(INDIRECT("Profile"&amp;"!"&amp;ADDRESS(MATCH($X$2,Profile!$D$1:$D$20,0)+ROW($X31)-ROW($X$2),MATCH(AM$1,Profile!$2:$2,0),4))="","",INDIRECT("Profile"&amp;"!"&amp;ADDRESS(MATCH($X$2,Profile!$D$1:$D$20,0)+ROW($X31)-ROW($X$2),MATCH(AM$1,Profile!$2:$2,0),4))),"")</f>
        <v/>
      </c>
      <c r="AN31" s="2" t="str" cm="1">
        <f t="array" aca="1" ref="AN31" ca="1">IFERROR(IF(INDIRECT("Profile"&amp;"!"&amp;ADDRESS(MATCH($X$2,Profile!$D$1:$D$20,0)+ROW($X31)-ROW($X$2),MATCH(AN$1,Profile!$2:$2,0),4))="","",INDIRECT("Profile"&amp;"!"&amp;ADDRESS(MATCH($X$2,Profile!$D$1:$D$20,0)+ROW($X31)-ROW($X$2),MATCH(AN$1,Profile!$2:$2,0),4))),"")</f>
        <v/>
      </c>
    </row>
    <row r="32" spans="9:40" x14ac:dyDescent="0.25">
      <c r="I32" s="7">
        <v>29</v>
      </c>
      <c r="J32" s="7" t="str" cm="1">
        <f t="array" aca="1" ref="J32" ca="1">IFERROR(IF(INDIRECT("Profile"&amp;"!"&amp;ADDRESS(MATCH(J$1,Profile!$A$1:$A$20,0),MATCH($I32,Profile!$1:$1,0),4))="","",INDIRECT("Profile"&amp;"!"&amp;ADDRESS(MATCH(J$1,Profile!$A$1:$A$20,0),MATCH($I32,Profile!$1:$1,0),4))),"")</f>
        <v/>
      </c>
      <c r="K32" s="9" t="str" cm="1">
        <f t="array" aca="1" ref="K32" ca="1">IF($J32="","",IF(INDIRECT("Profile"&amp;"!"&amp;ADDRESS(MATCH(K$2,Profile!$C$1:$C$20,0),MATCH($I32,Profile!$1:$1,0),4))="","",INDIRECT("Profile"&amp;"!"&amp;ADDRESS(MATCH(K$2,Profile!$C$1:$C$20,0),MATCH($I32,Profile!$1:$1,0)))))</f>
        <v/>
      </c>
      <c r="L32" s="3" t="str" cm="1">
        <f t="array" aca="1" ref="L32" ca="1">IF($J32="","",IF(INDIRECT("Profile"&amp;"!"&amp;ADDRESS(MATCH(L$2,Profile!$C$1:$C$20,0),MATCH($I32,Profile!$1:$1,0),4))="","",INDIRECT("Profile"&amp;"!"&amp;ADDRESS(MATCH(L$2,Profile!$C$1:$C$20,0),MATCH($I32,Profile!$1:$1,0)))))</f>
        <v/>
      </c>
      <c r="M32" s="9" t="str" cm="1">
        <f t="array" aca="1" ref="M32" ca="1">IF($J32="","",IF(INDIRECT("Profile"&amp;"!"&amp;ADDRESS(MATCH(M$2,Profile!$C$1:$C$20,0),MATCH($I32,Profile!$1:$1,0),4))="","",INDIRECT("Profile"&amp;"!"&amp;ADDRESS(MATCH(M$2,Profile!$C$1:$C$20,0),MATCH($I32,Profile!$1:$1,0)))))</f>
        <v/>
      </c>
      <c r="N32" s="3" t="str" cm="1">
        <f t="array" aca="1" ref="N32" ca="1">IF($J32="","",IF(INDIRECT("Profile"&amp;"!"&amp;ADDRESS(MATCH(N$2,Profile!$C$1:$C$20,0),MATCH($I32,Profile!$1:$1,0),4))="","",INDIRECT("Profile"&amp;"!"&amp;ADDRESS(MATCH(N$2,Profile!$C$1:$C$20,0),MATCH($I32,Profile!$1:$1,0)))))</f>
        <v/>
      </c>
      <c r="O32" s="3" t="str" cm="1">
        <f t="array" aca="1" ref="O32" ca="1">IFERROR(IF($J32="","",INDIRECT("Profile"&amp;"!"&amp;ADDRESS(MATCH(O$2,Profile!$C$1:$C$20,0),MATCH($I32,Profile!$1:$1,0),4))),"")</f>
        <v/>
      </c>
      <c r="P32" s="9" t="str" cm="1">
        <f t="array" aca="1" ref="P32" ca="1">IFERROR(IF($J32="","",INDIRECT("Profile"&amp;"!"&amp;ADDRESS(MATCH(P$2,Profile!$C$1:$C$20,0),MATCH($I32,Profile!$1:$1,0),4))),"")</f>
        <v/>
      </c>
      <c r="Q32" s="3" t="str" cm="1">
        <f t="array" aca="1" ref="Q32" ca="1">IFERROR(IF($J32="","",INDIRECT("Profile"&amp;"!"&amp;ADDRESS(MATCH(Q$2,Profile!$C$1:$C$20,0),MATCH($I32,Profile!$1:$1,0),4))),"")</f>
        <v/>
      </c>
      <c r="R32" s="3" t="str" cm="1">
        <f t="array" aca="1" ref="R32" ca="1">IFERROR(IF($J32="","",INDIRECT("Profile"&amp;"!"&amp;ADDRESS(MATCH(R$2,Profile!$C$1:$C$20,0),MATCH($I32,Profile!$1:$1,0),4))),"")</f>
        <v/>
      </c>
      <c r="S32" s="3" t="str" cm="1">
        <f t="array" aca="1" ref="S32" ca="1">IFERROR(IF($J32="","",INDIRECT("Profile"&amp;"!"&amp;ADDRESS(MATCH(S$2,Profile!$C$1:$C$20,0),MATCH($I32,Profile!$1:$1,0),4))),"")</f>
        <v/>
      </c>
      <c r="T32" s="3" t="str" cm="1">
        <f t="array" aca="1" ref="T32" ca="1">IFERROR(IF($J32="","",INDIRECT("Profile"&amp;"!"&amp;ADDRESS(MATCH(T$2,Profile!$C$1:$C$20,0),MATCH($I32,Profile!$1:$1,0),4))),"")</f>
        <v/>
      </c>
      <c r="U32" s="38" t="str" cm="1">
        <f t="array" aca="1" ref="U32" ca="1">IFERROR(IF(INDIRECT("ID"&amp;"!"&amp;ADDRESS(MATCH($J32,ID!$B:$B,0),MATCH($U$1,ID!$1:$1,0),4))="","",INDIRECT("ID"&amp;"!"&amp;ADDRESS(MATCH($J32,ID!$B:$B,0),MATCH($U$1,ID!$1:$1,0),4))),"")</f>
        <v/>
      </c>
      <c r="X32" s="7">
        <v>-2.8</v>
      </c>
      <c r="Y32" s="7" t="str" cm="1">
        <f t="array" aca="1" ref="Y32" ca="1">IFERROR(IF(INDIRECT("Profile"&amp;"!"&amp;ADDRESS(MATCH($X$2,Profile!$D$1:$D$20,0)+ROW($X32)-ROW($X$2),MATCH(Y$1,Profile!$2:$2,0),4))="","",INDIRECT("Profile"&amp;"!"&amp;ADDRESS(MATCH($X$2,Profile!$D$1:$D$20,0)+ROW($X32)-ROW($X$2),MATCH(Y$1,Profile!$2:$2,0),4))),"")</f>
        <v/>
      </c>
      <c r="Z32" s="2" t="str" cm="1">
        <f t="array" aca="1" ref="Z32" ca="1">IFERROR(IF(INDIRECT("Profile"&amp;"!"&amp;ADDRESS(MATCH($X$2,Profile!$D$1:$D$20,0)+ROW($X32)-ROW($X$2),MATCH(Z$1,Profile!$2:$2,0),4))="","",INDIRECT("Profile"&amp;"!"&amp;ADDRESS(MATCH($X$2,Profile!$D$1:$D$20,0)+ROW($X32)-ROW($X$2),MATCH(Z$1,Profile!$2:$2,0),4))),"")</f>
        <v/>
      </c>
      <c r="AA32" s="2" t="str" cm="1">
        <f t="array" aca="1" ref="AA32" ca="1">IFERROR(IF(INDIRECT("Profile"&amp;"!"&amp;ADDRESS(MATCH($X$2,Profile!$D$1:$D$20,0)+ROW($X32)-ROW($X$2),MATCH(AA$1,Profile!$2:$2,0),4))="","",INDIRECT("Profile"&amp;"!"&amp;ADDRESS(MATCH($X$2,Profile!$D$1:$D$20,0)+ROW($X32)-ROW($X$2),MATCH(AA$1,Profile!$2:$2,0),4))),"")</f>
        <v/>
      </c>
      <c r="AB32" s="2" t="str" cm="1">
        <f t="array" aca="1" ref="AB32" ca="1">IFERROR(IF(INDIRECT("Profile"&amp;"!"&amp;ADDRESS(MATCH($X$2,Profile!$D$1:$D$20,0)+ROW($X32)-ROW($X$2),MATCH(AB$1,Profile!$2:$2,0),4))="","",INDIRECT("Profile"&amp;"!"&amp;ADDRESS(MATCH($X$2,Profile!$D$1:$D$20,0)+ROW($X32)-ROW($X$2),MATCH(AB$1,Profile!$2:$2,0),4))),"")</f>
        <v/>
      </c>
      <c r="AC32" s="2" t="str" cm="1">
        <f t="array" aca="1" ref="AC32" ca="1">IFERROR(IF(INDIRECT("Profile"&amp;"!"&amp;ADDRESS(MATCH($X$2,Profile!$D$1:$D$20,0)+ROW($X32)-ROW($X$2),MATCH(AC$1,Profile!$2:$2,0),4))="","",INDIRECT("Profile"&amp;"!"&amp;ADDRESS(MATCH($X$2,Profile!$D$1:$D$20,0)+ROW($X32)-ROW($X$2),MATCH(AC$1,Profile!$2:$2,0),4))),"")</f>
        <v/>
      </c>
      <c r="AD32" s="2" t="str" cm="1">
        <f t="array" aca="1" ref="AD32" ca="1">IFERROR(IF(INDIRECT("Profile"&amp;"!"&amp;ADDRESS(MATCH($X$2,Profile!$D$1:$D$20,0)+ROW($X32)-ROW($X$2),MATCH(AD$1,Profile!$2:$2,0),4))="","",INDIRECT("Profile"&amp;"!"&amp;ADDRESS(MATCH($X$2,Profile!$D$1:$D$20,0)+ROW($X32)-ROW($X$2),MATCH(AD$1,Profile!$2:$2,0),4))),"")</f>
        <v/>
      </c>
      <c r="AE32" s="2" t="str" cm="1">
        <f t="array" aca="1" ref="AE32" ca="1">IFERROR(IF(INDIRECT("Profile"&amp;"!"&amp;ADDRESS(MATCH($X$2,Profile!$D$1:$D$20,0)+ROW($X32)-ROW($X$2),MATCH(AE$1,Profile!$2:$2,0),4))="","",INDIRECT("Profile"&amp;"!"&amp;ADDRESS(MATCH($X$2,Profile!$D$1:$D$20,0)+ROW($X32)-ROW($X$2),MATCH(AE$1,Profile!$2:$2,0),4))),"")</f>
        <v/>
      </c>
      <c r="AF32" s="2" t="str" cm="1">
        <f t="array" aca="1" ref="AF32" ca="1">IFERROR(IF(INDIRECT("Profile"&amp;"!"&amp;ADDRESS(MATCH($X$2,Profile!$D$1:$D$20,0)+ROW($X32)-ROW($X$2),MATCH(AF$1,Profile!$2:$2,0),4))="","",INDIRECT("Profile"&amp;"!"&amp;ADDRESS(MATCH($X$2,Profile!$D$1:$D$20,0)+ROW($X32)-ROW($X$2),MATCH(AF$1,Profile!$2:$2,0),4))),"")</f>
        <v/>
      </c>
      <c r="AG32" s="2" t="str" cm="1">
        <f t="array" aca="1" ref="AG32" ca="1">IFERROR(IF(INDIRECT("Profile"&amp;"!"&amp;ADDRESS(MATCH($X$2,Profile!$D$1:$D$20,0)+ROW($X32)-ROW($X$2),MATCH(AG$1,Profile!$2:$2,0),4))="","",INDIRECT("Profile"&amp;"!"&amp;ADDRESS(MATCH($X$2,Profile!$D$1:$D$20,0)+ROW($X32)-ROW($X$2),MATCH(AG$1,Profile!$2:$2,0),4))),"")</f>
        <v/>
      </c>
      <c r="AH32" s="2" t="str" cm="1">
        <f t="array" aca="1" ref="AH32" ca="1">IFERROR(IF(INDIRECT("Profile"&amp;"!"&amp;ADDRESS(MATCH($X$2,Profile!$D$1:$D$20,0)+ROW($X32)-ROW($X$2),MATCH(AH$1,Profile!$2:$2,0),4))="","",INDIRECT("Profile"&amp;"!"&amp;ADDRESS(MATCH($X$2,Profile!$D$1:$D$20,0)+ROW($X32)-ROW($X$2),MATCH(AH$1,Profile!$2:$2,0),4))),"")</f>
        <v/>
      </c>
      <c r="AI32" s="2" t="str" cm="1">
        <f t="array" aca="1" ref="AI32" ca="1">IFERROR(IF(INDIRECT("Profile"&amp;"!"&amp;ADDRESS(MATCH($X$2,Profile!$D$1:$D$20,0)+ROW($X32)-ROW($X$2),MATCH(AI$1,Profile!$2:$2,0),4))="","",INDIRECT("Profile"&amp;"!"&amp;ADDRESS(MATCH($X$2,Profile!$D$1:$D$20,0)+ROW($X32)-ROW($X$2),MATCH(AI$1,Profile!$2:$2,0),4))),"")</f>
        <v/>
      </c>
      <c r="AJ32" s="2" t="str" cm="1">
        <f t="array" aca="1" ref="AJ32" ca="1">IFERROR(IF(INDIRECT("Profile"&amp;"!"&amp;ADDRESS(MATCH($X$2,Profile!$D$1:$D$20,0)+ROW($X32)-ROW($X$2),MATCH(AJ$1,Profile!$2:$2,0),4))="","",INDIRECT("Profile"&amp;"!"&amp;ADDRESS(MATCH($X$2,Profile!$D$1:$D$20,0)+ROW($X32)-ROW($X$2),MATCH(AJ$1,Profile!$2:$2,0),4))),"")</f>
        <v/>
      </c>
      <c r="AK32" s="2" t="str" cm="1">
        <f t="array" aca="1" ref="AK32" ca="1">IFERROR(IF(INDIRECT("Profile"&amp;"!"&amp;ADDRESS(MATCH($X$2,Profile!$D$1:$D$20,0)+ROW($X32)-ROW($X$2),MATCH(AK$1,Profile!$2:$2,0),4))="","",INDIRECT("Profile"&amp;"!"&amp;ADDRESS(MATCH($X$2,Profile!$D$1:$D$20,0)+ROW($X32)-ROW($X$2),MATCH(AK$1,Profile!$2:$2,0),4))),"")</f>
        <v/>
      </c>
      <c r="AL32" s="2" t="str" cm="1">
        <f t="array" aca="1" ref="AL32" ca="1">IFERROR(IF(INDIRECT("Profile"&amp;"!"&amp;ADDRESS(MATCH($X$2,Profile!$D$1:$D$20,0)+ROW($X32)-ROW($X$2),MATCH(AL$1,Profile!$2:$2,0),4))="","",INDIRECT("Profile"&amp;"!"&amp;ADDRESS(MATCH($X$2,Profile!$D$1:$D$20,0)+ROW($X32)-ROW($X$2),MATCH(AL$1,Profile!$2:$2,0),4))),"")</f>
        <v/>
      </c>
      <c r="AM32" s="2" t="str" cm="1">
        <f t="array" aca="1" ref="AM32" ca="1">IFERROR(IF(INDIRECT("Profile"&amp;"!"&amp;ADDRESS(MATCH($X$2,Profile!$D$1:$D$20,0)+ROW($X32)-ROW($X$2),MATCH(AM$1,Profile!$2:$2,0),4))="","",INDIRECT("Profile"&amp;"!"&amp;ADDRESS(MATCH($X$2,Profile!$D$1:$D$20,0)+ROW($X32)-ROW($X$2),MATCH(AM$1,Profile!$2:$2,0),4))),"")</f>
        <v/>
      </c>
      <c r="AN32" s="2" t="str" cm="1">
        <f t="array" aca="1" ref="AN32" ca="1">IFERROR(IF(INDIRECT("Profile"&amp;"!"&amp;ADDRESS(MATCH($X$2,Profile!$D$1:$D$20,0)+ROW($X32)-ROW($X$2),MATCH(AN$1,Profile!$2:$2,0),4))="","",INDIRECT("Profile"&amp;"!"&amp;ADDRESS(MATCH($X$2,Profile!$D$1:$D$20,0)+ROW($X32)-ROW($X$2),MATCH(AN$1,Profile!$2:$2,0),4))),"")</f>
        <v/>
      </c>
    </row>
    <row r="33" spans="9:40" x14ac:dyDescent="0.25">
      <c r="I33" s="7">
        <v>30</v>
      </c>
      <c r="J33" s="7" t="str" cm="1">
        <f t="array" aca="1" ref="J33" ca="1">IFERROR(IF(INDIRECT("Profile"&amp;"!"&amp;ADDRESS(MATCH(J$1,Profile!$A$1:$A$20,0),MATCH($I33,Profile!$1:$1,0),4))="","",INDIRECT("Profile"&amp;"!"&amp;ADDRESS(MATCH(J$1,Profile!$A$1:$A$20,0),MATCH($I33,Profile!$1:$1,0),4))),"")</f>
        <v/>
      </c>
      <c r="K33" s="9" t="str" cm="1">
        <f t="array" aca="1" ref="K33" ca="1">IF($J33="","",IF(INDIRECT("Profile"&amp;"!"&amp;ADDRESS(MATCH(K$2,Profile!$C$1:$C$20,0),MATCH($I33,Profile!$1:$1,0),4))="","",INDIRECT("Profile"&amp;"!"&amp;ADDRESS(MATCH(K$2,Profile!$C$1:$C$20,0),MATCH($I33,Profile!$1:$1,0)))))</f>
        <v/>
      </c>
      <c r="L33" s="3" t="str" cm="1">
        <f t="array" aca="1" ref="L33" ca="1">IF($J33="","",IF(INDIRECT("Profile"&amp;"!"&amp;ADDRESS(MATCH(L$2,Profile!$C$1:$C$20,0),MATCH($I33,Profile!$1:$1,0),4))="","",INDIRECT("Profile"&amp;"!"&amp;ADDRESS(MATCH(L$2,Profile!$C$1:$C$20,0),MATCH($I33,Profile!$1:$1,0)))))</f>
        <v/>
      </c>
      <c r="M33" s="9" t="str" cm="1">
        <f t="array" aca="1" ref="M33" ca="1">IF($J33="","",IF(INDIRECT("Profile"&amp;"!"&amp;ADDRESS(MATCH(M$2,Profile!$C$1:$C$20,0),MATCH($I33,Profile!$1:$1,0),4))="","",INDIRECT("Profile"&amp;"!"&amp;ADDRESS(MATCH(M$2,Profile!$C$1:$C$20,0),MATCH($I33,Profile!$1:$1,0)))))</f>
        <v/>
      </c>
      <c r="N33" s="3" t="str" cm="1">
        <f t="array" aca="1" ref="N33" ca="1">IF($J33="","",IF(INDIRECT("Profile"&amp;"!"&amp;ADDRESS(MATCH(N$2,Profile!$C$1:$C$20,0),MATCH($I33,Profile!$1:$1,0),4))="","",INDIRECT("Profile"&amp;"!"&amp;ADDRESS(MATCH(N$2,Profile!$C$1:$C$20,0),MATCH($I33,Profile!$1:$1,0)))))</f>
        <v/>
      </c>
      <c r="O33" s="3" t="str" cm="1">
        <f t="array" aca="1" ref="O33" ca="1">IFERROR(IF($J33="","",INDIRECT("Profile"&amp;"!"&amp;ADDRESS(MATCH(O$2,Profile!$C$1:$C$20,0),MATCH($I33,Profile!$1:$1,0),4))),"")</f>
        <v/>
      </c>
      <c r="P33" s="9" t="str" cm="1">
        <f t="array" aca="1" ref="P33" ca="1">IFERROR(IF($J33="","",INDIRECT("Profile"&amp;"!"&amp;ADDRESS(MATCH(P$2,Profile!$C$1:$C$20,0),MATCH($I33,Profile!$1:$1,0),4))),"")</f>
        <v/>
      </c>
      <c r="Q33" s="3" t="str" cm="1">
        <f t="array" aca="1" ref="Q33" ca="1">IFERROR(IF($J33="","",INDIRECT("Profile"&amp;"!"&amp;ADDRESS(MATCH(Q$2,Profile!$C$1:$C$20,0),MATCH($I33,Profile!$1:$1,0),4))),"")</f>
        <v/>
      </c>
      <c r="R33" s="3" t="str" cm="1">
        <f t="array" aca="1" ref="R33" ca="1">IFERROR(IF($J33="","",INDIRECT("Profile"&amp;"!"&amp;ADDRESS(MATCH(R$2,Profile!$C$1:$C$20,0),MATCH($I33,Profile!$1:$1,0),4))),"")</f>
        <v/>
      </c>
      <c r="S33" s="3" t="str" cm="1">
        <f t="array" aca="1" ref="S33" ca="1">IFERROR(IF($J33="","",INDIRECT("Profile"&amp;"!"&amp;ADDRESS(MATCH(S$2,Profile!$C$1:$C$20,0),MATCH($I33,Profile!$1:$1,0),4))),"")</f>
        <v/>
      </c>
      <c r="T33" s="3" t="str" cm="1">
        <f t="array" aca="1" ref="T33" ca="1">IFERROR(IF($J33="","",INDIRECT("Profile"&amp;"!"&amp;ADDRESS(MATCH(T$2,Profile!$C$1:$C$20,0),MATCH($I33,Profile!$1:$1,0),4))),"")</f>
        <v/>
      </c>
      <c r="U33" s="38" t="str" cm="1">
        <f t="array" aca="1" ref="U33" ca="1">IFERROR(IF(INDIRECT("ID"&amp;"!"&amp;ADDRESS(MATCH($J33,ID!$B:$B,0),MATCH($U$1,ID!$1:$1,0),4))="","",INDIRECT("ID"&amp;"!"&amp;ADDRESS(MATCH($J33,ID!$B:$B,0),MATCH($U$1,ID!$1:$1,0),4))),"")</f>
        <v/>
      </c>
      <c r="X33" s="7">
        <v>-2.9</v>
      </c>
      <c r="Y33" s="7" t="str" cm="1">
        <f t="array" aca="1" ref="Y33" ca="1">IFERROR(IF(INDIRECT("Profile"&amp;"!"&amp;ADDRESS(MATCH($X$2,Profile!$D$1:$D$20,0)+ROW($X33)-ROW($X$2),MATCH(Y$1,Profile!$2:$2,0),4))="","",INDIRECT("Profile"&amp;"!"&amp;ADDRESS(MATCH($X$2,Profile!$D$1:$D$20,0)+ROW($X33)-ROW($X$2),MATCH(Y$1,Profile!$2:$2,0),4))),"")</f>
        <v/>
      </c>
      <c r="Z33" s="2" t="str" cm="1">
        <f t="array" aca="1" ref="Z33" ca="1">IFERROR(IF(INDIRECT("Profile"&amp;"!"&amp;ADDRESS(MATCH($X$2,Profile!$D$1:$D$20,0)+ROW($X33)-ROW($X$2),MATCH(Z$1,Profile!$2:$2,0),4))="","",INDIRECT("Profile"&amp;"!"&amp;ADDRESS(MATCH($X$2,Profile!$D$1:$D$20,0)+ROW($X33)-ROW($X$2),MATCH(Z$1,Profile!$2:$2,0),4))),"")</f>
        <v/>
      </c>
      <c r="AA33" s="2" t="str" cm="1">
        <f t="array" aca="1" ref="AA33" ca="1">IFERROR(IF(INDIRECT("Profile"&amp;"!"&amp;ADDRESS(MATCH($X$2,Profile!$D$1:$D$20,0)+ROW($X33)-ROW($X$2),MATCH(AA$1,Profile!$2:$2,0),4))="","",INDIRECT("Profile"&amp;"!"&amp;ADDRESS(MATCH($X$2,Profile!$D$1:$D$20,0)+ROW($X33)-ROW($X$2),MATCH(AA$1,Profile!$2:$2,0),4))),"")</f>
        <v/>
      </c>
      <c r="AB33" s="2" t="str" cm="1">
        <f t="array" aca="1" ref="AB33" ca="1">IFERROR(IF(INDIRECT("Profile"&amp;"!"&amp;ADDRESS(MATCH($X$2,Profile!$D$1:$D$20,0)+ROW($X33)-ROW($X$2),MATCH(AB$1,Profile!$2:$2,0),4))="","",INDIRECT("Profile"&amp;"!"&amp;ADDRESS(MATCH($X$2,Profile!$D$1:$D$20,0)+ROW($X33)-ROW($X$2),MATCH(AB$1,Profile!$2:$2,0),4))),"")</f>
        <v/>
      </c>
      <c r="AC33" s="2" t="str" cm="1">
        <f t="array" aca="1" ref="AC33" ca="1">IFERROR(IF(INDIRECT("Profile"&amp;"!"&amp;ADDRESS(MATCH($X$2,Profile!$D$1:$D$20,0)+ROW($X33)-ROW($X$2),MATCH(AC$1,Profile!$2:$2,0),4))="","",INDIRECT("Profile"&amp;"!"&amp;ADDRESS(MATCH($X$2,Profile!$D$1:$D$20,0)+ROW($X33)-ROW($X$2),MATCH(AC$1,Profile!$2:$2,0),4))),"")</f>
        <v/>
      </c>
      <c r="AD33" s="2" t="str" cm="1">
        <f t="array" aca="1" ref="AD33" ca="1">IFERROR(IF(INDIRECT("Profile"&amp;"!"&amp;ADDRESS(MATCH($X$2,Profile!$D$1:$D$20,0)+ROW($X33)-ROW($X$2),MATCH(AD$1,Profile!$2:$2,0),4))="","",INDIRECT("Profile"&amp;"!"&amp;ADDRESS(MATCH($X$2,Profile!$D$1:$D$20,0)+ROW($X33)-ROW($X$2),MATCH(AD$1,Profile!$2:$2,0),4))),"")</f>
        <v/>
      </c>
      <c r="AE33" s="2" t="str" cm="1">
        <f t="array" aca="1" ref="AE33" ca="1">IFERROR(IF(INDIRECT("Profile"&amp;"!"&amp;ADDRESS(MATCH($X$2,Profile!$D$1:$D$20,0)+ROW($X33)-ROW($X$2),MATCH(AE$1,Profile!$2:$2,0),4))="","",INDIRECT("Profile"&amp;"!"&amp;ADDRESS(MATCH($X$2,Profile!$D$1:$D$20,0)+ROW($X33)-ROW($X$2),MATCH(AE$1,Profile!$2:$2,0),4))),"")</f>
        <v/>
      </c>
      <c r="AF33" s="2" t="str" cm="1">
        <f t="array" aca="1" ref="AF33" ca="1">IFERROR(IF(INDIRECT("Profile"&amp;"!"&amp;ADDRESS(MATCH($X$2,Profile!$D$1:$D$20,0)+ROW($X33)-ROW($X$2),MATCH(AF$1,Profile!$2:$2,0),4))="","",INDIRECT("Profile"&amp;"!"&amp;ADDRESS(MATCH($X$2,Profile!$D$1:$D$20,0)+ROW($X33)-ROW($X$2),MATCH(AF$1,Profile!$2:$2,0),4))),"")</f>
        <v/>
      </c>
      <c r="AG33" s="2" t="str" cm="1">
        <f t="array" aca="1" ref="AG33" ca="1">IFERROR(IF(INDIRECT("Profile"&amp;"!"&amp;ADDRESS(MATCH($X$2,Profile!$D$1:$D$20,0)+ROW($X33)-ROW($X$2),MATCH(AG$1,Profile!$2:$2,0),4))="","",INDIRECT("Profile"&amp;"!"&amp;ADDRESS(MATCH($X$2,Profile!$D$1:$D$20,0)+ROW($X33)-ROW($X$2),MATCH(AG$1,Profile!$2:$2,0),4))),"")</f>
        <v/>
      </c>
      <c r="AH33" s="2" t="str" cm="1">
        <f t="array" aca="1" ref="AH33" ca="1">IFERROR(IF(INDIRECT("Profile"&amp;"!"&amp;ADDRESS(MATCH($X$2,Profile!$D$1:$D$20,0)+ROW($X33)-ROW($X$2),MATCH(AH$1,Profile!$2:$2,0),4))="","",INDIRECT("Profile"&amp;"!"&amp;ADDRESS(MATCH($X$2,Profile!$D$1:$D$20,0)+ROW($X33)-ROW($X$2),MATCH(AH$1,Profile!$2:$2,0),4))),"")</f>
        <v/>
      </c>
      <c r="AI33" s="2" t="str" cm="1">
        <f t="array" aca="1" ref="AI33" ca="1">IFERROR(IF(INDIRECT("Profile"&amp;"!"&amp;ADDRESS(MATCH($X$2,Profile!$D$1:$D$20,0)+ROW($X33)-ROW($X$2),MATCH(AI$1,Profile!$2:$2,0),4))="","",INDIRECT("Profile"&amp;"!"&amp;ADDRESS(MATCH($X$2,Profile!$D$1:$D$20,0)+ROW($X33)-ROW($X$2),MATCH(AI$1,Profile!$2:$2,0),4))),"")</f>
        <v/>
      </c>
      <c r="AJ33" s="2" t="str" cm="1">
        <f t="array" aca="1" ref="AJ33" ca="1">IFERROR(IF(INDIRECT("Profile"&amp;"!"&amp;ADDRESS(MATCH($X$2,Profile!$D$1:$D$20,0)+ROW($X33)-ROW($X$2),MATCH(AJ$1,Profile!$2:$2,0),4))="","",INDIRECT("Profile"&amp;"!"&amp;ADDRESS(MATCH($X$2,Profile!$D$1:$D$20,0)+ROW($X33)-ROW($X$2),MATCH(AJ$1,Profile!$2:$2,0),4))),"")</f>
        <v/>
      </c>
      <c r="AK33" s="2" t="str" cm="1">
        <f t="array" aca="1" ref="AK33" ca="1">IFERROR(IF(INDIRECT("Profile"&amp;"!"&amp;ADDRESS(MATCH($X$2,Profile!$D$1:$D$20,0)+ROW($X33)-ROW($X$2),MATCH(AK$1,Profile!$2:$2,0),4))="","",INDIRECT("Profile"&amp;"!"&amp;ADDRESS(MATCH($X$2,Profile!$D$1:$D$20,0)+ROW($X33)-ROW($X$2),MATCH(AK$1,Profile!$2:$2,0),4))),"")</f>
        <v/>
      </c>
      <c r="AL33" s="2" t="str" cm="1">
        <f t="array" aca="1" ref="AL33" ca="1">IFERROR(IF(INDIRECT("Profile"&amp;"!"&amp;ADDRESS(MATCH($X$2,Profile!$D$1:$D$20,0)+ROW($X33)-ROW($X$2),MATCH(AL$1,Profile!$2:$2,0),4))="","",INDIRECT("Profile"&amp;"!"&amp;ADDRESS(MATCH($X$2,Profile!$D$1:$D$20,0)+ROW($X33)-ROW($X$2),MATCH(AL$1,Profile!$2:$2,0),4))),"")</f>
        <v/>
      </c>
      <c r="AM33" s="2" t="str" cm="1">
        <f t="array" aca="1" ref="AM33" ca="1">IFERROR(IF(INDIRECT("Profile"&amp;"!"&amp;ADDRESS(MATCH($X$2,Profile!$D$1:$D$20,0)+ROW($X33)-ROW($X$2),MATCH(AM$1,Profile!$2:$2,0),4))="","",INDIRECT("Profile"&amp;"!"&amp;ADDRESS(MATCH($X$2,Profile!$D$1:$D$20,0)+ROW($X33)-ROW($X$2),MATCH(AM$1,Profile!$2:$2,0),4))),"")</f>
        <v/>
      </c>
      <c r="AN33" s="2" t="str" cm="1">
        <f t="array" aca="1" ref="AN33" ca="1">IFERROR(IF(INDIRECT("Profile"&amp;"!"&amp;ADDRESS(MATCH($X$2,Profile!$D$1:$D$20,0)+ROW($X33)-ROW($X$2),MATCH(AN$1,Profile!$2:$2,0),4))="","",INDIRECT("Profile"&amp;"!"&amp;ADDRESS(MATCH($X$2,Profile!$D$1:$D$20,0)+ROW($X33)-ROW($X$2),MATCH(AN$1,Profile!$2:$2,0),4))),"")</f>
        <v/>
      </c>
    </row>
    <row r="34" spans="9:40" x14ac:dyDescent="0.25">
      <c r="I34" s="7">
        <v>31</v>
      </c>
      <c r="J34" s="7" t="str" cm="1">
        <f t="array" aca="1" ref="J34" ca="1">IFERROR(IF(INDIRECT("Profile"&amp;"!"&amp;ADDRESS(MATCH(J$1,Profile!$A$1:$A$20,0),MATCH($I34,Profile!$1:$1,0),4))="","",INDIRECT("Profile"&amp;"!"&amp;ADDRESS(MATCH(J$1,Profile!$A$1:$A$20,0),MATCH($I34,Profile!$1:$1,0),4))),"")</f>
        <v/>
      </c>
      <c r="K34" s="9" t="str" cm="1">
        <f t="array" aca="1" ref="K34" ca="1">IF($J34="","",IF(INDIRECT("Profile"&amp;"!"&amp;ADDRESS(MATCH(K$2,Profile!$C$1:$C$20,0),MATCH($I34,Profile!$1:$1,0),4))="","",INDIRECT("Profile"&amp;"!"&amp;ADDRESS(MATCH(K$2,Profile!$C$1:$C$20,0),MATCH($I34,Profile!$1:$1,0)))))</f>
        <v/>
      </c>
      <c r="L34" s="3" t="str" cm="1">
        <f t="array" aca="1" ref="L34" ca="1">IF($J34="","",IF(INDIRECT("Profile"&amp;"!"&amp;ADDRESS(MATCH(L$2,Profile!$C$1:$C$20,0),MATCH($I34,Profile!$1:$1,0),4))="","",INDIRECT("Profile"&amp;"!"&amp;ADDRESS(MATCH(L$2,Profile!$C$1:$C$20,0),MATCH($I34,Profile!$1:$1,0)))))</f>
        <v/>
      </c>
      <c r="M34" s="9" t="str" cm="1">
        <f t="array" aca="1" ref="M34" ca="1">IF($J34="","",IF(INDIRECT("Profile"&amp;"!"&amp;ADDRESS(MATCH(M$2,Profile!$C$1:$C$20,0),MATCH($I34,Profile!$1:$1,0),4))="","",INDIRECT("Profile"&amp;"!"&amp;ADDRESS(MATCH(M$2,Profile!$C$1:$C$20,0),MATCH($I34,Profile!$1:$1,0)))))</f>
        <v/>
      </c>
      <c r="N34" s="3" t="str" cm="1">
        <f t="array" aca="1" ref="N34" ca="1">IF($J34="","",IF(INDIRECT("Profile"&amp;"!"&amp;ADDRESS(MATCH(N$2,Profile!$C$1:$C$20,0),MATCH($I34,Profile!$1:$1,0),4))="","",INDIRECT("Profile"&amp;"!"&amp;ADDRESS(MATCH(N$2,Profile!$C$1:$C$20,0),MATCH($I34,Profile!$1:$1,0)))))</f>
        <v/>
      </c>
      <c r="O34" s="3" t="str" cm="1">
        <f t="array" aca="1" ref="O34" ca="1">IFERROR(IF($J34="","",INDIRECT("Profile"&amp;"!"&amp;ADDRESS(MATCH(O$2,Profile!$C$1:$C$20,0),MATCH($I34,Profile!$1:$1,0),4))),"")</f>
        <v/>
      </c>
      <c r="P34" s="9" t="str" cm="1">
        <f t="array" aca="1" ref="P34" ca="1">IFERROR(IF($J34="","",INDIRECT("Profile"&amp;"!"&amp;ADDRESS(MATCH(P$2,Profile!$C$1:$C$20,0),MATCH($I34,Profile!$1:$1,0),4))),"")</f>
        <v/>
      </c>
      <c r="Q34" s="3" t="str" cm="1">
        <f t="array" aca="1" ref="Q34" ca="1">IFERROR(IF($J34="","",INDIRECT("Profile"&amp;"!"&amp;ADDRESS(MATCH(Q$2,Profile!$C$1:$C$20,0),MATCH($I34,Profile!$1:$1,0),4))),"")</f>
        <v/>
      </c>
      <c r="R34" s="3" t="str" cm="1">
        <f t="array" aca="1" ref="R34" ca="1">IFERROR(IF($J34="","",INDIRECT("Profile"&amp;"!"&amp;ADDRESS(MATCH(R$2,Profile!$C$1:$C$20,0),MATCH($I34,Profile!$1:$1,0),4))),"")</f>
        <v/>
      </c>
      <c r="S34" s="3" t="str" cm="1">
        <f t="array" aca="1" ref="S34" ca="1">IFERROR(IF($J34="","",INDIRECT("Profile"&amp;"!"&amp;ADDRESS(MATCH(S$2,Profile!$C$1:$C$20,0),MATCH($I34,Profile!$1:$1,0),4))),"")</f>
        <v/>
      </c>
      <c r="T34" s="3" t="str" cm="1">
        <f t="array" aca="1" ref="T34" ca="1">IFERROR(IF($J34="","",INDIRECT("Profile"&amp;"!"&amp;ADDRESS(MATCH(T$2,Profile!$C$1:$C$20,0),MATCH($I34,Profile!$1:$1,0),4))),"")</f>
        <v/>
      </c>
      <c r="U34" s="38" t="str" cm="1">
        <f t="array" aca="1" ref="U34" ca="1">IFERROR(IF(INDIRECT("ID"&amp;"!"&amp;ADDRESS(MATCH($J34,ID!$B:$B,0),MATCH($U$1,ID!$1:$1,0),4))="","",INDIRECT("ID"&amp;"!"&amp;ADDRESS(MATCH($J34,ID!$B:$B,0),MATCH($U$1,ID!$1:$1,0),4))),"")</f>
        <v/>
      </c>
      <c r="X34" s="7">
        <v>-3</v>
      </c>
      <c r="Y34" s="7" t="str" cm="1">
        <f t="array" aca="1" ref="Y34" ca="1">IFERROR(IF(INDIRECT("Profile"&amp;"!"&amp;ADDRESS(MATCH($X$2,Profile!$D$1:$D$20,0)+ROW($X34)-ROW($X$2),MATCH(Y$1,Profile!$2:$2,0),4))="","",INDIRECT("Profile"&amp;"!"&amp;ADDRESS(MATCH($X$2,Profile!$D$1:$D$20,0)+ROW($X34)-ROW($X$2),MATCH(Y$1,Profile!$2:$2,0),4))),"")</f>
        <v/>
      </c>
      <c r="Z34" s="2" t="str" cm="1">
        <f t="array" aca="1" ref="Z34" ca="1">IFERROR(IF(INDIRECT("Profile"&amp;"!"&amp;ADDRESS(MATCH($X$2,Profile!$D$1:$D$20,0)+ROW($X34)-ROW($X$2),MATCH(Z$1,Profile!$2:$2,0),4))="","",INDIRECT("Profile"&amp;"!"&amp;ADDRESS(MATCH($X$2,Profile!$D$1:$D$20,0)+ROW($X34)-ROW($X$2),MATCH(Z$1,Profile!$2:$2,0),4))),"")</f>
        <v/>
      </c>
      <c r="AA34" s="2" t="str" cm="1">
        <f t="array" aca="1" ref="AA34" ca="1">IFERROR(IF(INDIRECT("Profile"&amp;"!"&amp;ADDRESS(MATCH($X$2,Profile!$D$1:$D$20,0)+ROW($X34)-ROW($X$2),MATCH(AA$1,Profile!$2:$2,0),4))="","",INDIRECT("Profile"&amp;"!"&amp;ADDRESS(MATCH($X$2,Profile!$D$1:$D$20,0)+ROW($X34)-ROW($X$2),MATCH(AA$1,Profile!$2:$2,0),4))),"")</f>
        <v/>
      </c>
      <c r="AB34" s="2" t="str" cm="1">
        <f t="array" aca="1" ref="AB34" ca="1">IFERROR(IF(INDIRECT("Profile"&amp;"!"&amp;ADDRESS(MATCH($X$2,Profile!$D$1:$D$20,0)+ROW($X34)-ROW($X$2),MATCH(AB$1,Profile!$2:$2,0),4))="","",INDIRECT("Profile"&amp;"!"&amp;ADDRESS(MATCH($X$2,Profile!$D$1:$D$20,0)+ROW($X34)-ROW($X$2),MATCH(AB$1,Profile!$2:$2,0),4))),"")</f>
        <v/>
      </c>
      <c r="AC34" s="2" t="str" cm="1">
        <f t="array" aca="1" ref="AC34" ca="1">IFERROR(IF(INDIRECT("Profile"&amp;"!"&amp;ADDRESS(MATCH($X$2,Profile!$D$1:$D$20,0)+ROW($X34)-ROW($X$2),MATCH(AC$1,Profile!$2:$2,0),4))="","",INDIRECT("Profile"&amp;"!"&amp;ADDRESS(MATCH($X$2,Profile!$D$1:$D$20,0)+ROW($X34)-ROW($X$2),MATCH(AC$1,Profile!$2:$2,0),4))),"")</f>
        <v/>
      </c>
      <c r="AD34" s="2" t="str" cm="1">
        <f t="array" aca="1" ref="AD34" ca="1">IFERROR(IF(INDIRECT("Profile"&amp;"!"&amp;ADDRESS(MATCH($X$2,Profile!$D$1:$D$20,0)+ROW($X34)-ROW($X$2),MATCH(AD$1,Profile!$2:$2,0),4))="","",INDIRECT("Profile"&amp;"!"&amp;ADDRESS(MATCH($X$2,Profile!$D$1:$D$20,0)+ROW($X34)-ROW($X$2),MATCH(AD$1,Profile!$2:$2,0),4))),"")</f>
        <v/>
      </c>
      <c r="AE34" s="2" t="str" cm="1">
        <f t="array" aca="1" ref="AE34" ca="1">IFERROR(IF(INDIRECT("Profile"&amp;"!"&amp;ADDRESS(MATCH($X$2,Profile!$D$1:$D$20,0)+ROW($X34)-ROW($X$2),MATCH(AE$1,Profile!$2:$2,0),4))="","",INDIRECT("Profile"&amp;"!"&amp;ADDRESS(MATCH($X$2,Profile!$D$1:$D$20,0)+ROW($X34)-ROW($X$2),MATCH(AE$1,Profile!$2:$2,0),4))),"")</f>
        <v/>
      </c>
      <c r="AF34" s="2" t="str" cm="1">
        <f t="array" aca="1" ref="AF34" ca="1">IFERROR(IF(INDIRECT("Profile"&amp;"!"&amp;ADDRESS(MATCH($X$2,Profile!$D$1:$D$20,0)+ROW($X34)-ROW($X$2),MATCH(AF$1,Profile!$2:$2,0),4))="","",INDIRECT("Profile"&amp;"!"&amp;ADDRESS(MATCH($X$2,Profile!$D$1:$D$20,0)+ROW($X34)-ROW($X$2),MATCH(AF$1,Profile!$2:$2,0),4))),"")</f>
        <v/>
      </c>
      <c r="AG34" s="2" t="str" cm="1">
        <f t="array" aca="1" ref="AG34" ca="1">IFERROR(IF(INDIRECT("Profile"&amp;"!"&amp;ADDRESS(MATCH($X$2,Profile!$D$1:$D$20,0)+ROW($X34)-ROW($X$2),MATCH(AG$1,Profile!$2:$2,0),4))="","",INDIRECT("Profile"&amp;"!"&amp;ADDRESS(MATCH($X$2,Profile!$D$1:$D$20,0)+ROW($X34)-ROW($X$2),MATCH(AG$1,Profile!$2:$2,0),4))),"")</f>
        <v/>
      </c>
      <c r="AH34" s="2" t="str" cm="1">
        <f t="array" aca="1" ref="AH34" ca="1">IFERROR(IF(INDIRECT("Profile"&amp;"!"&amp;ADDRESS(MATCH($X$2,Profile!$D$1:$D$20,0)+ROW($X34)-ROW($X$2),MATCH(AH$1,Profile!$2:$2,0),4))="","",INDIRECT("Profile"&amp;"!"&amp;ADDRESS(MATCH($X$2,Profile!$D$1:$D$20,0)+ROW($X34)-ROW($X$2),MATCH(AH$1,Profile!$2:$2,0),4))),"")</f>
        <v/>
      </c>
      <c r="AI34" s="2" t="str" cm="1">
        <f t="array" aca="1" ref="AI34" ca="1">IFERROR(IF(INDIRECT("Profile"&amp;"!"&amp;ADDRESS(MATCH($X$2,Profile!$D$1:$D$20,0)+ROW($X34)-ROW($X$2),MATCH(AI$1,Profile!$2:$2,0),4))="","",INDIRECT("Profile"&amp;"!"&amp;ADDRESS(MATCH($X$2,Profile!$D$1:$D$20,0)+ROW($X34)-ROW($X$2),MATCH(AI$1,Profile!$2:$2,0),4))),"")</f>
        <v/>
      </c>
      <c r="AJ34" s="2" t="str" cm="1">
        <f t="array" aca="1" ref="AJ34" ca="1">IFERROR(IF(INDIRECT("Profile"&amp;"!"&amp;ADDRESS(MATCH($X$2,Profile!$D$1:$D$20,0)+ROW($X34)-ROW($X$2),MATCH(AJ$1,Profile!$2:$2,0),4))="","",INDIRECT("Profile"&amp;"!"&amp;ADDRESS(MATCH($X$2,Profile!$D$1:$D$20,0)+ROW($X34)-ROW($X$2),MATCH(AJ$1,Profile!$2:$2,0),4))),"")</f>
        <v/>
      </c>
      <c r="AK34" s="2" t="str" cm="1">
        <f t="array" aca="1" ref="AK34" ca="1">IFERROR(IF(INDIRECT("Profile"&amp;"!"&amp;ADDRESS(MATCH($X$2,Profile!$D$1:$D$20,0)+ROW($X34)-ROW($X$2),MATCH(AK$1,Profile!$2:$2,0),4))="","",INDIRECT("Profile"&amp;"!"&amp;ADDRESS(MATCH($X$2,Profile!$D$1:$D$20,0)+ROW($X34)-ROW($X$2),MATCH(AK$1,Profile!$2:$2,0),4))),"")</f>
        <v/>
      </c>
      <c r="AL34" s="2" t="str" cm="1">
        <f t="array" aca="1" ref="AL34" ca="1">IFERROR(IF(INDIRECT("Profile"&amp;"!"&amp;ADDRESS(MATCH($X$2,Profile!$D$1:$D$20,0)+ROW($X34)-ROW($X$2),MATCH(AL$1,Profile!$2:$2,0),4))="","",INDIRECT("Profile"&amp;"!"&amp;ADDRESS(MATCH($X$2,Profile!$D$1:$D$20,0)+ROW($X34)-ROW($X$2),MATCH(AL$1,Profile!$2:$2,0),4))),"")</f>
        <v/>
      </c>
      <c r="AM34" s="2" t="str" cm="1">
        <f t="array" aca="1" ref="AM34" ca="1">IFERROR(IF(INDIRECT("Profile"&amp;"!"&amp;ADDRESS(MATCH($X$2,Profile!$D$1:$D$20,0)+ROW($X34)-ROW($X$2),MATCH(AM$1,Profile!$2:$2,0),4))="","",INDIRECT("Profile"&amp;"!"&amp;ADDRESS(MATCH($X$2,Profile!$D$1:$D$20,0)+ROW($X34)-ROW($X$2),MATCH(AM$1,Profile!$2:$2,0),4))),"")</f>
        <v/>
      </c>
      <c r="AN34" s="2" t="str" cm="1">
        <f t="array" aca="1" ref="AN34" ca="1">IFERROR(IF(INDIRECT("Profile"&amp;"!"&amp;ADDRESS(MATCH($X$2,Profile!$D$1:$D$20,0)+ROW($X34)-ROW($X$2),MATCH(AN$1,Profile!$2:$2,0),4))="","",INDIRECT("Profile"&amp;"!"&amp;ADDRESS(MATCH($X$2,Profile!$D$1:$D$20,0)+ROW($X34)-ROW($X$2),MATCH(AN$1,Profile!$2:$2,0),4))),"")</f>
        <v/>
      </c>
    </row>
    <row r="35" spans="9:40" x14ac:dyDescent="0.25">
      <c r="I35" s="7">
        <v>32</v>
      </c>
      <c r="J35" s="7" t="str" cm="1">
        <f t="array" aca="1" ref="J35" ca="1">IFERROR(IF(INDIRECT("Profile"&amp;"!"&amp;ADDRESS(MATCH(J$1,Profile!$A$1:$A$20,0),MATCH($I35,Profile!$1:$1,0),4))="","",INDIRECT("Profile"&amp;"!"&amp;ADDRESS(MATCH(J$1,Profile!$A$1:$A$20,0),MATCH($I35,Profile!$1:$1,0),4))),"")</f>
        <v/>
      </c>
      <c r="K35" s="9" t="str" cm="1">
        <f t="array" aca="1" ref="K35" ca="1">IF($J35="","",IF(INDIRECT("Profile"&amp;"!"&amp;ADDRESS(MATCH(K$2,Profile!$C$1:$C$20,0),MATCH($I35,Profile!$1:$1,0),4))="","",INDIRECT("Profile"&amp;"!"&amp;ADDRESS(MATCH(K$2,Profile!$C$1:$C$20,0),MATCH($I35,Profile!$1:$1,0)))))</f>
        <v/>
      </c>
      <c r="L35" s="3" t="str" cm="1">
        <f t="array" aca="1" ref="L35" ca="1">IF($J35="","",IF(INDIRECT("Profile"&amp;"!"&amp;ADDRESS(MATCH(L$2,Profile!$C$1:$C$20,0),MATCH($I35,Profile!$1:$1,0),4))="","",INDIRECT("Profile"&amp;"!"&amp;ADDRESS(MATCH(L$2,Profile!$C$1:$C$20,0),MATCH($I35,Profile!$1:$1,0)))))</f>
        <v/>
      </c>
      <c r="M35" s="9" t="str" cm="1">
        <f t="array" aca="1" ref="M35" ca="1">IF($J35="","",IF(INDIRECT("Profile"&amp;"!"&amp;ADDRESS(MATCH(M$2,Profile!$C$1:$C$20,0),MATCH($I35,Profile!$1:$1,0),4))="","",INDIRECT("Profile"&amp;"!"&amp;ADDRESS(MATCH(M$2,Profile!$C$1:$C$20,0),MATCH($I35,Profile!$1:$1,0)))))</f>
        <v/>
      </c>
      <c r="N35" s="3" t="str" cm="1">
        <f t="array" aca="1" ref="N35" ca="1">IF($J35="","",IF(INDIRECT("Profile"&amp;"!"&amp;ADDRESS(MATCH(N$2,Profile!$C$1:$C$20,0),MATCH($I35,Profile!$1:$1,0),4))="","",INDIRECT("Profile"&amp;"!"&amp;ADDRESS(MATCH(N$2,Profile!$C$1:$C$20,0),MATCH($I35,Profile!$1:$1,0)))))</f>
        <v/>
      </c>
      <c r="O35" s="3" t="str" cm="1">
        <f t="array" aca="1" ref="O35" ca="1">IFERROR(IF($J35="","",INDIRECT("Profile"&amp;"!"&amp;ADDRESS(MATCH(O$2,Profile!$C$1:$C$20,0),MATCH($I35,Profile!$1:$1,0),4))),"")</f>
        <v/>
      </c>
      <c r="P35" s="9" t="str" cm="1">
        <f t="array" aca="1" ref="P35" ca="1">IFERROR(IF($J35="","",INDIRECT("Profile"&amp;"!"&amp;ADDRESS(MATCH(P$2,Profile!$C$1:$C$20,0),MATCH($I35,Profile!$1:$1,0),4))),"")</f>
        <v/>
      </c>
      <c r="Q35" s="3" t="str" cm="1">
        <f t="array" aca="1" ref="Q35" ca="1">IFERROR(IF($J35="","",INDIRECT("Profile"&amp;"!"&amp;ADDRESS(MATCH(Q$2,Profile!$C$1:$C$20,0),MATCH($I35,Profile!$1:$1,0),4))),"")</f>
        <v/>
      </c>
      <c r="R35" s="3" t="str" cm="1">
        <f t="array" aca="1" ref="R35" ca="1">IFERROR(IF($J35="","",INDIRECT("Profile"&amp;"!"&amp;ADDRESS(MATCH(R$2,Profile!$C$1:$C$20,0),MATCH($I35,Profile!$1:$1,0),4))),"")</f>
        <v/>
      </c>
      <c r="S35" s="3" t="str" cm="1">
        <f t="array" aca="1" ref="S35" ca="1">IFERROR(IF($J35="","",INDIRECT("Profile"&amp;"!"&amp;ADDRESS(MATCH(S$2,Profile!$C$1:$C$20,0),MATCH($I35,Profile!$1:$1,0),4))),"")</f>
        <v/>
      </c>
      <c r="T35" s="3" t="str" cm="1">
        <f t="array" aca="1" ref="T35" ca="1">IFERROR(IF($J35="","",INDIRECT("Profile"&amp;"!"&amp;ADDRESS(MATCH(T$2,Profile!$C$1:$C$20,0),MATCH($I35,Profile!$1:$1,0),4))),"")</f>
        <v/>
      </c>
      <c r="U35" s="38" t="str" cm="1">
        <f t="array" aca="1" ref="U35" ca="1">IFERROR(IF(INDIRECT("ID"&amp;"!"&amp;ADDRESS(MATCH($J35,ID!$B:$B,0),MATCH($U$1,ID!$1:$1,0),4))="","",INDIRECT("ID"&amp;"!"&amp;ADDRESS(MATCH($J35,ID!$B:$B,0),MATCH($U$1,ID!$1:$1,0),4))),"")</f>
        <v/>
      </c>
    </row>
    <row r="36" spans="9:40" x14ac:dyDescent="0.25">
      <c r="I36" s="7">
        <v>33</v>
      </c>
      <c r="J36" s="7" t="str" cm="1">
        <f t="array" aca="1" ref="J36" ca="1">IFERROR(IF(INDIRECT("Profile"&amp;"!"&amp;ADDRESS(MATCH(J$1,Profile!$A$1:$A$20,0),MATCH($I36,Profile!$1:$1,0),4))="","",INDIRECT("Profile"&amp;"!"&amp;ADDRESS(MATCH(J$1,Profile!$A$1:$A$20,0),MATCH($I36,Profile!$1:$1,0),4))),"")</f>
        <v/>
      </c>
      <c r="K36" s="9" t="str" cm="1">
        <f t="array" aca="1" ref="K36" ca="1">IF($J36="","",IF(INDIRECT("Profile"&amp;"!"&amp;ADDRESS(MATCH(K$2,Profile!$C$1:$C$20,0),MATCH($I36,Profile!$1:$1,0),4))="","",INDIRECT("Profile"&amp;"!"&amp;ADDRESS(MATCH(K$2,Profile!$C$1:$C$20,0),MATCH($I36,Profile!$1:$1,0)))))</f>
        <v/>
      </c>
      <c r="L36" s="3" t="str" cm="1">
        <f t="array" aca="1" ref="L36" ca="1">IF($J36="","",IF(INDIRECT("Profile"&amp;"!"&amp;ADDRESS(MATCH(L$2,Profile!$C$1:$C$20,0),MATCH($I36,Profile!$1:$1,0),4))="","",INDIRECT("Profile"&amp;"!"&amp;ADDRESS(MATCH(L$2,Profile!$C$1:$C$20,0),MATCH($I36,Profile!$1:$1,0)))))</f>
        <v/>
      </c>
      <c r="M36" s="9" t="str" cm="1">
        <f t="array" aca="1" ref="M36" ca="1">IF($J36="","",IF(INDIRECT("Profile"&amp;"!"&amp;ADDRESS(MATCH(M$2,Profile!$C$1:$C$20,0),MATCH($I36,Profile!$1:$1,0),4))="","",INDIRECT("Profile"&amp;"!"&amp;ADDRESS(MATCH(M$2,Profile!$C$1:$C$20,0),MATCH($I36,Profile!$1:$1,0)))))</f>
        <v/>
      </c>
      <c r="N36" s="3" t="str" cm="1">
        <f t="array" aca="1" ref="N36" ca="1">IF($J36="","",IF(INDIRECT("Profile"&amp;"!"&amp;ADDRESS(MATCH(N$2,Profile!$C$1:$C$20,0),MATCH($I36,Profile!$1:$1,0),4))="","",INDIRECT("Profile"&amp;"!"&amp;ADDRESS(MATCH(N$2,Profile!$C$1:$C$20,0),MATCH($I36,Profile!$1:$1,0)))))</f>
        <v/>
      </c>
      <c r="O36" s="3" t="str" cm="1">
        <f t="array" aca="1" ref="O36" ca="1">IFERROR(IF($J36="","",INDIRECT("Profile"&amp;"!"&amp;ADDRESS(MATCH(O$2,Profile!$C$1:$C$20,0),MATCH($I36,Profile!$1:$1,0),4))),"")</f>
        <v/>
      </c>
      <c r="P36" s="9" t="str" cm="1">
        <f t="array" aca="1" ref="P36" ca="1">IFERROR(IF($J36="","",INDIRECT("Profile"&amp;"!"&amp;ADDRESS(MATCH(P$2,Profile!$C$1:$C$20,0),MATCH($I36,Profile!$1:$1,0),4))),"")</f>
        <v/>
      </c>
      <c r="Q36" s="3" t="str" cm="1">
        <f t="array" aca="1" ref="Q36" ca="1">IFERROR(IF($J36="","",INDIRECT("Profile"&amp;"!"&amp;ADDRESS(MATCH(Q$2,Profile!$C$1:$C$20,0),MATCH($I36,Profile!$1:$1,0),4))),"")</f>
        <v/>
      </c>
      <c r="R36" s="3" t="str" cm="1">
        <f t="array" aca="1" ref="R36" ca="1">IFERROR(IF($J36="","",INDIRECT("Profile"&amp;"!"&amp;ADDRESS(MATCH(R$2,Profile!$C$1:$C$20,0),MATCH($I36,Profile!$1:$1,0),4))),"")</f>
        <v/>
      </c>
      <c r="S36" s="3" t="str" cm="1">
        <f t="array" aca="1" ref="S36" ca="1">IFERROR(IF($J36="","",INDIRECT("Profile"&amp;"!"&amp;ADDRESS(MATCH(S$2,Profile!$C$1:$C$20,0),MATCH($I36,Profile!$1:$1,0),4))),"")</f>
        <v/>
      </c>
      <c r="T36" s="3" t="str" cm="1">
        <f t="array" aca="1" ref="T36" ca="1">IFERROR(IF($J36="","",INDIRECT("Profile"&amp;"!"&amp;ADDRESS(MATCH(T$2,Profile!$C$1:$C$20,0),MATCH($I36,Profile!$1:$1,0),4))),"")</f>
        <v/>
      </c>
      <c r="U36" s="38" t="str" cm="1">
        <f t="array" aca="1" ref="U36" ca="1">IFERROR(IF(INDIRECT("ID"&amp;"!"&amp;ADDRESS(MATCH($J36,ID!$B:$B,0),MATCH($U$1,ID!$1:$1,0),4))="","",INDIRECT("ID"&amp;"!"&amp;ADDRESS(MATCH($J36,ID!$B:$B,0),MATCH($U$1,ID!$1:$1,0),4))),"")</f>
        <v/>
      </c>
    </row>
    <row r="37" spans="9:40" x14ac:dyDescent="0.25">
      <c r="I37" s="7">
        <v>34</v>
      </c>
      <c r="J37" s="7" t="str" cm="1">
        <f t="array" aca="1" ref="J37" ca="1">IFERROR(IF(INDIRECT("Profile"&amp;"!"&amp;ADDRESS(MATCH(J$1,Profile!$A$1:$A$20,0),MATCH($I37,Profile!$1:$1,0),4))="","",INDIRECT("Profile"&amp;"!"&amp;ADDRESS(MATCH(J$1,Profile!$A$1:$A$20,0),MATCH($I37,Profile!$1:$1,0),4))),"")</f>
        <v/>
      </c>
      <c r="K37" s="9" t="str" cm="1">
        <f t="array" aca="1" ref="K37" ca="1">IF($J37="","",IF(INDIRECT("Profile"&amp;"!"&amp;ADDRESS(MATCH(K$2,Profile!$C$1:$C$20,0),MATCH($I37,Profile!$1:$1,0),4))="","",INDIRECT("Profile"&amp;"!"&amp;ADDRESS(MATCH(K$2,Profile!$C$1:$C$20,0),MATCH($I37,Profile!$1:$1,0)))))</f>
        <v/>
      </c>
      <c r="L37" s="3" t="str" cm="1">
        <f t="array" aca="1" ref="L37" ca="1">IF($J37="","",IF(INDIRECT("Profile"&amp;"!"&amp;ADDRESS(MATCH(L$2,Profile!$C$1:$C$20,0),MATCH($I37,Profile!$1:$1,0),4))="","",INDIRECT("Profile"&amp;"!"&amp;ADDRESS(MATCH(L$2,Profile!$C$1:$C$20,0),MATCH($I37,Profile!$1:$1,0)))))</f>
        <v/>
      </c>
      <c r="M37" s="9" t="str" cm="1">
        <f t="array" aca="1" ref="M37" ca="1">IF($J37="","",IF(INDIRECT("Profile"&amp;"!"&amp;ADDRESS(MATCH(M$2,Profile!$C$1:$C$20,0),MATCH($I37,Profile!$1:$1,0),4))="","",INDIRECT("Profile"&amp;"!"&amp;ADDRESS(MATCH(M$2,Profile!$C$1:$C$20,0),MATCH($I37,Profile!$1:$1,0)))))</f>
        <v/>
      </c>
      <c r="N37" s="3" t="str" cm="1">
        <f t="array" aca="1" ref="N37" ca="1">IF($J37="","",IF(INDIRECT("Profile"&amp;"!"&amp;ADDRESS(MATCH(N$2,Profile!$C$1:$C$20,0),MATCH($I37,Profile!$1:$1,0),4))="","",INDIRECT("Profile"&amp;"!"&amp;ADDRESS(MATCH(N$2,Profile!$C$1:$C$20,0),MATCH($I37,Profile!$1:$1,0)))))</f>
        <v/>
      </c>
      <c r="O37" s="3" t="str" cm="1">
        <f t="array" aca="1" ref="O37" ca="1">IFERROR(IF($J37="","",INDIRECT("Profile"&amp;"!"&amp;ADDRESS(MATCH(O$2,Profile!$C$1:$C$20,0),MATCH($I37,Profile!$1:$1,0),4))),"")</f>
        <v/>
      </c>
      <c r="P37" s="9" t="str" cm="1">
        <f t="array" aca="1" ref="P37" ca="1">IFERROR(IF($J37="","",INDIRECT("Profile"&amp;"!"&amp;ADDRESS(MATCH(P$2,Profile!$C$1:$C$20,0),MATCH($I37,Profile!$1:$1,0),4))),"")</f>
        <v/>
      </c>
      <c r="Q37" s="3" t="str" cm="1">
        <f t="array" aca="1" ref="Q37" ca="1">IFERROR(IF($J37="","",INDIRECT("Profile"&amp;"!"&amp;ADDRESS(MATCH(Q$2,Profile!$C$1:$C$20,0),MATCH($I37,Profile!$1:$1,0),4))),"")</f>
        <v/>
      </c>
      <c r="R37" s="3" t="str" cm="1">
        <f t="array" aca="1" ref="R37" ca="1">IFERROR(IF($J37="","",INDIRECT("Profile"&amp;"!"&amp;ADDRESS(MATCH(R$2,Profile!$C$1:$C$20,0),MATCH($I37,Profile!$1:$1,0),4))),"")</f>
        <v/>
      </c>
      <c r="S37" s="3" t="str" cm="1">
        <f t="array" aca="1" ref="S37" ca="1">IFERROR(IF($J37="","",INDIRECT("Profile"&amp;"!"&amp;ADDRESS(MATCH(S$2,Profile!$C$1:$C$20,0),MATCH($I37,Profile!$1:$1,0),4))),"")</f>
        <v/>
      </c>
      <c r="T37" s="3" t="str" cm="1">
        <f t="array" aca="1" ref="T37" ca="1">IFERROR(IF($J37="","",INDIRECT("Profile"&amp;"!"&amp;ADDRESS(MATCH(T$2,Profile!$C$1:$C$20,0),MATCH($I37,Profile!$1:$1,0),4))),"")</f>
        <v/>
      </c>
      <c r="U37" s="38" t="str" cm="1">
        <f t="array" aca="1" ref="U37" ca="1">IFERROR(IF(INDIRECT("ID"&amp;"!"&amp;ADDRESS(MATCH($J37,ID!$B:$B,0),MATCH($U$1,ID!$1:$1,0),4))="","",INDIRECT("ID"&amp;"!"&amp;ADDRESS(MATCH($J37,ID!$B:$B,0),MATCH($U$1,ID!$1:$1,0),4))),"")</f>
        <v/>
      </c>
    </row>
    <row r="38" spans="9:40" x14ac:dyDescent="0.25">
      <c r="I38" s="7">
        <v>35</v>
      </c>
      <c r="J38" s="7" t="str" cm="1">
        <f t="array" aca="1" ref="J38" ca="1">IFERROR(IF(INDIRECT("Profile"&amp;"!"&amp;ADDRESS(MATCH(J$1,Profile!$A$1:$A$20,0),MATCH($I38,Profile!$1:$1,0),4))="","",INDIRECT("Profile"&amp;"!"&amp;ADDRESS(MATCH(J$1,Profile!$A$1:$A$20,0),MATCH($I38,Profile!$1:$1,0),4))),"")</f>
        <v/>
      </c>
      <c r="K38" s="9" t="str" cm="1">
        <f t="array" aca="1" ref="K38" ca="1">IF($J38="","",IF(INDIRECT("Profile"&amp;"!"&amp;ADDRESS(MATCH(K$2,Profile!$C$1:$C$20,0),MATCH($I38,Profile!$1:$1,0),4))="","",INDIRECT("Profile"&amp;"!"&amp;ADDRESS(MATCH(K$2,Profile!$C$1:$C$20,0),MATCH($I38,Profile!$1:$1,0)))))</f>
        <v/>
      </c>
      <c r="L38" s="3" t="str" cm="1">
        <f t="array" aca="1" ref="L38" ca="1">IF($J38="","",IF(INDIRECT("Profile"&amp;"!"&amp;ADDRESS(MATCH(L$2,Profile!$C$1:$C$20,0),MATCH($I38,Profile!$1:$1,0),4))="","",INDIRECT("Profile"&amp;"!"&amp;ADDRESS(MATCH(L$2,Profile!$C$1:$C$20,0),MATCH($I38,Profile!$1:$1,0)))))</f>
        <v/>
      </c>
      <c r="M38" s="9" t="str" cm="1">
        <f t="array" aca="1" ref="M38" ca="1">IF($J38="","",IF(INDIRECT("Profile"&amp;"!"&amp;ADDRESS(MATCH(M$2,Profile!$C$1:$C$20,0),MATCH($I38,Profile!$1:$1,0),4))="","",INDIRECT("Profile"&amp;"!"&amp;ADDRESS(MATCH(M$2,Profile!$C$1:$C$20,0),MATCH($I38,Profile!$1:$1,0)))))</f>
        <v/>
      </c>
      <c r="N38" s="3" t="str" cm="1">
        <f t="array" aca="1" ref="N38" ca="1">IF($J38="","",IF(INDIRECT("Profile"&amp;"!"&amp;ADDRESS(MATCH(N$2,Profile!$C$1:$C$20,0),MATCH($I38,Profile!$1:$1,0),4))="","",INDIRECT("Profile"&amp;"!"&amp;ADDRESS(MATCH(N$2,Profile!$C$1:$C$20,0),MATCH($I38,Profile!$1:$1,0)))))</f>
        <v/>
      </c>
      <c r="O38" s="3" t="str" cm="1">
        <f t="array" aca="1" ref="O38" ca="1">IFERROR(IF($J38="","",INDIRECT("Profile"&amp;"!"&amp;ADDRESS(MATCH(O$2,Profile!$C$1:$C$20,0),MATCH($I38,Profile!$1:$1,0),4))),"")</f>
        <v/>
      </c>
      <c r="P38" s="9" t="str" cm="1">
        <f t="array" aca="1" ref="P38" ca="1">IFERROR(IF($J38="","",INDIRECT("Profile"&amp;"!"&amp;ADDRESS(MATCH(P$2,Profile!$C$1:$C$20,0),MATCH($I38,Profile!$1:$1,0),4))),"")</f>
        <v/>
      </c>
      <c r="Q38" s="3" t="str" cm="1">
        <f t="array" aca="1" ref="Q38" ca="1">IFERROR(IF($J38="","",INDIRECT("Profile"&amp;"!"&amp;ADDRESS(MATCH(Q$2,Profile!$C$1:$C$20,0),MATCH($I38,Profile!$1:$1,0),4))),"")</f>
        <v/>
      </c>
      <c r="R38" s="3" t="str" cm="1">
        <f t="array" aca="1" ref="R38" ca="1">IFERROR(IF($J38="","",INDIRECT("Profile"&amp;"!"&amp;ADDRESS(MATCH(R$2,Profile!$C$1:$C$20,0),MATCH($I38,Profile!$1:$1,0),4))),"")</f>
        <v/>
      </c>
      <c r="S38" s="3" t="str" cm="1">
        <f t="array" aca="1" ref="S38" ca="1">IFERROR(IF($J38="","",INDIRECT("Profile"&amp;"!"&amp;ADDRESS(MATCH(S$2,Profile!$C$1:$C$20,0),MATCH($I38,Profile!$1:$1,0),4))),"")</f>
        <v/>
      </c>
      <c r="T38" s="3" t="str" cm="1">
        <f t="array" aca="1" ref="T38" ca="1">IFERROR(IF($J38="","",INDIRECT("Profile"&amp;"!"&amp;ADDRESS(MATCH(T$2,Profile!$C$1:$C$20,0),MATCH($I38,Profile!$1:$1,0),4))),"")</f>
        <v/>
      </c>
      <c r="U38" s="38" t="str" cm="1">
        <f t="array" aca="1" ref="U38" ca="1">IFERROR(IF(INDIRECT("ID"&amp;"!"&amp;ADDRESS(MATCH($J38,ID!$B:$B,0),MATCH($U$1,ID!$1:$1,0),4))="","",INDIRECT("ID"&amp;"!"&amp;ADDRESS(MATCH($J38,ID!$B:$B,0),MATCH($U$1,ID!$1:$1,0),4))),"")</f>
        <v/>
      </c>
    </row>
    <row r="39" spans="9:40" x14ac:dyDescent="0.25">
      <c r="I39" s="7">
        <v>36</v>
      </c>
      <c r="J39" s="7" t="str" cm="1">
        <f t="array" aca="1" ref="J39" ca="1">IFERROR(IF(INDIRECT("Profile"&amp;"!"&amp;ADDRESS(MATCH(J$1,Profile!$A$1:$A$20,0),MATCH($I39,Profile!$1:$1,0),4))="","",INDIRECT("Profile"&amp;"!"&amp;ADDRESS(MATCH(J$1,Profile!$A$1:$A$20,0),MATCH($I39,Profile!$1:$1,0),4))),"")</f>
        <v/>
      </c>
      <c r="K39" s="9" t="str" cm="1">
        <f t="array" aca="1" ref="K39" ca="1">IF($J39="","",IF(INDIRECT("Profile"&amp;"!"&amp;ADDRESS(MATCH(K$2,Profile!$C$1:$C$20,0),MATCH($I39,Profile!$1:$1,0),4))="","",INDIRECT("Profile"&amp;"!"&amp;ADDRESS(MATCH(K$2,Profile!$C$1:$C$20,0),MATCH($I39,Profile!$1:$1,0)))))</f>
        <v/>
      </c>
      <c r="L39" s="3" t="str" cm="1">
        <f t="array" aca="1" ref="L39" ca="1">IF($J39="","",IF(INDIRECT("Profile"&amp;"!"&amp;ADDRESS(MATCH(L$2,Profile!$C$1:$C$20,0),MATCH($I39,Profile!$1:$1,0),4))="","",INDIRECT("Profile"&amp;"!"&amp;ADDRESS(MATCH(L$2,Profile!$C$1:$C$20,0),MATCH($I39,Profile!$1:$1,0)))))</f>
        <v/>
      </c>
      <c r="M39" s="9" t="str" cm="1">
        <f t="array" aca="1" ref="M39" ca="1">IF($J39="","",IF(INDIRECT("Profile"&amp;"!"&amp;ADDRESS(MATCH(M$2,Profile!$C$1:$C$20,0),MATCH($I39,Profile!$1:$1,0),4))="","",INDIRECT("Profile"&amp;"!"&amp;ADDRESS(MATCH(M$2,Profile!$C$1:$C$20,0),MATCH($I39,Profile!$1:$1,0)))))</f>
        <v/>
      </c>
      <c r="N39" s="3" t="str" cm="1">
        <f t="array" aca="1" ref="N39" ca="1">IF($J39="","",IF(INDIRECT("Profile"&amp;"!"&amp;ADDRESS(MATCH(N$2,Profile!$C$1:$C$20,0),MATCH($I39,Profile!$1:$1,0),4))="","",INDIRECT("Profile"&amp;"!"&amp;ADDRESS(MATCH(N$2,Profile!$C$1:$C$20,0),MATCH($I39,Profile!$1:$1,0)))))</f>
        <v/>
      </c>
      <c r="O39" s="3" t="str" cm="1">
        <f t="array" aca="1" ref="O39" ca="1">IFERROR(IF($J39="","",INDIRECT("Profile"&amp;"!"&amp;ADDRESS(MATCH(O$2,Profile!$C$1:$C$20,0),MATCH($I39,Profile!$1:$1,0),4))),"")</f>
        <v/>
      </c>
      <c r="P39" s="9" t="str" cm="1">
        <f t="array" aca="1" ref="P39" ca="1">IFERROR(IF($J39="","",INDIRECT("Profile"&amp;"!"&amp;ADDRESS(MATCH(P$2,Profile!$C$1:$C$20,0),MATCH($I39,Profile!$1:$1,0),4))),"")</f>
        <v/>
      </c>
      <c r="Q39" s="3" t="str" cm="1">
        <f t="array" aca="1" ref="Q39" ca="1">IFERROR(IF($J39="","",INDIRECT("Profile"&amp;"!"&amp;ADDRESS(MATCH(Q$2,Profile!$C$1:$C$20,0),MATCH($I39,Profile!$1:$1,0),4))),"")</f>
        <v/>
      </c>
      <c r="R39" s="3" t="str" cm="1">
        <f t="array" aca="1" ref="R39" ca="1">IFERROR(IF($J39="","",INDIRECT("Profile"&amp;"!"&amp;ADDRESS(MATCH(R$2,Profile!$C$1:$C$20,0),MATCH($I39,Profile!$1:$1,0),4))),"")</f>
        <v/>
      </c>
      <c r="S39" s="3" t="str" cm="1">
        <f t="array" aca="1" ref="S39" ca="1">IFERROR(IF($J39="","",INDIRECT("Profile"&amp;"!"&amp;ADDRESS(MATCH(S$2,Profile!$C$1:$C$20,0),MATCH($I39,Profile!$1:$1,0),4))),"")</f>
        <v/>
      </c>
      <c r="T39" s="3" t="str" cm="1">
        <f t="array" aca="1" ref="T39" ca="1">IFERROR(IF($J39="","",INDIRECT("Profile"&amp;"!"&amp;ADDRESS(MATCH(T$2,Profile!$C$1:$C$20,0),MATCH($I39,Profile!$1:$1,0),4))),"")</f>
        <v/>
      </c>
      <c r="U39" s="38" t="str" cm="1">
        <f t="array" aca="1" ref="U39" ca="1">IFERROR(IF(INDIRECT("ID"&amp;"!"&amp;ADDRESS(MATCH($J39,ID!$B:$B,0),MATCH($U$1,ID!$1:$1,0),4))="","",INDIRECT("ID"&amp;"!"&amp;ADDRESS(MATCH($J39,ID!$B:$B,0),MATCH($U$1,ID!$1:$1,0),4))),"")</f>
        <v/>
      </c>
    </row>
    <row r="40" spans="9:40" x14ac:dyDescent="0.25">
      <c r="I40" s="7">
        <v>37</v>
      </c>
      <c r="J40" s="7" t="str" cm="1">
        <f t="array" aca="1" ref="J40" ca="1">IFERROR(IF(INDIRECT("Profile"&amp;"!"&amp;ADDRESS(MATCH(J$1,Profile!$A$1:$A$20,0),MATCH($I40,Profile!$1:$1,0),4))="","",INDIRECT("Profile"&amp;"!"&amp;ADDRESS(MATCH(J$1,Profile!$A$1:$A$20,0),MATCH($I40,Profile!$1:$1,0),4))),"")</f>
        <v/>
      </c>
      <c r="K40" s="9" t="str" cm="1">
        <f t="array" aca="1" ref="K40" ca="1">IF($J40="","",IF(INDIRECT("Profile"&amp;"!"&amp;ADDRESS(MATCH(K$2,Profile!$C$1:$C$20,0),MATCH($I40,Profile!$1:$1,0),4))="","",INDIRECT("Profile"&amp;"!"&amp;ADDRESS(MATCH(K$2,Profile!$C$1:$C$20,0),MATCH($I40,Profile!$1:$1,0)))))</f>
        <v/>
      </c>
      <c r="L40" s="3" t="str" cm="1">
        <f t="array" aca="1" ref="L40" ca="1">IF($J40="","",IF(INDIRECT("Profile"&amp;"!"&amp;ADDRESS(MATCH(L$2,Profile!$C$1:$C$20,0),MATCH($I40,Profile!$1:$1,0),4))="","",INDIRECT("Profile"&amp;"!"&amp;ADDRESS(MATCH(L$2,Profile!$C$1:$C$20,0),MATCH($I40,Profile!$1:$1,0)))))</f>
        <v/>
      </c>
      <c r="M40" s="9" t="str" cm="1">
        <f t="array" aca="1" ref="M40" ca="1">IF($J40="","",IF(INDIRECT("Profile"&amp;"!"&amp;ADDRESS(MATCH(M$2,Profile!$C$1:$C$20,0),MATCH($I40,Profile!$1:$1,0),4))="","",INDIRECT("Profile"&amp;"!"&amp;ADDRESS(MATCH(M$2,Profile!$C$1:$C$20,0),MATCH($I40,Profile!$1:$1,0)))))</f>
        <v/>
      </c>
      <c r="N40" s="3" t="str" cm="1">
        <f t="array" aca="1" ref="N40" ca="1">IF($J40="","",IF(INDIRECT("Profile"&amp;"!"&amp;ADDRESS(MATCH(N$2,Profile!$C$1:$C$20,0),MATCH($I40,Profile!$1:$1,0),4))="","",INDIRECT("Profile"&amp;"!"&amp;ADDRESS(MATCH(N$2,Profile!$C$1:$C$20,0),MATCH($I40,Profile!$1:$1,0)))))</f>
        <v/>
      </c>
      <c r="O40" s="3" t="str" cm="1">
        <f t="array" aca="1" ref="O40" ca="1">IFERROR(IF($J40="","",INDIRECT("Profile"&amp;"!"&amp;ADDRESS(MATCH(O$2,Profile!$C$1:$C$20,0),MATCH($I40,Profile!$1:$1,0),4))),"")</f>
        <v/>
      </c>
      <c r="P40" s="9" t="str" cm="1">
        <f t="array" aca="1" ref="P40" ca="1">IFERROR(IF($J40="","",INDIRECT("Profile"&amp;"!"&amp;ADDRESS(MATCH(P$2,Profile!$C$1:$C$20,0),MATCH($I40,Profile!$1:$1,0),4))),"")</f>
        <v/>
      </c>
      <c r="Q40" s="3" t="str" cm="1">
        <f t="array" aca="1" ref="Q40" ca="1">IFERROR(IF($J40="","",INDIRECT("Profile"&amp;"!"&amp;ADDRESS(MATCH(Q$2,Profile!$C$1:$C$20,0),MATCH($I40,Profile!$1:$1,0),4))),"")</f>
        <v/>
      </c>
      <c r="R40" s="3" t="str" cm="1">
        <f t="array" aca="1" ref="R40" ca="1">IFERROR(IF($J40="","",INDIRECT("Profile"&amp;"!"&amp;ADDRESS(MATCH(R$2,Profile!$C$1:$C$20,0),MATCH($I40,Profile!$1:$1,0),4))),"")</f>
        <v/>
      </c>
      <c r="S40" s="3" t="str" cm="1">
        <f t="array" aca="1" ref="S40" ca="1">IFERROR(IF($J40="","",INDIRECT("Profile"&amp;"!"&amp;ADDRESS(MATCH(S$2,Profile!$C$1:$C$20,0),MATCH($I40,Profile!$1:$1,0),4))),"")</f>
        <v/>
      </c>
      <c r="T40" s="3" t="str" cm="1">
        <f t="array" aca="1" ref="T40" ca="1">IFERROR(IF($J40="","",INDIRECT("Profile"&amp;"!"&amp;ADDRESS(MATCH(T$2,Profile!$C$1:$C$20,0),MATCH($I40,Profile!$1:$1,0),4))),"")</f>
        <v/>
      </c>
      <c r="U40" s="38" t="str" cm="1">
        <f t="array" aca="1" ref="U40" ca="1">IFERROR(IF(INDIRECT("ID"&amp;"!"&amp;ADDRESS(MATCH($J40,ID!$B:$B,0),MATCH($U$1,ID!$1:$1,0),4))="","",INDIRECT("ID"&amp;"!"&amp;ADDRESS(MATCH($J40,ID!$B:$B,0),MATCH($U$1,ID!$1:$1,0),4))),"")</f>
        <v/>
      </c>
    </row>
    <row r="41" spans="9:40" x14ac:dyDescent="0.25">
      <c r="I41" s="7">
        <v>38</v>
      </c>
      <c r="J41" s="7" t="str" cm="1">
        <f t="array" aca="1" ref="J41" ca="1">IFERROR(IF(INDIRECT("Profile"&amp;"!"&amp;ADDRESS(MATCH(J$1,Profile!$A$1:$A$20,0),MATCH($I41,Profile!$1:$1,0),4))="","",INDIRECT("Profile"&amp;"!"&amp;ADDRESS(MATCH(J$1,Profile!$A$1:$A$20,0),MATCH($I41,Profile!$1:$1,0),4))),"")</f>
        <v/>
      </c>
      <c r="K41" s="9" t="str" cm="1">
        <f t="array" aca="1" ref="K41" ca="1">IF($J41="","",IF(INDIRECT("Profile"&amp;"!"&amp;ADDRESS(MATCH(K$2,Profile!$C$1:$C$20,0),MATCH($I41,Profile!$1:$1,0),4))="","",INDIRECT("Profile"&amp;"!"&amp;ADDRESS(MATCH(K$2,Profile!$C$1:$C$20,0),MATCH($I41,Profile!$1:$1,0)))))</f>
        <v/>
      </c>
      <c r="L41" s="3" t="str" cm="1">
        <f t="array" aca="1" ref="L41" ca="1">IF($J41="","",IF(INDIRECT("Profile"&amp;"!"&amp;ADDRESS(MATCH(L$2,Profile!$C$1:$C$20,0),MATCH($I41,Profile!$1:$1,0),4))="","",INDIRECT("Profile"&amp;"!"&amp;ADDRESS(MATCH(L$2,Profile!$C$1:$C$20,0),MATCH($I41,Profile!$1:$1,0)))))</f>
        <v/>
      </c>
      <c r="M41" s="9" t="str" cm="1">
        <f t="array" aca="1" ref="M41" ca="1">IF($J41="","",IF(INDIRECT("Profile"&amp;"!"&amp;ADDRESS(MATCH(M$2,Profile!$C$1:$C$20,0),MATCH($I41,Profile!$1:$1,0),4))="","",INDIRECT("Profile"&amp;"!"&amp;ADDRESS(MATCH(M$2,Profile!$C$1:$C$20,0),MATCH($I41,Profile!$1:$1,0)))))</f>
        <v/>
      </c>
      <c r="N41" s="3" t="str" cm="1">
        <f t="array" aca="1" ref="N41" ca="1">IF($J41="","",IF(INDIRECT("Profile"&amp;"!"&amp;ADDRESS(MATCH(N$2,Profile!$C$1:$C$20,0),MATCH($I41,Profile!$1:$1,0),4))="","",INDIRECT("Profile"&amp;"!"&amp;ADDRESS(MATCH(N$2,Profile!$C$1:$C$20,0),MATCH($I41,Profile!$1:$1,0)))))</f>
        <v/>
      </c>
      <c r="O41" s="3" t="str" cm="1">
        <f t="array" aca="1" ref="O41" ca="1">IFERROR(IF($J41="","",INDIRECT("Profile"&amp;"!"&amp;ADDRESS(MATCH(O$2,Profile!$C$1:$C$20,0),MATCH($I41,Profile!$1:$1,0),4))),"")</f>
        <v/>
      </c>
      <c r="P41" s="9" t="str" cm="1">
        <f t="array" aca="1" ref="P41" ca="1">IFERROR(IF($J41="","",INDIRECT("Profile"&amp;"!"&amp;ADDRESS(MATCH(P$2,Profile!$C$1:$C$20,0),MATCH($I41,Profile!$1:$1,0),4))),"")</f>
        <v/>
      </c>
      <c r="Q41" s="3" t="str" cm="1">
        <f t="array" aca="1" ref="Q41" ca="1">IFERROR(IF($J41="","",INDIRECT("Profile"&amp;"!"&amp;ADDRESS(MATCH(Q$2,Profile!$C$1:$C$20,0),MATCH($I41,Profile!$1:$1,0),4))),"")</f>
        <v/>
      </c>
      <c r="R41" s="3" t="str" cm="1">
        <f t="array" aca="1" ref="R41" ca="1">IFERROR(IF($J41="","",INDIRECT("Profile"&amp;"!"&amp;ADDRESS(MATCH(R$2,Profile!$C$1:$C$20,0),MATCH($I41,Profile!$1:$1,0),4))),"")</f>
        <v/>
      </c>
      <c r="S41" s="3" t="str" cm="1">
        <f t="array" aca="1" ref="S41" ca="1">IFERROR(IF($J41="","",INDIRECT("Profile"&amp;"!"&amp;ADDRESS(MATCH(S$2,Profile!$C$1:$C$20,0),MATCH($I41,Profile!$1:$1,0),4))),"")</f>
        <v/>
      </c>
      <c r="T41" s="3" t="str" cm="1">
        <f t="array" aca="1" ref="T41" ca="1">IFERROR(IF($J41="","",INDIRECT("Profile"&amp;"!"&amp;ADDRESS(MATCH(T$2,Profile!$C$1:$C$20,0),MATCH($I41,Profile!$1:$1,0),4))),"")</f>
        <v/>
      </c>
      <c r="U41" s="38" t="str" cm="1">
        <f t="array" aca="1" ref="U41" ca="1">IFERROR(IF(INDIRECT("ID"&amp;"!"&amp;ADDRESS(MATCH($J41,ID!$B:$B,0),MATCH($U$1,ID!$1:$1,0),4))="","",INDIRECT("ID"&amp;"!"&amp;ADDRESS(MATCH($J41,ID!$B:$B,0),MATCH($U$1,ID!$1:$1,0),4))),"")</f>
        <v/>
      </c>
    </row>
    <row r="42" spans="9:40" x14ac:dyDescent="0.25">
      <c r="I42" s="7">
        <v>39</v>
      </c>
      <c r="J42" s="7" t="str" cm="1">
        <f t="array" aca="1" ref="J42" ca="1">IFERROR(IF(INDIRECT("Profile"&amp;"!"&amp;ADDRESS(MATCH(J$1,Profile!$A$1:$A$20,0),MATCH($I42,Profile!$1:$1,0),4))="","",INDIRECT("Profile"&amp;"!"&amp;ADDRESS(MATCH(J$1,Profile!$A$1:$A$20,0),MATCH($I42,Profile!$1:$1,0),4))),"")</f>
        <v/>
      </c>
      <c r="K42" s="9" t="str" cm="1">
        <f t="array" aca="1" ref="K42" ca="1">IF($J42="","",IF(INDIRECT("Profile"&amp;"!"&amp;ADDRESS(MATCH(K$2,Profile!$C$1:$C$20,0),MATCH($I42,Profile!$1:$1,0),4))="","",INDIRECT("Profile"&amp;"!"&amp;ADDRESS(MATCH(K$2,Profile!$C$1:$C$20,0),MATCH($I42,Profile!$1:$1,0)))))</f>
        <v/>
      </c>
      <c r="L42" s="3" t="str" cm="1">
        <f t="array" aca="1" ref="L42" ca="1">IF($J42="","",IF(INDIRECT("Profile"&amp;"!"&amp;ADDRESS(MATCH(L$2,Profile!$C$1:$C$20,0),MATCH($I42,Profile!$1:$1,0),4))="","",INDIRECT("Profile"&amp;"!"&amp;ADDRESS(MATCH(L$2,Profile!$C$1:$C$20,0),MATCH($I42,Profile!$1:$1,0)))))</f>
        <v/>
      </c>
      <c r="M42" s="9" t="str" cm="1">
        <f t="array" aca="1" ref="M42" ca="1">IF($J42="","",IF(INDIRECT("Profile"&amp;"!"&amp;ADDRESS(MATCH(M$2,Profile!$C$1:$C$20,0),MATCH($I42,Profile!$1:$1,0),4))="","",INDIRECT("Profile"&amp;"!"&amp;ADDRESS(MATCH(M$2,Profile!$C$1:$C$20,0),MATCH($I42,Profile!$1:$1,0)))))</f>
        <v/>
      </c>
      <c r="N42" s="3" t="str" cm="1">
        <f t="array" aca="1" ref="N42" ca="1">IF($J42="","",IF(INDIRECT("Profile"&amp;"!"&amp;ADDRESS(MATCH(N$2,Profile!$C$1:$C$20,0),MATCH($I42,Profile!$1:$1,0),4))="","",INDIRECT("Profile"&amp;"!"&amp;ADDRESS(MATCH(N$2,Profile!$C$1:$C$20,0),MATCH($I42,Profile!$1:$1,0)))))</f>
        <v/>
      </c>
      <c r="O42" s="3" t="str" cm="1">
        <f t="array" aca="1" ref="O42" ca="1">IFERROR(IF($J42="","",INDIRECT("Profile"&amp;"!"&amp;ADDRESS(MATCH(O$2,Profile!$C$1:$C$20,0),MATCH($I42,Profile!$1:$1,0),4))),"")</f>
        <v/>
      </c>
      <c r="P42" s="9" t="str" cm="1">
        <f t="array" aca="1" ref="P42" ca="1">IFERROR(IF($J42="","",INDIRECT("Profile"&amp;"!"&amp;ADDRESS(MATCH(P$2,Profile!$C$1:$C$20,0),MATCH($I42,Profile!$1:$1,0),4))),"")</f>
        <v/>
      </c>
      <c r="Q42" s="3" t="str" cm="1">
        <f t="array" aca="1" ref="Q42" ca="1">IFERROR(IF($J42="","",INDIRECT("Profile"&amp;"!"&amp;ADDRESS(MATCH(Q$2,Profile!$C$1:$C$20,0),MATCH($I42,Profile!$1:$1,0),4))),"")</f>
        <v/>
      </c>
      <c r="R42" s="3" t="str" cm="1">
        <f t="array" aca="1" ref="R42" ca="1">IFERROR(IF($J42="","",INDIRECT("Profile"&amp;"!"&amp;ADDRESS(MATCH(R$2,Profile!$C$1:$C$20,0),MATCH($I42,Profile!$1:$1,0),4))),"")</f>
        <v/>
      </c>
      <c r="S42" s="3" t="str" cm="1">
        <f t="array" aca="1" ref="S42" ca="1">IFERROR(IF($J42="","",INDIRECT("Profile"&amp;"!"&amp;ADDRESS(MATCH(S$2,Profile!$C$1:$C$20,0),MATCH($I42,Profile!$1:$1,0),4))),"")</f>
        <v/>
      </c>
      <c r="T42" s="3" t="str" cm="1">
        <f t="array" aca="1" ref="T42" ca="1">IFERROR(IF($J42="","",INDIRECT("Profile"&amp;"!"&amp;ADDRESS(MATCH(T$2,Profile!$C$1:$C$20,0),MATCH($I42,Profile!$1:$1,0),4))),"")</f>
        <v/>
      </c>
      <c r="U42" s="38" t="str" cm="1">
        <f t="array" aca="1" ref="U42" ca="1">IFERROR(IF(INDIRECT("ID"&amp;"!"&amp;ADDRESS(MATCH($J42,ID!$B:$B,0),MATCH($U$1,ID!$1:$1,0),4))="","",INDIRECT("ID"&amp;"!"&amp;ADDRESS(MATCH($J42,ID!$B:$B,0),MATCH($U$1,ID!$1:$1,0),4))),"")</f>
        <v/>
      </c>
    </row>
    <row r="43" spans="9:40" x14ac:dyDescent="0.25">
      <c r="I43" s="7">
        <v>40</v>
      </c>
      <c r="J43" s="7" t="str" cm="1">
        <f t="array" aca="1" ref="J43" ca="1">IFERROR(IF(INDIRECT("Profile"&amp;"!"&amp;ADDRESS(MATCH(J$1,Profile!$A$1:$A$20,0),MATCH($I43,Profile!$1:$1,0),4))="","",INDIRECT("Profile"&amp;"!"&amp;ADDRESS(MATCH(J$1,Profile!$A$1:$A$20,0),MATCH($I43,Profile!$1:$1,0),4))),"")</f>
        <v/>
      </c>
      <c r="K43" s="9" t="str" cm="1">
        <f t="array" aca="1" ref="K43" ca="1">IF($J43="","",IF(INDIRECT("Profile"&amp;"!"&amp;ADDRESS(MATCH(K$2,Profile!$C$1:$C$20,0),MATCH($I43,Profile!$1:$1,0),4))="","",INDIRECT("Profile"&amp;"!"&amp;ADDRESS(MATCH(K$2,Profile!$C$1:$C$20,0),MATCH($I43,Profile!$1:$1,0)))))</f>
        <v/>
      </c>
      <c r="L43" s="3" t="str" cm="1">
        <f t="array" aca="1" ref="L43" ca="1">IF($J43="","",IF(INDIRECT("Profile"&amp;"!"&amp;ADDRESS(MATCH(L$2,Profile!$C$1:$C$20,0),MATCH($I43,Profile!$1:$1,0),4))="","",INDIRECT("Profile"&amp;"!"&amp;ADDRESS(MATCH(L$2,Profile!$C$1:$C$20,0),MATCH($I43,Profile!$1:$1,0)))))</f>
        <v/>
      </c>
      <c r="M43" s="9" t="str" cm="1">
        <f t="array" aca="1" ref="M43" ca="1">IF($J43="","",IF(INDIRECT("Profile"&amp;"!"&amp;ADDRESS(MATCH(M$2,Profile!$C$1:$C$20,0),MATCH($I43,Profile!$1:$1,0),4))="","",INDIRECT("Profile"&amp;"!"&amp;ADDRESS(MATCH(M$2,Profile!$C$1:$C$20,0),MATCH($I43,Profile!$1:$1,0)))))</f>
        <v/>
      </c>
      <c r="N43" s="3" t="str" cm="1">
        <f t="array" aca="1" ref="N43" ca="1">IF($J43="","",IF(INDIRECT("Profile"&amp;"!"&amp;ADDRESS(MATCH(N$2,Profile!$C$1:$C$20,0),MATCH($I43,Profile!$1:$1,0),4))="","",INDIRECT("Profile"&amp;"!"&amp;ADDRESS(MATCH(N$2,Profile!$C$1:$C$20,0),MATCH($I43,Profile!$1:$1,0)))))</f>
        <v/>
      </c>
      <c r="O43" s="3" t="str" cm="1">
        <f t="array" aca="1" ref="O43" ca="1">IFERROR(IF($J43="","",INDIRECT("Profile"&amp;"!"&amp;ADDRESS(MATCH(O$2,Profile!$C$1:$C$20,0),MATCH($I43,Profile!$1:$1,0),4))),"")</f>
        <v/>
      </c>
      <c r="P43" s="9" t="str" cm="1">
        <f t="array" aca="1" ref="P43" ca="1">IFERROR(IF($J43="","",INDIRECT("Profile"&amp;"!"&amp;ADDRESS(MATCH(P$2,Profile!$C$1:$C$20,0),MATCH($I43,Profile!$1:$1,0),4))),"")</f>
        <v/>
      </c>
      <c r="Q43" s="3" t="str" cm="1">
        <f t="array" aca="1" ref="Q43" ca="1">IFERROR(IF($J43="","",INDIRECT("Profile"&amp;"!"&amp;ADDRESS(MATCH(Q$2,Profile!$C$1:$C$20,0),MATCH($I43,Profile!$1:$1,0),4))),"")</f>
        <v/>
      </c>
      <c r="R43" s="3" t="str" cm="1">
        <f t="array" aca="1" ref="R43" ca="1">IFERROR(IF($J43="","",INDIRECT("Profile"&amp;"!"&amp;ADDRESS(MATCH(R$2,Profile!$C$1:$C$20,0),MATCH($I43,Profile!$1:$1,0),4))),"")</f>
        <v/>
      </c>
      <c r="S43" s="3" t="str" cm="1">
        <f t="array" aca="1" ref="S43" ca="1">IFERROR(IF($J43="","",INDIRECT("Profile"&amp;"!"&amp;ADDRESS(MATCH(S$2,Profile!$C$1:$C$20,0),MATCH($I43,Profile!$1:$1,0),4))),"")</f>
        <v/>
      </c>
      <c r="T43" s="3" t="str" cm="1">
        <f t="array" aca="1" ref="T43" ca="1">IFERROR(IF($J43="","",INDIRECT("Profile"&amp;"!"&amp;ADDRESS(MATCH(T$2,Profile!$C$1:$C$20,0),MATCH($I43,Profile!$1:$1,0),4))),"")</f>
        <v/>
      </c>
      <c r="U43" s="38" t="str" cm="1">
        <f t="array" aca="1" ref="U43" ca="1">IFERROR(IF(INDIRECT("ID"&amp;"!"&amp;ADDRESS(MATCH($J43,ID!$B:$B,0),MATCH($U$1,ID!$1:$1,0),4))="","",INDIRECT("ID"&amp;"!"&amp;ADDRESS(MATCH($J43,ID!$B:$B,0),MATCH($U$1,ID!$1:$1,0),4))),"")</f>
        <v/>
      </c>
    </row>
    <row r="44" spans="9:40" x14ac:dyDescent="0.25">
      <c r="I44" s="7">
        <v>41</v>
      </c>
      <c r="J44" s="7" t="str" cm="1">
        <f t="array" aca="1" ref="J44" ca="1">IFERROR(IF(INDIRECT("Profile"&amp;"!"&amp;ADDRESS(MATCH(J$1,Profile!$A$1:$A$20,0),MATCH($I44,Profile!$1:$1,0),4))="","",INDIRECT("Profile"&amp;"!"&amp;ADDRESS(MATCH(J$1,Profile!$A$1:$A$20,0),MATCH($I44,Profile!$1:$1,0),4))),"")</f>
        <v/>
      </c>
      <c r="K44" s="9" t="str" cm="1">
        <f t="array" aca="1" ref="K44" ca="1">IF($J44="","",IF(INDIRECT("Profile"&amp;"!"&amp;ADDRESS(MATCH(K$2,Profile!$C$1:$C$20,0),MATCH($I44,Profile!$1:$1,0),4))="","",INDIRECT("Profile"&amp;"!"&amp;ADDRESS(MATCH(K$2,Profile!$C$1:$C$20,0),MATCH($I44,Profile!$1:$1,0)))))</f>
        <v/>
      </c>
      <c r="L44" s="3" t="str" cm="1">
        <f t="array" aca="1" ref="L44" ca="1">IF($J44="","",IF(INDIRECT("Profile"&amp;"!"&amp;ADDRESS(MATCH(L$2,Profile!$C$1:$C$20,0),MATCH($I44,Profile!$1:$1,0),4))="","",INDIRECT("Profile"&amp;"!"&amp;ADDRESS(MATCH(L$2,Profile!$C$1:$C$20,0),MATCH($I44,Profile!$1:$1,0)))))</f>
        <v/>
      </c>
      <c r="M44" s="9" t="str" cm="1">
        <f t="array" aca="1" ref="M44" ca="1">IF($J44="","",IF(INDIRECT("Profile"&amp;"!"&amp;ADDRESS(MATCH(M$2,Profile!$C$1:$C$20,0),MATCH($I44,Profile!$1:$1,0),4))="","",INDIRECT("Profile"&amp;"!"&amp;ADDRESS(MATCH(M$2,Profile!$C$1:$C$20,0),MATCH($I44,Profile!$1:$1,0)))))</f>
        <v/>
      </c>
      <c r="N44" s="3" t="str" cm="1">
        <f t="array" aca="1" ref="N44" ca="1">IF($J44="","",IF(INDIRECT("Profile"&amp;"!"&amp;ADDRESS(MATCH(N$2,Profile!$C$1:$C$20,0),MATCH($I44,Profile!$1:$1,0),4))="","",INDIRECT("Profile"&amp;"!"&amp;ADDRESS(MATCH(N$2,Profile!$C$1:$C$20,0),MATCH($I44,Profile!$1:$1,0)))))</f>
        <v/>
      </c>
      <c r="O44" s="3" t="str" cm="1">
        <f t="array" aca="1" ref="O44" ca="1">IFERROR(IF($J44="","",INDIRECT("Profile"&amp;"!"&amp;ADDRESS(MATCH(O$2,Profile!$C$1:$C$20,0),MATCH($I44,Profile!$1:$1,0),4))),"")</f>
        <v/>
      </c>
      <c r="P44" s="9" t="str" cm="1">
        <f t="array" aca="1" ref="P44" ca="1">IFERROR(IF($J44="","",INDIRECT("Profile"&amp;"!"&amp;ADDRESS(MATCH(P$2,Profile!$C$1:$C$20,0),MATCH($I44,Profile!$1:$1,0),4))),"")</f>
        <v/>
      </c>
      <c r="Q44" s="3" t="str" cm="1">
        <f t="array" aca="1" ref="Q44" ca="1">IFERROR(IF($J44="","",INDIRECT("Profile"&amp;"!"&amp;ADDRESS(MATCH(Q$2,Profile!$C$1:$C$20,0),MATCH($I44,Profile!$1:$1,0),4))),"")</f>
        <v/>
      </c>
      <c r="R44" s="3" t="str" cm="1">
        <f t="array" aca="1" ref="R44" ca="1">IFERROR(IF($J44="","",INDIRECT("Profile"&amp;"!"&amp;ADDRESS(MATCH(R$2,Profile!$C$1:$C$20,0),MATCH($I44,Profile!$1:$1,0),4))),"")</f>
        <v/>
      </c>
      <c r="S44" s="3" t="str" cm="1">
        <f t="array" aca="1" ref="S44" ca="1">IFERROR(IF($J44="","",INDIRECT("Profile"&amp;"!"&amp;ADDRESS(MATCH(S$2,Profile!$C$1:$C$20,0),MATCH($I44,Profile!$1:$1,0),4))),"")</f>
        <v/>
      </c>
      <c r="T44" s="3" t="str" cm="1">
        <f t="array" aca="1" ref="T44" ca="1">IFERROR(IF($J44="","",INDIRECT("Profile"&amp;"!"&amp;ADDRESS(MATCH(T$2,Profile!$C$1:$C$20,0),MATCH($I44,Profile!$1:$1,0),4))),"")</f>
        <v/>
      </c>
      <c r="U44" s="38" t="str" cm="1">
        <f t="array" aca="1" ref="U44" ca="1">IFERROR(IF(INDIRECT("ID"&amp;"!"&amp;ADDRESS(MATCH($J44,ID!$B:$B,0),MATCH($U$1,ID!$1:$1,0),4))="","",INDIRECT("ID"&amp;"!"&amp;ADDRESS(MATCH($J44,ID!$B:$B,0),MATCH($U$1,ID!$1:$1,0),4))),"")</f>
        <v/>
      </c>
    </row>
    <row r="45" spans="9:40" x14ac:dyDescent="0.25">
      <c r="I45" s="7">
        <v>42</v>
      </c>
      <c r="J45" s="7" t="str" cm="1">
        <f t="array" aca="1" ref="J45" ca="1">IFERROR(IF(INDIRECT("Profile"&amp;"!"&amp;ADDRESS(MATCH(J$1,Profile!$A$1:$A$20,0),MATCH($I45,Profile!$1:$1,0),4))="","",INDIRECT("Profile"&amp;"!"&amp;ADDRESS(MATCH(J$1,Profile!$A$1:$A$20,0),MATCH($I45,Profile!$1:$1,0),4))),"")</f>
        <v/>
      </c>
      <c r="K45" s="9" t="str" cm="1">
        <f t="array" aca="1" ref="K45" ca="1">IF($J45="","",IF(INDIRECT("Profile"&amp;"!"&amp;ADDRESS(MATCH(K$2,Profile!$C$1:$C$20,0),MATCH($I45,Profile!$1:$1,0),4))="","",INDIRECT("Profile"&amp;"!"&amp;ADDRESS(MATCH(K$2,Profile!$C$1:$C$20,0),MATCH($I45,Profile!$1:$1,0)))))</f>
        <v/>
      </c>
      <c r="L45" s="3" t="str" cm="1">
        <f t="array" aca="1" ref="L45" ca="1">IF($J45="","",IF(INDIRECT("Profile"&amp;"!"&amp;ADDRESS(MATCH(L$2,Profile!$C$1:$C$20,0),MATCH($I45,Profile!$1:$1,0),4))="","",INDIRECT("Profile"&amp;"!"&amp;ADDRESS(MATCH(L$2,Profile!$C$1:$C$20,0),MATCH($I45,Profile!$1:$1,0)))))</f>
        <v/>
      </c>
      <c r="M45" s="9" t="str" cm="1">
        <f t="array" aca="1" ref="M45" ca="1">IF($J45="","",IF(INDIRECT("Profile"&amp;"!"&amp;ADDRESS(MATCH(M$2,Profile!$C$1:$C$20,0),MATCH($I45,Profile!$1:$1,0),4))="","",INDIRECT("Profile"&amp;"!"&amp;ADDRESS(MATCH(M$2,Profile!$C$1:$C$20,0),MATCH($I45,Profile!$1:$1,0)))))</f>
        <v/>
      </c>
      <c r="N45" s="3" t="str" cm="1">
        <f t="array" aca="1" ref="N45" ca="1">IF($J45="","",IF(INDIRECT("Profile"&amp;"!"&amp;ADDRESS(MATCH(N$2,Profile!$C$1:$C$20,0),MATCH($I45,Profile!$1:$1,0),4))="","",INDIRECT("Profile"&amp;"!"&amp;ADDRESS(MATCH(N$2,Profile!$C$1:$C$20,0),MATCH($I45,Profile!$1:$1,0)))))</f>
        <v/>
      </c>
      <c r="O45" s="3" t="str" cm="1">
        <f t="array" aca="1" ref="O45" ca="1">IFERROR(IF($J45="","",INDIRECT("Profile"&amp;"!"&amp;ADDRESS(MATCH(O$2,Profile!$C$1:$C$20,0),MATCH($I45,Profile!$1:$1,0),4))),"")</f>
        <v/>
      </c>
      <c r="P45" s="9" t="str" cm="1">
        <f t="array" aca="1" ref="P45" ca="1">IFERROR(IF($J45="","",INDIRECT("Profile"&amp;"!"&amp;ADDRESS(MATCH(P$2,Profile!$C$1:$C$20,0),MATCH($I45,Profile!$1:$1,0),4))),"")</f>
        <v/>
      </c>
      <c r="Q45" s="3" t="str" cm="1">
        <f t="array" aca="1" ref="Q45" ca="1">IFERROR(IF($J45="","",INDIRECT("Profile"&amp;"!"&amp;ADDRESS(MATCH(Q$2,Profile!$C$1:$C$20,0),MATCH($I45,Profile!$1:$1,0),4))),"")</f>
        <v/>
      </c>
      <c r="R45" s="3" t="str" cm="1">
        <f t="array" aca="1" ref="R45" ca="1">IFERROR(IF($J45="","",INDIRECT("Profile"&amp;"!"&amp;ADDRESS(MATCH(R$2,Profile!$C$1:$C$20,0),MATCH($I45,Profile!$1:$1,0),4))),"")</f>
        <v/>
      </c>
      <c r="S45" s="3" t="str" cm="1">
        <f t="array" aca="1" ref="S45" ca="1">IFERROR(IF($J45="","",INDIRECT("Profile"&amp;"!"&amp;ADDRESS(MATCH(S$2,Profile!$C$1:$C$20,0),MATCH($I45,Profile!$1:$1,0),4))),"")</f>
        <v/>
      </c>
      <c r="T45" s="3" t="str" cm="1">
        <f t="array" aca="1" ref="T45" ca="1">IFERROR(IF($J45="","",INDIRECT("Profile"&amp;"!"&amp;ADDRESS(MATCH(T$2,Profile!$C$1:$C$20,0),MATCH($I45,Profile!$1:$1,0),4))),"")</f>
        <v/>
      </c>
      <c r="U45" s="38" t="str" cm="1">
        <f t="array" aca="1" ref="U45" ca="1">IFERROR(IF(INDIRECT("ID"&amp;"!"&amp;ADDRESS(MATCH($J45,ID!$B:$B,0),MATCH($U$1,ID!$1:$1,0),4))="","",INDIRECT("ID"&amp;"!"&amp;ADDRESS(MATCH($J45,ID!$B:$B,0),MATCH($U$1,ID!$1:$1,0),4))),"")</f>
        <v/>
      </c>
    </row>
    <row r="46" spans="9:40" x14ac:dyDescent="0.25">
      <c r="I46" s="7">
        <v>43</v>
      </c>
      <c r="J46" s="7" t="str" cm="1">
        <f t="array" aca="1" ref="J46" ca="1">IFERROR(IF(INDIRECT("Profile"&amp;"!"&amp;ADDRESS(MATCH(J$1,Profile!$A$1:$A$20,0),MATCH($I46,Profile!$1:$1,0),4))="","",INDIRECT("Profile"&amp;"!"&amp;ADDRESS(MATCH(J$1,Profile!$A$1:$A$20,0),MATCH($I46,Profile!$1:$1,0),4))),"")</f>
        <v/>
      </c>
      <c r="K46" s="9" t="str" cm="1">
        <f t="array" aca="1" ref="K46" ca="1">IF($J46="","",IF(INDIRECT("Profile"&amp;"!"&amp;ADDRESS(MATCH(K$2,Profile!$C$1:$C$20,0),MATCH($I46,Profile!$1:$1,0),4))="","",INDIRECT("Profile"&amp;"!"&amp;ADDRESS(MATCH(K$2,Profile!$C$1:$C$20,0),MATCH($I46,Profile!$1:$1,0)))))</f>
        <v/>
      </c>
      <c r="L46" s="3" t="str" cm="1">
        <f t="array" aca="1" ref="L46" ca="1">IF($J46="","",IF(INDIRECT("Profile"&amp;"!"&amp;ADDRESS(MATCH(L$2,Profile!$C$1:$C$20,0),MATCH($I46,Profile!$1:$1,0),4))="","",INDIRECT("Profile"&amp;"!"&amp;ADDRESS(MATCH(L$2,Profile!$C$1:$C$20,0),MATCH($I46,Profile!$1:$1,0)))))</f>
        <v/>
      </c>
      <c r="M46" s="9" t="str" cm="1">
        <f t="array" aca="1" ref="M46" ca="1">IF($J46="","",IF(INDIRECT("Profile"&amp;"!"&amp;ADDRESS(MATCH(M$2,Profile!$C$1:$C$20,0),MATCH($I46,Profile!$1:$1,0),4))="","",INDIRECT("Profile"&amp;"!"&amp;ADDRESS(MATCH(M$2,Profile!$C$1:$C$20,0),MATCH($I46,Profile!$1:$1,0)))))</f>
        <v/>
      </c>
      <c r="N46" s="3" t="str" cm="1">
        <f t="array" aca="1" ref="N46" ca="1">IF($J46="","",IF(INDIRECT("Profile"&amp;"!"&amp;ADDRESS(MATCH(N$2,Profile!$C$1:$C$20,0),MATCH($I46,Profile!$1:$1,0),4))="","",INDIRECT("Profile"&amp;"!"&amp;ADDRESS(MATCH(N$2,Profile!$C$1:$C$20,0),MATCH($I46,Profile!$1:$1,0)))))</f>
        <v/>
      </c>
      <c r="O46" s="3" t="str" cm="1">
        <f t="array" aca="1" ref="O46" ca="1">IFERROR(IF($J46="","",INDIRECT("Profile"&amp;"!"&amp;ADDRESS(MATCH(O$2,Profile!$C$1:$C$20,0),MATCH($I46,Profile!$1:$1,0),4))),"")</f>
        <v/>
      </c>
      <c r="P46" s="9" t="str" cm="1">
        <f t="array" aca="1" ref="P46" ca="1">IFERROR(IF($J46="","",INDIRECT("Profile"&amp;"!"&amp;ADDRESS(MATCH(P$2,Profile!$C$1:$C$20,0),MATCH($I46,Profile!$1:$1,0),4))),"")</f>
        <v/>
      </c>
      <c r="Q46" s="3" t="str" cm="1">
        <f t="array" aca="1" ref="Q46" ca="1">IFERROR(IF($J46="","",INDIRECT("Profile"&amp;"!"&amp;ADDRESS(MATCH(Q$2,Profile!$C$1:$C$20,0),MATCH($I46,Profile!$1:$1,0),4))),"")</f>
        <v/>
      </c>
      <c r="R46" s="3" t="str" cm="1">
        <f t="array" aca="1" ref="R46" ca="1">IFERROR(IF($J46="","",INDIRECT("Profile"&amp;"!"&amp;ADDRESS(MATCH(R$2,Profile!$C$1:$C$20,0),MATCH($I46,Profile!$1:$1,0),4))),"")</f>
        <v/>
      </c>
      <c r="S46" s="3" t="str" cm="1">
        <f t="array" aca="1" ref="S46" ca="1">IFERROR(IF($J46="","",INDIRECT("Profile"&amp;"!"&amp;ADDRESS(MATCH(S$2,Profile!$C$1:$C$20,0),MATCH($I46,Profile!$1:$1,0),4))),"")</f>
        <v/>
      </c>
      <c r="T46" s="3" t="str" cm="1">
        <f t="array" aca="1" ref="T46" ca="1">IFERROR(IF($J46="","",INDIRECT("Profile"&amp;"!"&amp;ADDRESS(MATCH(T$2,Profile!$C$1:$C$20,0),MATCH($I46,Profile!$1:$1,0),4))),"")</f>
        <v/>
      </c>
      <c r="U46" s="38" t="str" cm="1">
        <f t="array" aca="1" ref="U46" ca="1">IFERROR(IF(INDIRECT("ID"&amp;"!"&amp;ADDRESS(MATCH($J46,ID!$B:$B,0),MATCH($U$1,ID!$1:$1,0),4))="","",INDIRECT("ID"&amp;"!"&amp;ADDRESS(MATCH($J46,ID!$B:$B,0),MATCH($U$1,ID!$1:$1,0),4))),"")</f>
        <v/>
      </c>
    </row>
    <row r="47" spans="9:40" x14ac:dyDescent="0.25">
      <c r="I47" s="7">
        <v>44</v>
      </c>
      <c r="J47" s="7" t="str" cm="1">
        <f t="array" aca="1" ref="J47" ca="1">IFERROR(IF(INDIRECT("Profile"&amp;"!"&amp;ADDRESS(MATCH(J$1,Profile!$A$1:$A$20,0),MATCH($I47,Profile!$1:$1,0),4))="","",INDIRECT("Profile"&amp;"!"&amp;ADDRESS(MATCH(J$1,Profile!$A$1:$A$20,0),MATCH($I47,Profile!$1:$1,0),4))),"")</f>
        <v/>
      </c>
      <c r="K47" s="9" t="str" cm="1">
        <f t="array" aca="1" ref="K47" ca="1">IF($J47="","",IF(INDIRECT("Profile"&amp;"!"&amp;ADDRESS(MATCH(K$2,Profile!$C$1:$C$20,0),MATCH($I47,Profile!$1:$1,0),4))="","",INDIRECT("Profile"&amp;"!"&amp;ADDRESS(MATCH(K$2,Profile!$C$1:$C$20,0),MATCH($I47,Profile!$1:$1,0)))))</f>
        <v/>
      </c>
      <c r="L47" s="3" t="str" cm="1">
        <f t="array" aca="1" ref="L47" ca="1">IF($J47="","",IF(INDIRECT("Profile"&amp;"!"&amp;ADDRESS(MATCH(L$2,Profile!$C$1:$C$20,0),MATCH($I47,Profile!$1:$1,0),4))="","",INDIRECT("Profile"&amp;"!"&amp;ADDRESS(MATCH(L$2,Profile!$C$1:$C$20,0),MATCH($I47,Profile!$1:$1,0)))))</f>
        <v/>
      </c>
      <c r="M47" s="9" t="str" cm="1">
        <f t="array" aca="1" ref="M47" ca="1">IF($J47="","",IF(INDIRECT("Profile"&amp;"!"&amp;ADDRESS(MATCH(M$2,Profile!$C$1:$C$20,0),MATCH($I47,Profile!$1:$1,0),4))="","",INDIRECT("Profile"&amp;"!"&amp;ADDRESS(MATCH(M$2,Profile!$C$1:$C$20,0),MATCH($I47,Profile!$1:$1,0)))))</f>
        <v/>
      </c>
      <c r="N47" s="3" t="str" cm="1">
        <f t="array" aca="1" ref="N47" ca="1">IF($J47="","",IF(INDIRECT("Profile"&amp;"!"&amp;ADDRESS(MATCH(N$2,Profile!$C$1:$C$20,0),MATCH($I47,Profile!$1:$1,0),4))="","",INDIRECT("Profile"&amp;"!"&amp;ADDRESS(MATCH(N$2,Profile!$C$1:$C$20,0),MATCH($I47,Profile!$1:$1,0)))))</f>
        <v/>
      </c>
      <c r="O47" s="3" t="str" cm="1">
        <f t="array" aca="1" ref="O47" ca="1">IFERROR(IF($J47="","",INDIRECT("Profile"&amp;"!"&amp;ADDRESS(MATCH(O$2,Profile!$C$1:$C$20,0),MATCH($I47,Profile!$1:$1,0),4))),"")</f>
        <v/>
      </c>
      <c r="P47" s="9" t="str" cm="1">
        <f t="array" aca="1" ref="P47" ca="1">IFERROR(IF($J47="","",INDIRECT("Profile"&amp;"!"&amp;ADDRESS(MATCH(P$2,Profile!$C$1:$C$20,0),MATCH($I47,Profile!$1:$1,0),4))),"")</f>
        <v/>
      </c>
      <c r="Q47" s="3" t="str" cm="1">
        <f t="array" aca="1" ref="Q47" ca="1">IFERROR(IF($J47="","",INDIRECT("Profile"&amp;"!"&amp;ADDRESS(MATCH(Q$2,Profile!$C$1:$C$20,0),MATCH($I47,Profile!$1:$1,0),4))),"")</f>
        <v/>
      </c>
      <c r="R47" s="3" t="str" cm="1">
        <f t="array" aca="1" ref="R47" ca="1">IFERROR(IF($J47="","",INDIRECT("Profile"&amp;"!"&amp;ADDRESS(MATCH(R$2,Profile!$C$1:$C$20,0),MATCH($I47,Profile!$1:$1,0),4))),"")</f>
        <v/>
      </c>
      <c r="S47" s="3" t="str" cm="1">
        <f t="array" aca="1" ref="S47" ca="1">IFERROR(IF($J47="","",INDIRECT("Profile"&amp;"!"&amp;ADDRESS(MATCH(S$2,Profile!$C$1:$C$20,0),MATCH($I47,Profile!$1:$1,0),4))),"")</f>
        <v/>
      </c>
      <c r="T47" s="3" t="str" cm="1">
        <f t="array" aca="1" ref="T47" ca="1">IFERROR(IF($J47="","",INDIRECT("Profile"&amp;"!"&amp;ADDRESS(MATCH(T$2,Profile!$C$1:$C$20,0),MATCH($I47,Profile!$1:$1,0),4))),"")</f>
        <v/>
      </c>
      <c r="U47" s="38" t="str" cm="1">
        <f t="array" aca="1" ref="U47" ca="1">IFERROR(IF(INDIRECT("ID"&amp;"!"&amp;ADDRESS(MATCH($J47,ID!$B:$B,0),MATCH($U$1,ID!$1:$1,0),4))="","",INDIRECT("ID"&amp;"!"&amp;ADDRESS(MATCH($J47,ID!$B:$B,0),MATCH($U$1,ID!$1:$1,0),4))),"")</f>
        <v/>
      </c>
    </row>
    <row r="48" spans="9:40" x14ac:dyDescent="0.25">
      <c r="I48" s="7">
        <v>45</v>
      </c>
      <c r="J48" s="7" t="str" cm="1">
        <f t="array" aca="1" ref="J48" ca="1">IFERROR(IF(INDIRECT("Profile"&amp;"!"&amp;ADDRESS(MATCH(J$1,Profile!$A$1:$A$20,0),MATCH($I48,Profile!$1:$1,0),4))="","",INDIRECT("Profile"&amp;"!"&amp;ADDRESS(MATCH(J$1,Profile!$A$1:$A$20,0),MATCH($I48,Profile!$1:$1,0),4))),"")</f>
        <v/>
      </c>
      <c r="K48" s="9" t="str" cm="1">
        <f t="array" aca="1" ref="K48" ca="1">IF($J48="","",IF(INDIRECT("Profile"&amp;"!"&amp;ADDRESS(MATCH(K$2,Profile!$C$1:$C$20,0),MATCH($I48,Profile!$1:$1,0),4))="","",INDIRECT("Profile"&amp;"!"&amp;ADDRESS(MATCH(K$2,Profile!$C$1:$C$20,0),MATCH($I48,Profile!$1:$1,0)))))</f>
        <v/>
      </c>
      <c r="L48" s="3" t="str" cm="1">
        <f t="array" aca="1" ref="L48" ca="1">IF($J48="","",IF(INDIRECT("Profile"&amp;"!"&amp;ADDRESS(MATCH(L$2,Profile!$C$1:$C$20,0),MATCH($I48,Profile!$1:$1,0),4))="","",INDIRECT("Profile"&amp;"!"&amp;ADDRESS(MATCH(L$2,Profile!$C$1:$C$20,0),MATCH($I48,Profile!$1:$1,0)))))</f>
        <v/>
      </c>
      <c r="M48" s="9" t="str" cm="1">
        <f t="array" aca="1" ref="M48" ca="1">IF($J48="","",IF(INDIRECT("Profile"&amp;"!"&amp;ADDRESS(MATCH(M$2,Profile!$C$1:$C$20,0),MATCH($I48,Profile!$1:$1,0),4))="","",INDIRECT("Profile"&amp;"!"&amp;ADDRESS(MATCH(M$2,Profile!$C$1:$C$20,0),MATCH($I48,Profile!$1:$1,0)))))</f>
        <v/>
      </c>
      <c r="N48" s="3" t="str" cm="1">
        <f t="array" aca="1" ref="N48" ca="1">IF($J48="","",IF(INDIRECT("Profile"&amp;"!"&amp;ADDRESS(MATCH(N$2,Profile!$C$1:$C$20,0),MATCH($I48,Profile!$1:$1,0),4))="","",INDIRECT("Profile"&amp;"!"&amp;ADDRESS(MATCH(N$2,Profile!$C$1:$C$20,0),MATCH($I48,Profile!$1:$1,0)))))</f>
        <v/>
      </c>
      <c r="O48" s="3" t="str" cm="1">
        <f t="array" aca="1" ref="O48" ca="1">IFERROR(IF($J48="","",INDIRECT("Profile"&amp;"!"&amp;ADDRESS(MATCH(O$2,Profile!$C$1:$C$20,0),MATCH($I48,Profile!$1:$1,0),4))),"")</f>
        <v/>
      </c>
      <c r="P48" s="9" t="str" cm="1">
        <f t="array" aca="1" ref="P48" ca="1">IFERROR(IF($J48="","",INDIRECT("Profile"&amp;"!"&amp;ADDRESS(MATCH(P$2,Profile!$C$1:$C$20,0),MATCH($I48,Profile!$1:$1,0),4))),"")</f>
        <v/>
      </c>
      <c r="Q48" s="3" t="str" cm="1">
        <f t="array" aca="1" ref="Q48" ca="1">IFERROR(IF($J48="","",INDIRECT("Profile"&amp;"!"&amp;ADDRESS(MATCH(Q$2,Profile!$C$1:$C$20,0),MATCH($I48,Profile!$1:$1,0),4))),"")</f>
        <v/>
      </c>
      <c r="R48" s="3" t="str" cm="1">
        <f t="array" aca="1" ref="R48" ca="1">IFERROR(IF($J48="","",INDIRECT("Profile"&amp;"!"&amp;ADDRESS(MATCH(R$2,Profile!$C$1:$C$20,0),MATCH($I48,Profile!$1:$1,0),4))),"")</f>
        <v/>
      </c>
      <c r="S48" s="3" t="str" cm="1">
        <f t="array" aca="1" ref="S48" ca="1">IFERROR(IF($J48="","",INDIRECT("Profile"&amp;"!"&amp;ADDRESS(MATCH(S$2,Profile!$C$1:$C$20,0),MATCH($I48,Profile!$1:$1,0),4))),"")</f>
        <v/>
      </c>
      <c r="T48" s="3" t="str" cm="1">
        <f t="array" aca="1" ref="T48" ca="1">IFERROR(IF($J48="","",INDIRECT("Profile"&amp;"!"&amp;ADDRESS(MATCH(T$2,Profile!$C$1:$C$20,0),MATCH($I48,Profile!$1:$1,0),4))),"")</f>
        <v/>
      </c>
      <c r="U48" s="38" t="str" cm="1">
        <f t="array" aca="1" ref="U48" ca="1">IFERROR(IF(INDIRECT("ID"&amp;"!"&amp;ADDRESS(MATCH($J48,ID!$B:$B,0),MATCH($U$1,ID!$1:$1,0),4))="","",INDIRECT("ID"&amp;"!"&amp;ADDRESS(MATCH($J48,ID!$B:$B,0),MATCH($U$1,ID!$1:$1,0),4))),"")</f>
        <v/>
      </c>
    </row>
    <row r="49" spans="9:21" x14ac:dyDescent="0.25">
      <c r="I49" s="7">
        <v>46</v>
      </c>
      <c r="J49" s="7" t="str" cm="1">
        <f t="array" aca="1" ref="J49" ca="1">IFERROR(IF(INDIRECT("Profile"&amp;"!"&amp;ADDRESS(MATCH(J$1,Profile!$A$1:$A$20,0),MATCH($I49,Profile!$1:$1,0),4))="","",INDIRECT("Profile"&amp;"!"&amp;ADDRESS(MATCH(J$1,Profile!$A$1:$A$20,0),MATCH($I49,Profile!$1:$1,0),4))),"")</f>
        <v/>
      </c>
      <c r="K49" s="9" t="str" cm="1">
        <f t="array" aca="1" ref="K49" ca="1">IF($J49="","",IF(INDIRECT("Profile"&amp;"!"&amp;ADDRESS(MATCH(K$2,Profile!$C$1:$C$20,0),MATCH($I49,Profile!$1:$1,0),4))="","",INDIRECT("Profile"&amp;"!"&amp;ADDRESS(MATCH(K$2,Profile!$C$1:$C$20,0),MATCH($I49,Profile!$1:$1,0)))))</f>
        <v/>
      </c>
      <c r="L49" s="3" t="str" cm="1">
        <f t="array" aca="1" ref="L49" ca="1">IF($J49="","",IF(INDIRECT("Profile"&amp;"!"&amp;ADDRESS(MATCH(L$2,Profile!$C$1:$C$20,0),MATCH($I49,Profile!$1:$1,0),4))="","",INDIRECT("Profile"&amp;"!"&amp;ADDRESS(MATCH(L$2,Profile!$C$1:$C$20,0),MATCH($I49,Profile!$1:$1,0)))))</f>
        <v/>
      </c>
      <c r="M49" s="9" t="str" cm="1">
        <f t="array" aca="1" ref="M49" ca="1">IF($J49="","",IF(INDIRECT("Profile"&amp;"!"&amp;ADDRESS(MATCH(M$2,Profile!$C$1:$C$20,0),MATCH($I49,Profile!$1:$1,0),4))="","",INDIRECT("Profile"&amp;"!"&amp;ADDRESS(MATCH(M$2,Profile!$C$1:$C$20,0),MATCH($I49,Profile!$1:$1,0)))))</f>
        <v/>
      </c>
      <c r="N49" s="3" t="str" cm="1">
        <f t="array" aca="1" ref="N49" ca="1">IF($J49="","",IF(INDIRECT("Profile"&amp;"!"&amp;ADDRESS(MATCH(N$2,Profile!$C$1:$C$20,0),MATCH($I49,Profile!$1:$1,0),4))="","",INDIRECT("Profile"&amp;"!"&amp;ADDRESS(MATCH(N$2,Profile!$C$1:$C$20,0),MATCH($I49,Profile!$1:$1,0)))))</f>
        <v/>
      </c>
      <c r="O49" s="3" t="str" cm="1">
        <f t="array" aca="1" ref="O49" ca="1">IFERROR(IF($J49="","",INDIRECT("Profile"&amp;"!"&amp;ADDRESS(MATCH(O$2,Profile!$C$1:$C$20,0),MATCH($I49,Profile!$1:$1,0),4))),"")</f>
        <v/>
      </c>
      <c r="P49" s="9" t="str" cm="1">
        <f t="array" aca="1" ref="P49" ca="1">IFERROR(IF($J49="","",INDIRECT("Profile"&amp;"!"&amp;ADDRESS(MATCH(P$2,Profile!$C$1:$C$20,0),MATCH($I49,Profile!$1:$1,0),4))),"")</f>
        <v/>
      </c>
      <c r="Q49" s="3" t="str" cm="1">
        <f t="array" aca="1" ref="Q49" ca="1">IFERROR(IF($J49="","",INDIRECT("Profile"&amp;"!"&amp;ADDRESS(MATCH(Q$2,Profile!$C$1:$C$20,0),MATCH($I49,Profile!$1:$1,0),4))),"")</f>
        <v/>
      </c>
      <c r="R49" s="3" t="str" cm="1">
        <f t="array" aca="1" ref="R49" ca="1">IFERROR(IF($J49="","",INDIRECT("Profile"&amp;"!"&amp;ADDRESS(MATCH(R$2,Profile!$C$1:$C$20,0),MATCH($I49,Profile!$1:$1,0),4))),"")</f>
        <v/>
      </c>
      <c r="S49" s="3" t="str" cm="1">
        <f t="array" aca="1" ref="S49" ca="1">IFERROR(IF($J49="","",INDIRECT("Profile"&amp;"!"&amp;ADDRESS(MATCH(S$2,Profile!$C$1:$C$20,0),MATCH($I49,Profile!$1:$1,0),4))),"")</f>
        <v/>
      </c>
      <c r="T49" s="3" t="str" cm="1">
        <f t="array" aca="1" ref="T49" ca="1">IFERROR(IF($J49="","",INDIRECT("Profile"&amp;"!"&amp;ADDRESS(MATCH(T$2,Profile!$C$1:$C$20,0),MATCH($I49,Profile!$1:$1,0),4))),"")</f>
        <v/>
      </c>
      <c r="U49" s="38" t="str" cm="1">
        <f t="array" aca="1" ref="U49" ca="1">IFERROR(IF(INDIRECT("ID"&amp;"!"&amp;ADDRESS(MATCH($J49,ID!$B:$B,0),MATCH($U$1,ID!$1:$1,0),4))="","",INDIRECT("ID"&amp;"!"&amp;ADDRESS(MATCH($J49,ID!$B:$B,0),MATCH($U$1,ID!$1:$1,0),4))),"")</f>
        <v/>
      </c>
    </row>
    <row r="50" spans="9:21" x14ac:dyDescent="0.25">
      <c r="I50" s="7">
        <v>47</v>
      </c>
      <c r="J50" s="7" t="str" cm="1">
        <f t="array" aca="1" ref="J50" ca="1">IFERROR(IF(INDIRECT("Profile"&amp;"!"&amp;ADDRESS(MATCH(J$1,Profile!$A$1:$A$20,0),MATCH($I50,Profile!$1:$1,0),4))="","",INDIRECT("Profile"&amp;"!"&amp;ADDRESS(MATCH(J$1,Profile!$A$1:$A$20,0),MATCH($I50,Profile!$1:$1,0),4))),"")</f>
        <v/>
      </c>
      <c r="K50" s="9" t="str" cm="1">
        <f t="array" aca="1" ref="K50" ca="1">IF($J50="","",IF(INDIRECT("Profile"&amp;"!"&amp;ADDRESS(MATCH(K$2,Profile!$C$1:$C$20,0),MATCH($I50,Profile!$1:$1,0),4))="","",INDIRECT("Profile"&amp;"!"&amp;ADDRESS(MATCH(K$2,Profile!$C$1:$C$20,0),MATCH($I50,Profile!$1:$1,0)))))</f>
        <v/>
      </c>
      <c r="L50" s="3" t="str" cm="1">
        <f t="array" aca="1" ref="L50" ca="1">IF($J50="","",IF(INDIRECT("Profile"&amp;"!"&amp;ADDRESS(MATCH(L$2,Profile!$C$1:$C$20,0),MATCH($I50,Profile!$1:$1,0),4))="","",INDIRECT("Profile"&amp;"!"&amp;ADDRESS(MATCH(L$2,Profile!$C$1:$C$20,0),MATCH($I50,Profile!$1:$1,0)))))</f>
        <v/>
      </c>
      <c r="M50" s="9" t="str" cm="1">
        <f t="array" aca="1" ref="M50" ca="1">IF($J50="","",IF(INDIRECT("Profile"&amp;"!"&amp;ADDRESS(MATCH(M$2,Profile!$C$1:$C$20,0),MATCH($I50,Profile!$1:$1,0),4))="","",INDIRECT("Profile"&amp;"!"&amp;ADDRESS(MATCH(M$2,Profile!$C$1:$C$20,0),MATCH($I50,Profile!$1:$1,0)))))</f>
        <v/>
      </c>
      <c r="N50" s="3" t="str" cm="1">
        <f t="array" aca="1" ref="N50" ca="1">IF($J50="","",IF(INDIRECT("Profile"&amp;"!"&amp;ADDRESS(MATCH(N$2,Profile!$C$1:$C$20,0),MATCH($I50,Profile!$1:$1,0),4))="","",INDIRECT("Profile"&amp;"!"&amp;ADDRESS(MATCH(N$2,Profile!$C$1:$C$20,0),MATCH($I50,Profile!$1:$1,0)))))</f>
        <v/>
      </c>
      <c r="O50" s="3" t="str" cm="1">
        <f t="array" aca="1" ref="O50" ca="1">IFERROR(IF($J50="","",INDIRECT("Profile"&amp;"!"&amp;ADDRESS(MATCH(O$2,Profile!$C$1:$C$20,0),MATCH($I50,Profile!$1:$1,0),4))),"")</f>
        <v/>
      </c>
      <c r="P50" s="9" t="str" cm="1">
        <f t="array" aca="1" ref="P50" ca="1">IFERROR(IF($J50="","",INDIRECT("Profile"&amp;"!"&amp;ADDRESS(MATCH(P$2,Profile!$C$1:$C$20,0),MATCH($I50,Profile!$1:$1,0),4))),"")</f>
        <v/>
      </c>
      <c r="Q50" s="3" t="str" cm="1">
        <f t="array" aca="1" ref="Q50" ca="1">IFERROR(IF($J50="","",INDIRECT("Profile"&amp;"!"&amp;ADDRESS(MATCH(Q$2,Profile!$C$1:$C$20,0),MATCH($I50,Profile!$1:$1,0),4))),"")</f>
        <v/>
      </c>
      <c r="R50" s="3" t="str" cm="1">
        <f t="array" aca="1" ref="R50" ca="1">IFERROR(IF($J50="","",INDIRECT("Profile"&amp;"!"&amp;ADDRESS(MATCH(R$2,Profile!$C$1:$C$20,0),MATCH($I50,Profile!$1:$1,0),4))),"")</f>
        <v/>
      </c>
      <c r="S50" s="3" t="str" cm="1">
        <f t="array" aca="1" ref="S50" ca="1">IFERROR(IF($J50="","",INDIRECT("Profile"&amp;"!"&amp;ADDRESS(MATCH(S$2,Profile!$C$1:$C$20,0),MATCH($I50,Profile!$1:$1,0),4))),"")</f>
        <v/>
      </c>
      <c r="T50" s="3" t="str" cm="1">
        <f t="array" aca="1" ref="T50" ca="1">IFERROR(IF($J50="","",INDIRECT("Profile"&amp;"!"&amp;ADDRESS(MATCH(T$2,Profile!$C$1:$C$20,0),MATCH($I50,Profile!$1:$1,0),4))),"")</f>
        <v/>
      </c>
      <c r="U50" s="38" t="str" cm="1">
        <f t="array" aca="1" ref="U50" ca="1">IFERROR(IF(INDIRECT("ID"&amp;"!"&amp;ADDRESS(MATCH($J50,ID!$B:$B,0),MATCH($U$1,ID!$1:$1,0),4))="","",INDIRECT("ID"&amp;"!"&amp;ADDRESS(MATCH($J50,ID!$B:$B,0),MATCH($U$1,ID!$1:$1,0),4))),"")</f>
        <v/>
      </c>
    </row>
    <row r="51" spans="9:21" x14ac:dyDescent="0.25">
      <c r="I51" s="7">
        <v>48</v>
      </c>
      <c r="J51" s="7" t="str" cm="1">
        <f t="array" aca="1" ref="J51" ca="1">IFERROR(IF(INDIRECT("Profile"&amp;"!"&amp;ADDRESS(MATCH(J$1,Profile!$A$1:$A$20,0),MATCH($I51,Profile!$1:$1,0),4))="","",INDIRECT("Profile"&amp;"!"&amp;ADDRESS(MATCH(J$1,Profile!$A$1:$A$20,0),MATCH($I51,Profile!$1:$1,0),4))),"")</f>
        <v/>
      </c>
      <c r="K51" s="9" t="str" cm="1">
        <f t="array" aca="1" ref="K51" ca="1">IF($J51="","",IF(INDIRECT("Profile"&amp;"!"&amp;ADDRESS(MATCH(K$2,Profile!$C$1:$C$20,0),MATCH($I51,Profile!$1:$1,0),4))="","",INDIRECT("Profile"&amp;"!"&amp;ADDRESS(MATCH(K$2,Profile!$C$1:$C$20,0),MATCH($I51,Profile!$1:$1,0)))))</f>
        <v/>
      </c>
      <c r="L51" s="3" t="str" cm="1">
        <f t="array" aca="1" ref="L51" ca="1">IF($J51="","",IF(INDIRECT("Profile"&amp;"!"&amp;ADDRESS(MATCH(L$2,Profile!$C$1:$C$20,0),MATCH($I51,Profile!$1:$1,0),4))="","",INDIRECT("Profile"&amp;"!"&amp;ADDRESS(MATCH(L$2,Profile!$C$1:$C$20,0),MATCH($I51,Profile!$1:$1,0)))))</f>
        <v/>
      </c>
      <c r="M51" s="9" t="str" cm="1">
        <f t="array" aca="1" ref="M51" ca="1">IF($J51="","",IF(INDIRECT("Profile"&amp;"!"&amp;ADDRESS(MATCH(M$2,Profile!$C$1:$C$20,0),MATCH($I51,Profile!$1:$1,0),4))="","",INDIRECT("Profile"&amp;"!"&amp;ADDRESS(MATCH(M$2,Profile!$C$1:$C$20,0),MATCH($I51,Profile!$1:$1,0)))))</f>
        <v/>
      </c>
      <c r="N51" s="3" t="str" cm="1">
        <f t="array" aca="1" ref="N51" ca="1">IF($J51="","",IF(INDIRECT("Profile"&amp;"!"&amp;ADDRESS(MATCH(N$2,Profile!$C$1:$C$20,0),MATCH($I51,Profile!$1:$1,0),4))="","",INDIRECT("Profile"&amp;"!"&amp;ADDRESS(MATCH(N$2,Profile!$C$1:$C$20,0),MATCH($I51,Profile!$1:$1,0)))))</f>
        <v/>
      </c>
      <c r="O51" s="3" t="str" cm="1">
        <f t="array" aca="1" ref="O51" ca="1">IFERROR(IF($J51="","",INDIRECT("Profile"&amp;"!"&amp;ADDRESS(MATCH(O$2,Profile!$C$1:$C$20,0),MATCH($I51,Profile!$1:$1,0),4))),"")</f>
        <v/>
      </c>
      <c r="P51" s="9" t="str" cm="1">
        <f t="array" aca="1" ref="P51" ca="1">IFERROR(IF($J51="","",INDIRECT("Profile"&amp;"!"&amp;ADDRESS(MATCH(P$2,Profile!$C$1:$C$20,0),MATCH($I51,Profile!$1:$1,0),4))),"")</f>
        <v/>
      </c>
      <c r="Q51" s="3" t="str" cm="1">
        <f t="array" aca="1" ref="Q51" ca="1">IFERROR(IF($J51="","",INDIRECT("Profile"&amp;"!"&amp;ADDRESS(MATCH(Q$2,Profile!$C$1:$C$20,0),MATCH($I51,Profile!$1:$1,0),4))),"")</f>
        <v/>
      </c>
      <c r="R51" s="3" t="str" cm="1">
        <f t="array" aca="1" ref="R51" ca="1">IFERROR(IF($J51="","",INDIRECT("Profile"&amp;"!"&amp;ADDRESS(MATCH(R$2,Profile!$C$1:$C$20,0),MATCH($I51,Profile!$1:$1,0),4))),"")</f>
        <v/>
      </c>
      <c r="S51" s="3" t="str" cm="1">
        <f t="array" aca="1" ref="S51" ca="1">IFERROR(IF($J51="","",INDIRECT("Profile"&amp;"!"&amp;ADDRESS(MATCH(S$2,Profile!$C$1:$C$20,0),MATCH($I51,Profile!$1:$1,0),4))),"")</f>
        <v/>
      </c>
      <c r="T51" s="3" t="str" cm="1">
        <f t="array" aca="1" ref="T51" ca="1">IFERROR(IF($J51="","",INDIRECT("Profile"&amp;"!"&amp;ADDRESS(MATCH(T$2,Profile!$C$1:$C$20,0),MATCH($I51,Profile!$1:$1,0),4))),"")</f>
        <v/>
      </c>
      <c r="U51" s="38" t="str" cm="1">
        <f t="array" aca="1" ref="U51" ca="1">IFERROR(IF(INDIRECT("ID"&amp;"!"&amp;ADDRESS(MATCH($J51,ID!$B:$B,0),MATCH($U$1,ID!$1:$1,0),4))="","",INDIRECT("ID"&amp;"!"&amp;ADDRESS(MATCH($J51,ID!$B:$B,0),MATCH($U$1,ID!$1:$1,0),4))),"")</f>
        <v/>
      </c>
    </row>
    <row r="52" spans="9:21" x14ac:dyDescent="0.25">
      <c r="I52" s="7">
        <v>49</v>
      </c>
      <c r="J52" s="7" t="str" cm="1">
        <f t="array" aca="1" ref="J52" ca="1">IFERROR(IF(INDIRECT("Profile"&amp;"!"&amp;ADDRESS(MATCH(J$1,Profile!$A$1:$A$20,0),MATCH($I52,Profile!$1:$1,0),4))="","",INDIRECT("Profile"&amp;"!"&amp;ADDRESS(MATCH(J$1,Profile!$A$1:$A$20,0),MATCH($I52,Profile!$1:$1,0),4))),"")</f>
        <v/>
      </c>
      <c r="K52" s="9" t="str" cm="1">
        <f t="array" aca="1" ref="K52" ca="1">IF($J52="","",IF(INDIRECT("Profile"&amp;"!"&amp;ADDRESS(MATCH(K$2,Profile!$C$1:$C$20,0),MATCH($I52,Profile!$1:$1,0),4))="","",INDIRECT("Profile"&amp;"!"&amp;ADDRESS(MATCH(K$2,Profile!$C$1:$C$20,0),MATCH($I52,Profile!$1:$1,0)))))</f>
        <v/>
      </c>
      <c r="L52" s="3" t="str" cm="1">
        <f t="array" aca="1" ref="L52" ca="1">IF($J52="","",IF(INDIRECT("Profile"&amp;"!"&amp;ADDRESS(MATCH(L$2,Profile!$C$1:$C$20,0),MATCH($I52,Profile!$1:$1,0),4))="","",INDIRECT("Profile"&amp;"!"&amp;ADDRESS(MATCH(L$2,Profile!$C$1:$C$20,0),MATCH($I52,Profile!$1:$1,0)))))</f>
        <v/>
      </c>
      <c r="M52" s="9" t="str" cm="1">
        <f t="array" aca="1" ref="M52" ca="1">IF($J52="","",IF(INDIRECT("Profile"&amp;"!"&amp;ADDRESS(MATCH(M$2,Profile!$C$1:$C$20,0),MATCH($I52,Profile!$1:$1,0),4))="","",INDIRECT("Profile"&amp;"!"&amp;ADDRESS(MATCH(M$2,Profile!$C$1:$C$20,0),MATCH($I52,Profile!$1:$1,0)))))</f>
        <v/>
      </c>
      <c r="N52" s="3" t="str" cm="1">
        <f t="array" aca="1" ref="N52" ca="1">IF($J52="","",IF(INDIRECT("Profile"&amp;"!"&amp;ADDRESS(MATCH(N$2,Profile!$C$1:$C$20,0),MATCH($I52,Profile!$1:$1,0),4))="","",INDIRECT("Profile"&amp;"!"&amp;ADDRESS(MATCH(N$2,Profile!$C$1:$C$20,0),MATCH($I52,Profile!$1:$1,0)))))</f>
        <v/>
      </c>
      <c r="O52" s="3" t="str" cm="1">
        <f t="array" aca="1" ref="O52" ca="1">IFERROR(IF($J52="","",INDIRECT("Profile"&amp;"!"&amp;ADDRESS(MATCH(O$2,Profile!$C$1:$C$20,0),MATCH($I52,Profile!$1:$1,0),4))),"")</f>
        <v/>
      </c>
      <c r="P52" s="9" t="str" cm="1">
        <f t="array" aca="1" ref="P52" ca="1">IFERROR(IF($J52="","",INDIRECT("Profile"&amp;"!"&amp;ADDRESS(MATCH(P$2,Profile!$C$1:$C$20,0),MATCH($I52,Profile!$1:$1,0),4))),"")</f>
        <v/>
      </c>
      <c r="Q52" s="3" t="str" cm="1">
        <f t="array" aca="1" ref="Q52" ca="1">IFERROR(IF($J52="","",INDIRECT("Profile"&amp;"!"&amp;ADDRESS(MATCH(Q$2,Profile!$C$1:$C$20,0),MATCH($I52,Profile!$1:$1,0),4))),"")</f>
        <v/>
      </c>
      <c r="R52" s="3" t="str" cm="1">
        <f t="array" aca="1" ref="R52" ca="1">IFERROR(IF($J52="","",INDIRECT("Profile"&amp;"!"&amp;ADDRESS(MATCH(R$2,Profile!$C$1:$C$20,0),MATCH($I52,Profile!$1:$1,0),4))),"")</f>
        <v/>
      </c>
      <c r="S52" s="3" t="str" cm="1">
        <f t="array" aca="1" ref="S52" ca="1">IFERROR(IF($J52="","",INDIRECT("Profile"&amp;"!"&amp;ADDRESS(MATCH(S$2,Profile!$C$1:$C$20,0),MATCH($I52,Profile!$1:$1,0),4))),"")</f>
        <v/>
      </c>
      <c r="T52" s="3" t="str" cm="1">
        <f t="array" aca="1" ref="T52" ca="1">IFERROR(IF($J52="","",INDIRECT("Profile"&amp;"!"&amp;ADDRESS(MATCH(T$2,Profile!$C$1:$C$20,0),MATCH($I52,Profile!$1:$1,0),4))),"")</f>
        <v/>
      </c>
      <c r="U52" s="38" t="str" cm="1">
        <f t="array" aca="1" ref="U52" ca="1">IFERROR(IF(INDIRECT("ID"&amp;"!"&amp;ADDRESS(MATCH($J52,ID!$B:$B,0),MATCH($U$1,ID!$1:$1,0),4))="","",INDIRECT("ID"&amp;"!"&amp;ADDRESS(MATCH($J52,ID!$B:$B,0),MATCH($U$1,ID!$1:$1,0),4))),"")</f>
        <v/>
      </c>
    </row>
    <row r="53" spans="9:21" x14ac:dyDescent="0.25">
      <c r="I53" s="7">
        <v>50</v>
      </c>
      <c r="J53" s="7" t="str" cm="1">
        <f t="array" aca="1" ref="J53" ca="1">IFERROR(IF(INDIRECT("Profile"&amp;"!"&amp;ADDRESS(MATCH(J$1,Profile!$A$1:$A$20,0),MATCH($I53,Profile!$1:$1,0),4))="","",INDIRECT("Profile"&amp;"!"&amp;ADDRESS(MATCH(J$1,Profile!$A$1:$A$20,0),MATCH($I53,Profile!$1:$1,0),4))),"")</f>
        <v/>
      </c>
      <c r="K53" s="9" t="str" cm="1">
        <f t="array" aca="1" ref="K53" ca="1">IF($J53="","",IF(INDIRECT("Profile"&amp;"!"&amp;ADDRESS(MATCH(K$2,Profile!$C$1:$C$20,0),MATCH($I53,Profile!$1:$1,0),4))="","",INDIRECT("Profile"&amp;"!"&amp;ADDRESS(MATCH(K$2,Profile!$C$1:$C$20,0),MATCH($I53,Profile!$1:$1,0)))))</f>
        <v/>
      </c>
      <c r="L53" s="3" t="str" cm="1">
        <f t="array" aca="1" ref="L53" ca="1">IF($J53="","",IF(INDIRECT("Profile"&amp;"!"&amp;ADDRESS(MATCH(L$2,Profile!$C$1:$C$20,0),MATCH($I53,Profile!$1:$1,0),4))="","",INDIRECT("Profile"&amp;"!"&amp;ADDRESS(MATCH(L$2,Profile!$C$1:$C$20,0),MATCH($I53,Profile!$1:$1,0)))))</f>
        <v/>
      </c>
      <c r="M53" s="9" t="str" cm="1">
        <f t="array" aca="1" ref="M53" ca="1">IF($J53="","",IF(INDIRECT("Profile"&amp;"!"&amp;ADDRESS(MATCH(M$2,Profile!$C$1:$C$20,0),MATCH($I53,Profile!$1:$1,0),4))="","",INDIRECT("Profile"&amp;"!"&amp;ADDRESS(MATCH(M$2,Profile!$C$1:$C$20,0),MATCH($I53,Profile!$1:$1,0)))))</f>
        <v/>
      </c>
      <c r="N53" s="3" t="str" cm="1">
        <f t="array" aca="1" ref="N53" ca="1">IF($J53="","",IF(INDIRECT("Profile"&amp;"!"&amp;ADDRESS(MATCH(N$2,Profile!$C$1:$C$20,0),MATCH($I53,Profile!$1:$1,0),4))="","",INDIRECT("Profile"&amp;"!"&amp;ADDRESS(MATCH(N$2,Profile!$C$1:$C$20,0),MATCH($I53,Profile!$1:$1,0)))))</f>
        <v/>
      </c>
      <c r="O53" s="3" t="str" cm="1">
        <f t="array" aca="1" ref="O53" ca="1">IFERROR(IF($J53="","",INDIRECT("Profile"&amp;"!"&amp;ADDRESS(MATCH(O$2,Profile!$C$1:$C$20,0),MATCH($I53,Profile!$1:$1,0),4))),"")</f>
        <v/>
      </c>
      <c r="P53" s="9" t="str" cm="1">
        <f t="array" aca="1" ref="P53" ca="1">IFERROR(IF($J53="","",INDIRECT("Profile"&amp;"!"&amp;ADDRESS(MATCH(P$2,Profile!$C$1:$C$20,0),MATCH($I53,Profile!$1:$1,0),4))),"")</f>
        <v/>
      </c>
      <c r="Q53" s="3" t="str" cm="1">
        <f t="array" aca="1" ref="Q53" ca="1">IFERROR(IF($J53="","",INDIRECT("Profile"&amp;"!"&amp;ADDRESS(MATCH(Q$2,Profile!$C$1:$C$20,0),MATCH($I53,Profile!$1:$1,0),4))),"")</f>
        <v/>
      </c>
      <c r="R53" s="3" t="str" cm="1">
        <f t="array" aca="1" ref="R53" ca="1">IFERROR(IF($J53="","",INDIRECT("Profile"&amp;"!"&amp;ADDRESS(MATCH(R$2,Profile!$C$1:$C$20,0),MATCH($I53,Profile!$1:$1,0),4))),"")</f>
        <v/>
      </c>
      <c r="S53" s="3" t="str" cm="1">
        <f t="array" aca="1" ref="S53" ca="1">IFERROR(IF($J53="","",INDIRECT("Profile"&amp;"!"&amp;ADDRESS(MATCH(S$2,Profile!$C$1:$C$20,0),MATCH($I53,Profile!$1:$1,0),4))),"")</f>
        <v/>
      </c>
      <c r="T53" s="3" t="str" cm="1">
        <f t="array" aca="1" ref="T53" ca="1">IFERROR(IF($J53="","",INDIRECT("Profile"&amp;"!"&amp;ADDRESS(MATCH(T$2,Profile!$C$1:$C$20,0),MATCH($I53,Profile!$1:$1,0),4))),"")</f>
        <v/>
      </c>
      <c r="U53" s="38" t="str" cm="1">
        <f t="array" aca="1" ref="U53" ca="1">IFERROR(IF(INDIRECT("ID"&amp;"!"&amp;ADDRESS(MATCH($J53,ID!$B:$B,0),MATCH($U$1,ID!$1:$1,0),4))="","",INDIRECT("ID"&amp;"!"&amp;ADDRESS(MATCH($J53,ID!$B:$B,0),MATCH($U$1,ID!$1:$1,0),4))),"")</f>
        <v/>
      </c>
    </row>
    <row r="54" spans="9:21" x14ac:dyDescent="0.25">
      <c r="I54" s="7">
        <v>51</v>
      </c>
      <c r="J54" s="7" t="str" cm="1">
        <f t="array" aca="1" ref="J54" ca="1">IFERROR(IF(INDIRECT("Profile"&amp;"!"&amp;ADDRESS(MATCH(J$1,Profile!$A$1:$A$20,0),MATCH($I54,Profile!$1:$1,0),4))="","",INDIRECT("Profile"&amp;"!"&amp;ADDRESS(MATCH(J$1,Profile!$A$1:$A$20,0),MATCH($I54,Profile!$1:$1,0),4))),"")</f>
        <v/>
      </c>
      <c r="K54" s="9" t="str" cm="1">
        <f t="array" aca="1" ref="K54" ca="1">IF($J54="","",IF(INDIRECT("Profile"&amp;"!"&amp;ADDRESS(MATCH(K$2,Profile!$C$1:$C$20,0),MATCH($I54,Profile!$1:$1,0),4))="","",INDIRECT("Profile"&amp;"!"&amp;ADDRESS(MATCH(K$2,Profile!$C$1:$C$20,0),MATCH($I54,Profile!$1:$1,0)))))</f>
        <v/>
      </c>
      <c r="L54" s="3" t="str" cm="1">
        <f t="array" aca="1" ref="L54" ca="1">IF($J54="","",IF(INDIRECT("Profile"&amp;"!"&amp;ADDRESS(MATCH(L$2,Profile!$C$1:$C$20,0),MATCH($I54,Profile!$1:$1,0),4))="","",INDIRECT("Profile"&amp;"!"&amp;ADDRESS(MATCH(L$2,Profile!$C$1:$C$20,0),MATCH($I54,Profile!$1:$1,0)))))</f>
        <v/>
      </c>
      <c r="M54" s="9" t="str" cm="1">
        <f t="array" aca="1" ref="M54" ca="1">IF($J54="","",IF(INDIRECT("Profile"&amp;"!"&amp;ADDRESS(MATCH(M$2,Profile!$C$1:$C$20,0),MATCH($I54,Profile!$1:$1,0),4))="","",INDIRECT("Profile"&amp;"!"&amp;ADDRESS(MATCH(M$2,Profile!$C$1:$C$20,0),MATCH($I54,Profile!$1:$1,0)))))</f>
        <v/>
      </c>
      <c r="N54" s="3" t="str" cm="1">
        <f t="array" aca="1" ref="N54" ca="1">IF($J54="","",IF(INDIRECT("Profile"&amp;"!"&amp;ADDRESS(MATCH(N$2,Profile!$C$1:$C$20,0),MATCH($I54,Profile!$1:$1,0),4))="","",INDIRECT("Profile"&amp;"!"&amp;ADDRESS(MATCH(N$2,Profile!$C$1:$C$20,0),MATCH($I54,Profile!$1:$1,0)))))</f>
        <v/>
      </c>
      <c r="O54" s="3" t="str" cm="1">
        <f t="array" aca="1" ref="O54" ca="1">IFERROR(IF($J54="","",INDIRECT("Profile"&amp;"!"&amp;ADDRESS(MATCH(O$2,Profile!$C$1:$C$20,0),MATCH($I54,Profile!$1:$1,0),4))),"")</f>
        <v/>
      </c>
      <c r="P54" s="9" t="str" cm="1">
        <f t="array" aca="1" ref="P54" ca="1">IFERROR(IF($J54="","",INDIRECT("Profile"&amp;"!"&amp;ADDRESS(MATCH(P$2,Profile!$C$1:$C$20,0),MATCH($I54,Profile!$1:$1,0),4))),"")</f>
        <v/>
      </c>
      <c r="Q54" s="3" t="str" cm="1">
        <f t="array" aca="1" ref="Q54" ca="1">IFERROR(IF($J54="","",INDIRECT("Profile"&amp;"!"&amp;ADDRESS(MATCH(Q$2,Profile!$C$1:$C$20,0),MATCH($I54,Profile!$1:$1,0),4))),"")</f>
        <v/>
      </c>
      <c r="R54" s="3" t="str" cm="1">
        <f t="array" aca="1" ref="R54" ca="1">IFERROR(IF($J54="","",INDIRECT("Profile"&amp;"!"&amp;ADDRESS(MATCH(R$2,Profile!$C$1:$C$20,0),MATCH($I54,Profile!$1:$1,0),4))),"")</f>
        <v/>
      </c>
      <c r="S54" s="3" t="str" cm="1">
        <f t="array" aca="1" ref="S54" ca="1">IFERROR(IF($J54="","",INDIRECT("Profile"&amp;"!"&amp;ADDRESS(MATCH(S$2,Profile!$C$1:$C$20,0),MATCH($I54,Profile!$1:$1,0),4))),"")</f>
        <v/>
      </c>
      <c r="T54" s="3" t="str" cm="1">
        <f t="array" aca="1" ref="T54" ca="1">IFERROR(IF($J54="","",INDIRECT("Profile"&amp;"!"&amp;ADDRESS(MATCH(T$2,Profile!$C$1:$C$20,0),MATCH($I54,Profile!$1:$1,0),4))),"")</f>
        <v/>
      </c>
      <c r="U54" s="38" t="str" cm="1">
        <f t="array" aca="1" ref="U54" ca="1">IFERROR(IF(INDIRECT("ID"&amp;"!"&amp;ADDRESS(MATCH($J54,ID!$B:$B,0),MATCH($U$1,ID!$1:$1,0),4))="","",INDIRECT("ID"&amp;"!"&amp;ADDRESS(MATCH($J54,ID!$B:$B,0),MATCH($U$1,ID!$1:$1,0),4))),"")</f>
        <v/>
      </c>
    </row>
    <row r="55" spans="9:21" x14ac:dyDescent="0.25">
      <c r="I55" s="7">
        <v>52</v>
      </c>
      <c r="J55" s="7" t="str" cm="1">
        <f t="array" aca="1" ref="J55" ca="1">IFERROR(IF(INDIRECT("Profile"&amp;"!"&amp;ADDRESS(MATCH(J$1,Profile!$A$1:$A$20,0),MATCH($I55,Profile!$1:$1,0),4))="","",INDIRECT("Profile"&amp;"!"&amp;ADDRESS(MATCH(J$1,Profile!$A$1:$A$20,0),MATCH($I55,Profile!$1:$1,0),4))),"")</f>
        <v/>
      </c>
      <c r="K55" s="9" t="str" cm="1">
        <f t="array" aca="1" ref="K55" ca="1">IF($J55="","",IF(INDIRECT("Profile"&amp;"!"&amp;ADDRESS(MATCH(K$2,Profile!$C$1:$C$20,0),MATCH($I55,Profile!$1:$1,0),4))="","",INDIRECT("Profile"&amp;"!"&amp;ADDRESS(MATCH(K$2,Profile!$C$1:$C$20,0),MATCH($I55,Profile!$1:$1,0)))))</f>
        <v/>
      </c>
      <c r="L55" s="3" t="str" cm="1">
        <f t="array" aca="1" ref="L55" ca="1">IF($J55="","",IF(INDIRECT("Profile"&amp;"!"&amp;ADDRESS(MATCH(L$2,Profile!$C$1:$C$20,0),MATCH($I55,Profile!$1:$1,0),4))="","",INDIRECT("Profile"&amp;"!"&amp;ADDRESS(MATCH(L$2,Profile!$C$1:$C$20,0),MATCH($I55,Profile!$1:$1,0)))))</f>
        <v/>
      </c>
      <c r="M55" s="9" t="str" cm="1">
        <f t="array" aca="1" ref="M55" ca="1">IF($J55="","",IF(INDIRECT("Profile"&amp;"!"&amp;ADDRESS(MATCH(M$2,Profile!$C$1:$C$20,0),MATCH($I55,Profile!$1:$1,0),4))="","",INDIRECT("Profile"&amp;"!"&amp;ADDRESS(MATCH(M$2,Profile!$C$1:$C$20,0),MATCH($I55,Profile!$1:$1,0)))))</f>
        <v/>
      </c>
      <c r="N55" s="3" t="str" cm="1">
        <f t="array" aca="1" ref="N55" ca="1">IF($J55="","",IF(INDIRECT("Profile"&amp;"!"&amp;ADDRESS(MATCH(N$2,Profile!$C$1:$C$20,0),MATCH($I55,Profile!$1:$1,0),4))="","",INDIRECT("Profile"&amp;"!"&amp;ADDRESS(MATCH(N$2,Profile!$C$1:$C$20,0),MATCH($I55,Profile!$1:$1,0)))))</f>
        <v/>
      </c>
      <c r="O55" s="3" t="str" cm="1">
        <f t="array" aca="1" ref="O55" ca="1">IFERROR(IF($J55="","",INDIRECT("Profile"&amp;"!"&amp;ADDRESS(MATCH(O$2,Profile!$C$1:$C$20,0),MATCH($I55,Profile!$1:$1,0),4))),"")</f>
        <v/>
      </c>
      <c r="P55" s="9" t="str" cm="1">
        <f t="array" aca="1" ref="P55" ca="1">IFERROR(IF($J55="","",INDIRECT("Profile"&amp;"!"&amp;ADDRESS(MATCH(P$2,Profile!$C$1:$C$20,0),MATCH($I55,Profile!$1:$1,0),4))),"")</f>
        <v/>
      </c>
      <c r="Q55" s="3" t="str" cm="1">
        <f t="array" aca="1" ref="Q55" ca="1">IFERROR(IF($J55="","",INDIRECT("Profile"&amp;"!"&amp;ADDRESS(MATCH(Q$2,Profile!$C$1:$C$20,0),MATCH($I55,Profile!$1:$1,0),4))),"")</f>
        <v/>
      </c>
      <c r="R55" s="3" t="str" cm="1">
        <f t="array" aca="1" ref="R55" ca="1">IFERROR(IF($J55="","",INDIRECT("Profile"&amp;"!"&amp;ADDRESS(MATCH(R$2,Profile!$C$1:$C$20,0),MATCH($I55,Profile!$1:$1,0),4))),"")</f>
        <v/>
      </c>
      <c r="S55" s="3" t="str" cm="1">
        <f t="array" aca="1" ref="S55" ca="1">IFERROR(IF($J55="","",INDIRECT("Profile"&amp;"!"&amp;ADDRESS(MATCH(S$2,Profile!$C$1:$C$20,0),MATCH($I55,Profile!$1:$1,0),4))),"")</f>
        <v/>
      </c>
      <c r="T55" s="3" t="str" cm="1">
        <f t="array" aca="1" ref="T55" ca="1">IFERROR(IF($J55="","",INDIRECT("Profile"&amp;"!"&amp;ADDRESS(MATCH(T$2,Profile!$C$1:$C$20,0),MATCH($I55,Profile!$1:$1,0),4))),"")</f>
        <v/>
      </c>
      <c r="U55" s="38" t="str" cm="1">
        <f t="array" aca="1" ref="U55" ca="1">IFERROR(IF(INDIRECT("ID"&amp;"!"&amp;ADDRESS(MATCH($J55,ID!$B:$B,0),MATCH($U$1,ID!$1:$1,0),4))="","",INDIRECT("ID"&amp;"!"&amp;ADDRESS(MATCH($J55,ID!$B:$B,0),MATCH($U$1,ID!$1:$1,0),4))),"")</f>
        <v/>
      </c>
    </row>
    <row r="56" spans="9:21" x14ac:dyDescent="0.25">
      <c r="I56" s="7">
        <v>53</v>
      </c>
      <c r="J56" s="7" t="str" cm="1">
        <f t="array" aca="1" ref="J56" ca="1">IFERROR(IF(INDIRECT("Profile"&amp;"!"&amp;ADDRESS(MATCH(J$1,Profile!$A$1:$A$20,0),MATCH($I56,Profile!$1:$1,0),4))="","",INDIRECT("Profile"&amp;"!"&amp;ADDRESS(MATCH(J$1,Profile!$A$1:$A$20,0),MATCH($I56,Profile!$1:$1,0),4))),"")</f>
        <v/>
      </c>
      <c r="K56" s="9" t="str" cm="1">
        <f t="array" aca="1" ref="K56" ca="1">IF($J56="","",IF(INDIRECT("Profile"&amp;"!"&amp;ADDRESS(MATCH(K$2,Profile!$C$1:$C$20,0),MATCH($I56,Profile!$1:$1,0),4))="","",INDIRECT("Profile"&amp;"!"&amp;ADDRESS(MATCH(K$2,Profile!$C$1:$C$20,0),MATCH($I56,Profile!$1:$1,0)))))</f>
        <v/>
      </c>
      <c r="L56" s="3" t="str" cm="1">
        <f t="array" aca="1" ref="L56" ca="1">IF($J56="","",IF(INDIRECT("Profile"&amp;"!"&amp;ADDRESS(MATCH(L$2,Profile!$C$1:$C$20,0),MATCH($I56,Profile!$1:$1,0),4))="","",INDIRECT("Profile"&amp;"!"&amp;ADDRESS(MATCH(L$2,Profile!$C$1:$C$20,0),MATCH($I56,Profile!$1:$1,0)))))</f>
        <v/>
      </c>
      <c r="M56" s="9" t="str" cm="1">
        <f t="array" aca="1" ref="M56" ca="1">IF($J56="","",IF(INDIRECT("Profile"&amp;"!"&amp;ADDRESS(MATCH(M$2,Profile!$C$1:$C$20,0),MATCH($I56,Profile!$1:$1,0),4))="","",INDIRECT("Profile"&amp;"!"&amp;ADDRESS(MATCH(M$2,Profile!$C$1:$C$20,0),MATCH($I56,Profile!$1:$1,0)))))</f>
        <v/>
      </c>
      <c r="N56" s="3" t="str" cm="1">
        <f t="array" aca="1" ref="N56" ca="1">IF($J56="","",IF(INDIRECT("Profile"&amp;"!"&amp;ADDRESS(MATCH(N$2,Profile!$C$1:$C$20,0),MATCH($I56,Profile!$1:$1,0),4))="","",INDIRECT("Profile"&amp;"!"&amp;ADDRESS(MATCH(N$2,Profile!$C$1:$C$20,0),MATCH($I56,Profile!$1:$1,0)))))</f>
        <v/>
      </c>
      <c r="O56" s="3" t="str" cm="1">
        <f t="array" aca="1" ref="O56" ca="1">IFERROR(IF($J56="","",INDIRECT("Profile"&amp;"!"&amp;ADDRESS(MATCH(O$2,Profile!$C$1:$C$20,0),MATCH($I56,Profile!$1:$1,0),4))),"")</f>
        <v/>
      </c>
      <c r="P56" s="9" t="str" cm="1">
        <f t="array" aca="1" ref="P56" ca="1">IFERROR(IF($J56="","",INDIRECT("Profile"&amp;"!"&amp;ADDRESS(MATCH(P$2,Profile!$C$1:$C$20,0),MATCH($I56,Profile!$1:$1,0),4))),"")</f>
        <v/>
      </c>
      <c r="Q56" s="3" t="str" cm="1">
        <f t="array" aca="1" ref="Q56" ca="1">IFERROR(IF($J56="","",INDIRECT("Profile"&amp;"!"&amp;ADDRESS(MATCH(Q$2,Profile!$C$1:$C$20,0),MATCH($I56,Profile!$1:$1,0),4))),"")</f>
        <v/>
      </c>
      <c r="R56" s="3" t="str" cm="1">
        <f t="array" aca="1" ref="R56" ca="1">IFERROR(IF($J56="","",INDIRECT("Profile"&amp;"!"&amp;ADDRESS(MATCH(R$2,Profile!$C$1:$C$20,0),MATCH($I56,Profile!$1:$1,0),4))),"")</f>
        <v/>
      </c>
      <c r="S56" s="3" t="str" cm="1">
        <f t="array" aca="1" ref="S56" ca="1">IFERROR(IF($J56="","",INDIRECT("Profile"&amp;"!"&amp;ADDRESS(MATCH(S$2,Profile!$C$1:$C$20,0),MATCH($I56,Profile!$1:$1,0),4))),"")</f>
        <v/>
      </c>
      <c r="T56" s="3" t="str" cm="1">
        <f t="array" aca="1" ref="T56" ca="1">IFERROR(IF($J56="","",INDIRECT("Profile"&amp;"!"&amp;ADDRESS(MATCH(T$2,Profile!$C$1:$C$20,0),MATCH($I56,Profile!$1:$1,0),4))),"")</f>
        <v/>
      </c>
      <c r="U56" s="38" t="str" cm="1">
        <f t="array" aca="1" ref="U56" ca="1">IFERROR(IF(INDIRECT("ID"&amp;"!"&amp;ADDRESS(MATCH($J56,ID!$B:$B,0),MATCH($U$1,ID!$1:$1,0),4))="","",INDIRECT("ID"&amp;"!"&amp;ADDRESS(MATCH($J56,ID!$B:$B,0),MATCH($U$1,ID!$1:$1,0),4))),"")</f>
        <v/>
      </c>
    </row>
    <row r="57" spans="9:21" x14ac:dyDescent="0.25">
      <c r="I57" s="7">
        <v>54</v>
      </c>
      <c r="J57" s="7" t="str" cm="1">
        <f t="array" aca="1" ref="J57" ca="1">IFERROR(IF(INDIRECT("Profile"&amp;"!"&amp;ADDRESS(MATCH(J$1,Profile!$A$1:$A$20,0),MATCH($I57,Profile!$1:$1,0),4))="","",INDIRECT("Profile"&amp;"!"&amp;ADDRESS(MATCH(J$1,Profile!$A$1:$A$20,0),MATCH($I57,Profile!$1:$1,0),4))),"")</f>
        <v/>
      </c>
      <c r="K57" s="9" t="str" cm="1">
        <f t="array" aca="1" ref="K57" ca="1">IF($J57="","",IF(INDIRECT("Profile"&amp;"!"&amp;ADDRESS(MATCH(K$2,Profile!$C$1:$C$20,0),MATCH($I57,Profile!$1:$1,0),4))="","",INDIRECT("Profile"&amp;"!"&amp;ADDRESS(MATCH(K$2,Profile!$C$1:$C$20,0),MATCH($I57,Profile!$1:$1,0)))))</f>
        <v/>
      </c>
      <c r="L57" s="3" t="str" cm="1">
        <f t="array" aca="1" ref="L57" ca="1">IF($J57="","",IF(INDIRECT("Profile"&amp;"!"&amp;ADDRESS(MATCH(L$2,Profile!$C$1:$C$20,0),MATCH($I57,Profile!$1:$1,0),4))="","",INDIRECT("Profile"&amp;"!"&amp;ADDRESS(MATCH(L$2,Profile!$C$1:$C$20,0),MATCH($I57,Profile!$1:$1,0)))))</f>
        <v/>
      </c>
      <c r="M57" s="9" t="str" cm="1">
        <f t="array" aca="1" ref="M57" ca="1">IF($J57="","",IF(INDIRECT("Profile"&amp;"!"&amp;ADDRESS(MATCH(M$2,Profile!$C$1:$C$20,0),MATCH($I57,Profile!$1:$1,0),4))="","",INDIRECT("Profile"&amp;"!"&amp;ADDRESS(MATCH(M$2,Profile!$C$1:$C$20,0),MATCH($I57,Profile!$1:$1,0)))))</f>
        <v/>
      </c>
      <c r="N57" s="3" t="str" cm="1">
        <f t="array" aca="1" ref="N57" ca="1">IF($J57="","",IF(INDIRECT("Profile"&amp;"!"&amp;ADDRESS(MATCH(N$2,Profile!$C$1:$C$20,0),MATCH($I57,Profile!$1:$1,0),4))="","",INDIRECT("Profile"&amp;"!"&amp;ADDRESS(MATCH(N$2,Profile!$C$1:$C$20,0),MATCH($I57,Profile!$1:$1,0)))))</f>
        <v/>
      </c>
      <c r="O57" s="3" t="str" cm="1">
        <f t="array" aca="1" ref="O57" ca="1">IFERROR(IF($J57="","",INDIRECT("Profile"&amp;"!"&amp;ADDRESS(MATCH(O$2,Profile!$C$1:$C$20,0),MATCH($I57,Profile!$1:$1,0),4))),"")</f>
        <v/>
      </c>
      <c r="P57" s="9" t="str" cm="1">
        <f t="array" aca="1" ref="P57" ca="1">IFERROR(IF($J57="","",INDIRECT("Profile"&amp;"!"&amp;ADDRESS(MATCH(P$2,Profile!$C$1:$C$20,0),MATCH($I57,Profile!$1:$1,0),4))),"")</f>
        <v/>
      </c>
      <c r="Q57" s="3" t="str" cm="1">
        <f t="array" aca="1" ref="Q57" ca="1">IFERROR(IF($J57="","",INDIRECT("Profile"&amp;"!"&amp;ADDRESS(MATCH(Q$2,Profile!$C$1:$C$20,0),MATCH($I57,Profile!$1:$1,0),4))),"")</f>
        <v/>
      </c>
      <c r="R57" s="3" t="str" cm="1">
        <f t="array" aca="1" ref="R57" ca="1">IFERROR(IF($J57="","",INDIRECT("Profile"&amp;"!"&amp;ADDRESS(MATCH(R$2,Profile!$C$1:$C$20,0),MATCH($I57,Profile!$1:$1,0),4))),"")</f>
        <v/>
      </c>
      <c r="S57" s="3" t="str" cm="1">
        <f t="array" aca="1" ref="S57" ca="1">IFERROR(IF($J57="","",INDIRECT("Profile"&amp;"!"&amp;ADDRESS(MATCH(S$2,Profile!$C$1:$C$20,0),MATCH($I57,Profile!$1:$1,0),4))),"")</f>
        <v/>
      </c>
      <c r="T57" s="3" t="str" cm="1">
        <f t="array" aca="1" ref="T57" ca="1">IFERROR(IF($J57="","",INDIRECT("Profile"&amp;"!"&amp;ADDRESS(MATCH(T$2,Profile!$C$1:$C$20,0),MATCH($I57,Profile!$1:$1,0),4))),"")</f>
        <v/>
      </c>
      <c r="U57" s="38" t="str" cm="1">
        <f t="array" aca="1" ref="U57" ca="1">IFERROR(IF(INDIRECT("ID"&amp;"!"&amp;ADDRESS(MATCH($J57,ID!$B:$B,0),MATCH($U$1,ID!$1:$1,0),4))="","",INDIRECT("ID"&amp;"!"&amp;ADDRESS(MATCH($J57,ID!$B:$B,0),MATCH($U$1,ID!$1:$1,0),4))),"")</f>
        <v/>
      </c>
    </row>
    <row r="58" spans="9:21" x14ac:dyDescent="0.25">
      <c r="I58" s="7">
        <v>55</v>
      </c>
      <c r="J58" s="7" t="str" cm="1">
        <f t="array" aca="1" ref="J58" ca="1">IFERROR(IF(INDIRECT("Profile"&amp;"!"&amp;ADDRESS(MATCH(J$1,Profile!$A$1:$A$20,0),MATCH($I58,Profile!$1:$1,0),4))="","",INDIRECT("Profile"&amp;"!"&amp;ADDRESS(MATCH(J$1,Profile!$A$1:$A$20,0),MATCH($I58,Profile!$1:$1,0),4))),"")</f>
        <v/>
      </c>
      <c r="K58" s="9" t="str" cm="1">
        <f t="array" aca="1" ref="K58" ca="1">IF($J58="","",IF(INDIRECT("Profile"&amp;"!"&amp;ADDRESS(MATCH(K$2,Profile!$C$1:$C$20,0),MATCH($I58,Profile!$1:$1,0),4))="","",INDIRECT("Profile"&amp;"!"&amp;ADDRESS(MATCH(K$2,Profile!$C$1:$C$20,0),MATCH($I58,Profile!$1:$1,0)))))</f>
        <v/>
      </c>
      <c r="L58" s="3" t="str" cm="1">
        <f t="array" aca="1" ref="L58" ca="1">IF($J58="","",IF(INDIRECT("Profile"&amp;"!"&amp;ADDRESS(MATCH(L$2,Profile!$C$1:$C$20,0),MATCH($I58,Profile!$1:$1,0),4))="","",INDIRECT("Profile"&amp;"!"&amp;ADDRESS(MATCH(L$2,Profile!$C$1:$C$20,0),MATCH($I58,Profile!$1:$1,0)))))</f>
        <v/>
      </c>
      <c r="M58" s="9" t="str" cm="1">
        <f t="array" aca="1" ref="M58" ca="1">IF($J58="","",IF(INDIRECT("Profile"&amp;"!"&amp;ADDRESS(MATCH(M$2,Profile!$C$1:$C$20,0),MATCH($I58,Profile!$1:$1,0),4))="","",INDIRECT("Profile"&amp;"!"&amp;ADDRESS(MATCH(M$2,Profile!$C$1:$C$20,0),MATCH($I58,Profile!$1:$1,0)))))</f>
        <v/>
      </c>
      <c r="N58" s="3" t="str" cm="1">
        <f t="array" aca="1" ref="N58" ca="1">IF($J58="","",IF(INDIRECT("Profile"&amp;"!"&amp;ADDRESS(MATCH(N$2,Profile!$C$1:$C$20,0),MATCH($I58,Profile!$1:$1,0),4))="","",INDIRECT("Profile"&amp;"!"&amp;ADDRESS(MATCH(N$2,Profile!$C$1:$C$20,0),MATCH($I58,Profile!$1:$1,0)))))</f>
        <v/>
      </c>
      <c r="O58" s="3" t="str" cm="1">
        <f t="array" aca="1" ref="O58" ca="1">IFERROR(IF($J58="","",INDIRECT("Profile"&amp;"!"&amp;ADDRESS(MATCH(O$2,Profile!$C$1:$C$20,0),MATCH($I58,Profile!$1:$1,0),4))),"")</f>
        <v/>
      </c>
      <c r="P58" s="9" t="str" cm="1">
        <f t="array" aca="1" ref="P58" ca="1">IFERROR(IF($J58="","",INDIRECT("Profile"&amp;"!"&amp;ADDRESS(MATCH(P$2,Profile!$C$1:$C$20,0),MATCH($I58,Profile!$1:$1,0),4))),"")</f>
        <v/>
      </c>
      <c r="Q58" s="3" t="str" cm="1">
        <f t="array" aca="1" ref="Q58" ca="1">IFERROR(IF($J58="","",INDIRECT("Profile"&amp;"!"&amp;ADDRESS(MATCH(Q$2,Profile!$C$1:$C$20,0),MATCH($I58,Profile!$1:$1,0),4))),"")</f>
        <v/>
      </c>
      <c r="R58" s="3" t="str" cm="1">
        <f t="array" aca="1" ref="R58" ca="1">IFERROR(IF($J58="","",INDIRECT("Profile"&amp;"!"&amp;ADDRESS(MATCH(R$2,Profile!$C$1:$C$20,0),MATCH($I58,Profile!$1:$1,0),4))),"")</f>
        <v/>
      </c>
      <c r="S58" s="3" t="str" cm="1">
        <f t="array" aca="1" ref="S58" ca="1">IFERROR(IF($J58="","",INDIRECT("Profile"&amp;"!"&amp;ADDRESS(MATCH(S$2,Profile!$C$1:$C$20,0),MATCH($I58,Profile!$1:$1,0),4))),"")</f>
        <v/>
      </c>
      <c r="T58" s="3" t="str" cm="1">
        <f t="array" aca="1" ref="T58" ca="1">IFERROR(IF($J58="","",INDIRECT("Profile"&amp;"!"&amp;ADDRESS(MATCH(T$2,Profile!$C$1:$C$20,0),MATCH($I58,Profile!$1:$1,0),4))),"")</f>
        <v/>
      </c>
      <c r="U58" s="38" t="str" cm="1">
        <f t="array" aca="1" ref="U58" ca="1">IFERROR(IF(INDIRECT("ID"&amp;"!"&amp;ADDRESS(MATCH($J58,ID!$B:$B,0),MATCH($U$1,ID!$1:$1,0),4))="","",INDIRECT("ID"&amp;"!"&amp;ADDRESS(MATCH($J58,ID!$B:$B,0),MATCH($U$1,ID!$1:$1,0),4))),"")</f>
        <v/>
      </c>
    </row>
    <row r="59" spans="9:21" x14ac:dyDescent="0.25">
      <c r="I59" s="7">
        <v>56</v>
      </c>
      <c r="J59" s="7" t="str" cm="1">
        <f t="array" aca="1" ref="J59" ca="1">IFERROR(IF(INDIRECT("Profile"&amp;"!"&amp;ADDRESS(MATCH(J$1,Profile!$A$1:$A$20,0),MATCH($I59,Profile!$1:$1,0),4))="","",INDIRECT("Profile"&amp;"!"&amp;ADDRESS(MATCH(J$1,Profile!$A$1:$A$20,0),MATCH($I59,Profile!$1:$1,0),4))),"")</f>
        <v/>
      </c>
      <c r="K59" s="9" t="str" cm="1">
        <f t="array" aca="1" ref="K59" ca="1">IF($J59="","",IF(INDIRECT("Profile"&amp;"!"&amp;ADDRESS(MATCH(K$2,Profile!$C$1:$C$20,0),MATCH($I59,Profile!$1:$1,0),4))="","",INDIRECT("Profile"&amp;"!"&amp;ADDRESS(MATCH(K$2,Profile!$C$1:$C$20,0),MATCH($I59,Profile!$1:$1,0)))))</f>
        <v/>
      </c>
      <c r="L59" s="3" t="str" cm="1">
        <f t="array" aca="1" ref="L59" ca="1">IF($J59="","",IF(INDIRECT("Profile"&amp;"!"&amp;ADDRESS(MATCH(L$2,Profile!$C$1:$C$20,0),MATCH($I59,Profile!$1:$1,0),4))="","",INDIRECT("Profile"&amp;"!"&amp;ADDRESS(MATCH(L$2,Profile!$C$1:$C$20,0),MATCH($I59,Profile!$1:$1,0)))))</f>
        <v/>
      </c>
      <c r="M59" s="9" t="str" cm="1">
        <f t="array" aca="1" ref="M59" ca="1">IF($J59="","",IF(INDIRECT("Profile"&amp;"!"&amp;ADDRESS(MATCH(M$2,Profile!$C$1:$C$20,0),MATCH($I59,Profile!$1:$1,0),4))="","",INDIRECT("Profile"&amp;"!"&amp;ADDRESS(MATCH(M$2,Profile!$C$1:$C$20,0),MATCH($I59,Profile!$1:$1,0)))))</f>
        <v/>
      </c>
      <c r="N59" s="3" t="str" cm="1">
        <f t="array" aca="1" ref="N59" ca="1">IF($J59="","",IF(INDIRECT("Profile"&amp;"!"&amp;ADDRESS(MATCH(N$2,Profile!$C$1:$C$20,0),MATCH($I59,Profile!$1:$1,0),4))="","",INDIRECT("Profile"&amp;"!"&amp;ADDRESS(MATCH(N$2,Profile!$C$1:$C$20,0),MATCH($I59,Profile!$1:$1,0)))))</f>
        <v/>
      </c>
      <c r="O59" s="3" t="str" cm="1">
        <f t="array" aca="1" ref="O59" ca="1">IFERROR(IF($J59="","",INDIRECT("Profile"&amp;"!"&amp;ADDRESS(MATCH(O$2,Profile!$C$1:$C$20,0),MATCH($I59,Profile!$1:$1,0),4))),"")</f>
        <v/>
      </c>
      <c r="P59" s="9" t="str" cm="1">
        <f t="array" aca="1" ref="P59" ca="1">IFERROR(IF($J59="","",INDIRECT("Profile"&amp;"!"&amp;ADDRESS(MATCH(P$2,Profile!$C$1:$C$20,0),MATCH($I59,Profile!$1:$1,0),4))),"")</f>
        <v/>
      </c>
      <c r="Q59" s="3" t="str" cm="1">
        <f t="array" aca="1" ref="Q59" ca="1">IFERROR(IF($J59="","",INDIRECT("Profile"&amp;"!"&amp;ADDRESS(MATCH(Q$2,Profile!$C$1:$C$20,0),MATCH($I59,Profile!$1:$1,0),4))),"")</f>
        <v/>
      </c>
      <c r="R59" s="3" t="str" cm="1">
        <f t="array" aca="1" ref="R59" ca="1">IFERROR(IF($J59="","",INDIRECT("Profile"&amp;"!"&amp;ADDRESS(MATCH(R$2,Profile!$C$1:$C$20,0),MATCH($I59,Profile!$1:$1,0),4))),"")</f>
        <v/>
      </c>
      <c r="S59" s="3" t="str" cm="1">
        <f t="array" aca="1" ref="S59" ca="1">IFERROR(IF($J59="","",INDIRECT("Profile"&amp;"!"&amp;ADDRESS(MATCH(S$2,Profile!$C$1:$C$20,0),MATCH($I59,Profile!$1:$1,0),4))),"")</f>
        <v/>
      </c>
      <c r="T59" s="3" t="str" cm="1">
        <f t="array" aca="1" ref="T59" ca="1">IFERROR(IF($J59="","",INDIRECT("Profile"&amp;"!"&amp;ADDRESS(MATCH(T$2,Profile!$C$1:$C$20,0),MATCH($I59,Profile!$1:$1,0),4))),"")</f>
        <v/>
      </c>
      <c r="U59" s="38" t="str" cm="1">
        <f t="array" aca="1" ref="U59" ca="1">IFERROR(IF(INDIRECT("ID"&amp;"!"&amp;ADDRESS(MATCH($J59,ID!$B:$B,0),MATCH($U$1,ID!$1:$1,0),4))="","",INDIRECT("ID"&amp;"!"&amp;ADDRESS(MATCH($J59,ID!$B:$B,0),MATCH($U$1,ID!$1:$1,0),4))),"")</f>
        <v/>
      </c>
    </row>
    <row r="60" spans="9:21" x14ac:dyDescent="0.25">
      <c r="I60" s="7">
        <v>57</v>
      </c>
      <c r="J60" s="7" t="str" cm="1">
        <f t="array" aca="1" ref="J60" ca="1">IFERROR(IF(INDIRECT("Profile"&amp;"!"&amp;ADDRESS(MATCH(J$1,Profile!$A$1:$A$20,0),MATCH($I60,Profile!$1:$1,0),4))="","",INDIRECT("Profile"&amp;"!"&amp;ADDRESS(MATCH(J$1,Profile!$A$1:$A$20,0),MATCH($I60,Profile!$1:$1,0),4))),"")</f>
        <v/>
      </c>
      <c r="K60" s="9" t="str" cm="1">
        <f t="array" aca="1" ref="K60" ca="1">IF($J60="","",IF(INDIRECT("Profile"&amp;"!"&amp;ADDRESS(MATCH(K$2,Profile!$C$1:$C$20,0),MATCH($I60,Profile!$1:$1,0),4))="","",INDIRECT("Profile"&amp;"!"&amp;ADDRESS(MATCH(K$2,Profile!$C$1:$C$20,0),MATCH($I60,Profile!$1:$1,0)))))</f>
        <v/>
      </c>
      <c r="L60" s="3" t="str" cm="1">
        <f t="array" aca="1" ref="L60" ca="1">IF($J60="","",IF(INDIRECT("Profile"&amp;"!"&amp;ADDRESS(MATCH(L$2,Profile!$C$1:$C$20,0),MATCH($I60,Profile!$1:$1,0),4))="","",INDIRECT("Profile"&amp;"!"&amp;ADDRESS(MATCH(L$2,Profile!$C$1:$C$20,0),MATCH($I60,Profile!$1:$1,0)))))</f>
        <v/>
      </c>
      <c r="M60" s="9" t="str" cm="1">
        <f t="array" aca="1" ref="M60" ca="1">IF($J60="","",IF(INDIRECT("Profile"&amp;"!"&amp;ADDRESS(MATCH(M$2,Profile!$C$1:$C$20,0),MATCH($I60,Profile!$1:$1,0),4))="","",INDIRECT("Profile"&amp;"!"&amp;ADDRESS(MATCH(M$2,Profile!$C$1:$C$20,0),MATCH($I60,Profile!$1:$1,0)))))</f>
        <v/>
      </c>
      <c r="N60" s="3" t="str" cm="1">
        <f t="array" aca="1" ref="N60" ca="1">IF($J60="","",IF(INDIRECT("Profile"&amp;"!"&amp;ADDRESS(MATCH(N$2,Profile!$C$1:$C$20,0),MATCH($I60,Profile!$1:$1,0),4))="","",INDIRECT("Profile"&amp;"!"&amp;ADDRESS(MATCH(N$2,Profile!$C$1:$C$20,0),MATCH($I60,Profile!$1:$1,0)))))</f>
        <v/>
      </c>
      <c r="O60" s="3" t="str" cm="1">
        <f t="array" aca="1" ref="O60" ca="1">IFERROR(IF($J60="","",INDIRECT("Profile"&amp;"!"&amp;ADDRESS(MATCH(O$2,Profile!$C$1:$C$20,0),MATCH($I60,Profile!$1:$1,0),4))),"")</f>
        <v/>
      </c>
      <c r="P60" s="9" t="str" cm="1">
        <f t="array" aca="1" ref="P60" ca="1">IFERROR(IF($J60="","",INDIRECT("Profile"&amp;"!"&amp;ADDRESS(MATCH(P$2,Profile!$C$1:$C$20,0),MATCH($I60,Profile!$1:$1,0),4))),"")</f>
        <v/>
      </c>
      <c r="Q60" s="3" t="str" cm="1">
        <f t="array" aca="1" ref="Q60" ca="1">IFERROR(IF($J60="","",INDIRECT("Profile"&amp;"!"&amp;ADDRESS(MATCH(Q$2,Profile!$C$1:$C$20,0),MATCH($I60,Profile!$1:$1,0),4))),"")</f>
        <v/>
      </c>
      <c r="R60" s="3" t="str" cm="1">
        <f t="array" aca="1" ref="R60" ca="1">IFERROR(IF($J60="","",INDIRECT("Profile"&amp;"!"&amp;ADDRESS(MATCH(R$2,Profile!$C$1:$C$20,0),MATCH($I60,Profile!$1:$1,0),4))),"")</f>
        <v/>
      </c>
      <c r="S60" s="3" t="str" cm="1">
        <f t="array" aca="1" ref="S60" ca="1">IFERROR(IF($J60="","",INDIRECT("Profile"&amp;"!"&amp;ADDRESS(MATCH(S$2,Profile!$C$1:$C$20,0),MATCH($I60,Profile!$1:$1,0),4))),"")</f>
        <v/>
      </c>
      <c r="T60" s="3" t="str" cm="1">
        <f t="array" aca="1" ref="T60" ca="1">IFERROR(IF($J60="","",INDIRECT("Profile"&amp;"!"&amp;ADDRESS(MATCH(T$2,Profile!$C$1:$C$20,0),MATCH($I60,Profile!$1:$1,0),4))),"")</f>
        <v/>
      </c>
      <c r="U60" s="38" t="str" cm="1">
        <f t="array" aca="1" ref="U60" ca="1">IFERROR(IF(INDIRECT("ID"&amp;"!"&amp;ADDRESS(MATCH($J60,ID!$B:$B,0),MATCH($U$1,ID!$1:$1,0),4))="","",INDIRECT("ID"&amp;"!"&amp;ADDRESS(MATCH($J60,ID!$B:$B,0),MATCH($U$1,ID!$1:$1,0),4))),"")</f>
        <v/>
      </c>
    </row>
    <row r="61" spans="9:21" x14ac:dyDescent="0.25">
      <c r="I61" s="7">
        <v>58</v>
      </c>
      <c r="J61" s="7" t="str" cm="1">
        <f t="array" aca="1" ref="J61" ca="1">IFERROR(IF(INDIRECT("Profile"&amp;"!"&amp;ADDRESS(MATCH(J$1,Profile!$A$1:$A$20,0),MATCH($I61,Profile!$1:$1,0),4))="","",INDIRECT("Profile"&amp;"!"&amp;ADDRESS(MATCH(J$1,Profile!$A$1:$A$20,0),MATCH($I61,Profile!$1:$1,0),4))),"")</f>
        <v/>
      </c>
      <c r="K61" s="9" t="str" cm="1">
        <f t="array" aca="1" ref="K61" ca="1">IF($J61="","",IF(INDIRECT("Profile"&amp;"!"&amp;ADDRESS(MATCH(K$2,Profile!$C$1:$C$20,0),MATCH($I61,Profile!$1:$1,0),4))="","",INDIRECT("Profile"&amp;"!"&amp;ADDRESS(MATCH(K$2,Profile!$C$1:$C$20,0),MATCH($I61,Profile!$1:$1,0)))))</f>
        <v/>
      </c>
      <c r="L61" s="3" t="str" cm="1">
        <f t="array" aca="1" ref="L61" ca="1">IF($J61="","",IF(INDIRECT("Profile"&amp;"!"&amp;ADDRESS(MATCH(L$2,Profile!$C$1:$C$20,0),MATCH($I61,Profile!$1:$1,0),4))="","",INDIRECT("Profile"&amp;"!"&amp;ADDRESS(MATCH(L$2,Profile!$C$1:$C$20,0),MATCH($I61,Profile!$1:$1,0)))))</f>
        <v/>
      </c>
      <c r="M61" s="9" t="str" cm="1">
        <f t="array" aca="1" ref="M61" ca="1">IF($J61="","",IF(INDIRECT("Profile"&amp;"!"&amp;ADDRESS(MATCH(M$2,Profile!$C$1:$C$20,0),MATCH($I61,Profile!$1:$1,0),4))="","",INDIRECT("Profile"&amp;"!"&amp;ADDRESS(MATCH(M$2,Profile!$C$1:$C$20,0),MATCH($I61,Profile!$1:$1,0)))))</f>
        <v/>
      </c>
      <c r="N61" s="3" t="str" cm="1">
        <f t="array" aca="1" ref="N61" ca="1">IF($J61="","",IF(INDIRECT("Profile"&amp;"!"&amp;ADDRESS(MATCH(N$2,Profile!$C$1:$C$20,0),MATCH($I61,Profile!$1:$1,0),4))="","",INDIRECT("Profile"&amp;"!"&amp;ADDRESS(MATCH(N$2,Profile!$C$1:$C$20,0),MATCH($I61,Profile!$1:$1,0)))))</f>
        <v/>
      </c>
      <c r="O61" s="3" t="str" cm="1">
        <f t="array" aca="1" ref="O61" ca="1">IFERROR(IF($J61="","",INDIRECT("Profile"&amp;"!"&amp;ADDRESS(MATCH(O$2,Profile!$C$1:$C$20,0),MATCH($I61,Profile!$1:$1,0),4))),"")</f>
        <v/>
      </c>
      <c r="P61" s="9" t="str" cm="1">
        <f t="array" aca="1" ref="P61" ca="1">IFERROR(IF($J61="","",INDIRECT("Profile"&amp;"!"&amp;ADDRESS(MATCH(P$2,Profile!$C$1:$C$20,0),MATCH($I61,Profile!$1:$1,0),4))),"")</f>
        <v/>
      </c>
      <c r="Q61" s="3" t="str" cm="1">
        <f t="array" aca="1" ref="Q61" ca="1">IFERROR(IF($J61="","",INDIRECT("Profile"&amp;"!"&amp;ADDRESS(MATCH(Q$2,Profile!$C$1:$C$20,0),MATCH($I61,Profile!$1:$1,0),4))),"")</f>
        <v/>
      </c>
      <c r="R61" s="3" t="str" cm="1">
        <f t="array" aca="1" ref="R61" ca="1">IFERROR(IF($J61="","",INDIRECT("Profile"&amp;"!"&amp;ADDRESS(MATCH(R$2,Profile!$C$1:$C$20,0),MATCH($I61,Profile!$1:$1,0),4))),"")</f>
        <v/>
      </c>
      <c r="S61" s="3" t="str" cm="1">
        <f t="array" aca="1" ref="S61" ca="1">IFERROR(IF($J61="","",INDIRECT("Profile"&amp;"!"&amp;ADDRESS(MATCH(S$2,Profile!$C$1:$C$20,0),MATCH($I61,Profile!$1:$1,0),4))),"")</f>
        <v/>
      </c>
      <c r="T61" s="3" t="str" cm="1">
        <f t="array" aca="1" ref="T61" ca="1">IFERROR(IF($J61="","",INDIRECT("Profile"&amp;"!"&amp;ADDRESS(MATCH(T$2,Profile!$C$1:$C$20,0),MATCH($I61,Profile!$1:$1,0),4))),"")</f>
        <v/>
      </c>
      <c r="U61" s="38" t="str" cm="1">
        <f t="array" aca="1" ref="U61" ca="1">IFERROR(IF(INDIRECT("ID"&amp;"!"&amp;ADDRESS(MATCH($J61,ID!$B:$B,0),MATCH($U$1,ID!$1:$1,0),4))="","",INDIRECT("ID"&amp;"!"&amp;ADDRESS(MATCH($J61,ID!$B:$B,0),MATCH($U$1,ID!$1:$1,0),4))),"")</f>
        <v/>
      </c>
    </row>
    <row r="62" spans="9:21" x14ac:dyDescent="0.25">
      <c r="I62" s="7">
        <v>59</v>
      </c>
      <c r="J62" s="7" t="str" cm="1">
        <f t="array" aca="1" ref="J62" ca="1">IFERROR(IF(INDIRECT("Profile"&amp;"!"&amp;ADDRESS(MATCH(J$1,Profile!$A$1:$A$20,0),MATCH($I62,Profile!$1:$1,0),4))="","",INDIRECT("Profile"&amp;"!"&amp;ADDRESS(MATCH(J$1,Profile!$A$1:$A$20,0),MATCH($I62,Profile!$1:$1,0),4))),"")</f>
        <v/>
      </c>
      <c r="K62" s="9" t="str" cm="1">
        <f t="array" aca="1" ref="K62" ca="1">IF($J62="","",IF(INDIRECT("Profile"&amp;"!"&amp;ADDRESS(MATCH(K$2,Profile!$C$1:$C$20,0),MATCH($I62,Profile!$1:$1,0),4))="","",INDIRECT("Profile"&amp;"!"&amp;ADDRESS(MATCH(K$2,Profile!$C$1:$C$20,0),MATCH($I62,Profile!$1:$1,0)))))</f>
        <v/>
      </c>
      <c r="L62" s="3" t="str" cm="1">
        <f t="array" aca="1" ref="L62" ca="1">IF($J62="","",IF(INDIRECT("Profile"&amp;"!"&amp;ADDRESS(MATCH(L$2,Profile!$C$1:$C$20,0),MATCH($I62,Profile!$1:$1,0),4))="","",INDIRECT("Profile"&amp;"!"&amp;ADDRESS(MATCH(L$2,Profile!$C$1:$C$20,0),MATCH($I62,Profile!$1:$1,0)))))</f>
        <v/>
      </c>
      <c r="M62" s="9" t="str" cm="1">
        <f t="array" aca="1" ref="M62" ca="1">IF($J62="","",IF(INDIRECT("Profile"&amp;"!"&amp;ADDRESS(MATCH(M$2,Profile!$C$1:$C$20,0),MATCH($I62,Profile!$1:$1,0),4))="","",INDIRECT("Profile"&amp;"!"&amp;ADDRESS(MATCH(M$2,Profile!$C$1:$C$20,0),MATCH($I62,Profile!$1:$1,0)))))</f>
        <v/>
      </c>
      <c r="N62" s="3" t="str" cm="1">
        <f t="array" aca="1" ref="N62" ca="1">IF($J62="","",IF(INDIRECT("Profile"&amp;"!"&amp;ADDRESS(MATCH(N$2,Profile!$C$1:$C$20,0),MATCH($I62,Profile!$1:$1,0),4))="","",INDIRECT("Profile"&amp;"!"&amp;ADDRESS(MATCH(N$2,Profile!$C$1:$C$20,0),MATCH($I62,Profile!$1:$1,0)))))</f>
        <v/>
      </c>
      <c r="O62" s="3" t="str" cm="1">
        <f t="array" aca="1" ref="O62" ca="1">IFERROR(IF($J62="","",INDIRECT("Profile"&amp;"!"&amp;ADDRESS(MATCH(O$2,Profile!$C$1:$C$20,0),MATCH($I62,Profile!$1:$1,0),4))),"")</f>
        <v/>
      </c>
      <c r="P62" s="9" t="str" cm="1">
        <f t="array" aca="1" ref="P62" ca="1">IFERROR(IF($J62="","",INDIRECT("Profile"&amp;"!"&amp;ADDRESS(MATCH(P$2,Profile!$C$1:$C$20,0),MATCH($I62,Profile!$1:$1,0),4))),"")</f>
        <v/>
      </c>
      <c r="Q62" s="3" t="str" cm="1">
        <f t="array" aca="1" ref="Q62" ca="1">IFERROR(IF($J62="","",INDIRECT("Profile"&amp;"!"&amp;ADDRESS(MATCH(Q$2,Profile!$C$1:$C$20,0),MATCH($I62,Profile!$1:$1,0),4))),"")</f>
        <v/>
      </c>
      <c r="R62" s="3" t="str" cm="1">
        <f t="array" aca="1" ref="R62" ca="1">IFERROR(IF($J62="","",INDIRECT("Profile"&amp;"!"&amp;ADDRESS(MATCH(R$2,Profile!$C$1:$C$20,0),MATCH($I62,Profile!$1:$1,0),4))),"")</f>
        <v/>
      </c>
      <c r="S62" s="3" t="str" cm="1">
        <f t="array" aca="1" ref="S62" ca="1">IFERROR(IF($J62="","",INDIRECT("Profile"&amp;"!"&amp;ADDRESS(MATCH(S$2,Profile!$C$1:$C$20,0),MATCH($I62,Profile!$1:$1,0),4))),"")</f>
        <v/>
      </c>
      <c r="T62" s="3" t="str" cm="1">
        <f t="array" aca="1" ref="T62" ca="1">IFERROR(IF($J62="","",INDIRECT("Profile"&amp;"!"&amp;ADDRESS(MATCH(T$2,Profile!$C$1:$C$20,0),MATCH($I62,Profile!$1:$1,0),4))),"")</f>
        <v/>
      </c>
      <c r="U62" s="38" t="str" cm="1">
        <f t="array" aca="1" ref="U62" ca="1">IFERROR(IF(INDIRECT("ID"&amp;"!"&amp;ADDRESS(MATCH($J62,ID!$B:$B,0),MATCH($U$1,ID!$1:$1,0),4))="","",INDIRECT("ID"&amp;"!"&amp;ADDRESS(MATCH($J62,ID!$B:$B,0),MATCH($U$1,ID!$1:$1,0),4))),"")</f>
        <v/>
      </c>
    </row>
    <row r="63" spans="9:21" x14ac:dyDescent="0.25">
      <c r="I63" s="7">
        <v>60</v>
      </c>
      <c r="J63" s="7" t="str" cm="1">
        <f t="array" aca="1" ref="J63" ca="1">IFERROR(IF(INDIRECT("Profile"&amp;"!"&amp;ADDRESS(MATCH(J$1,Profile!$A$1:$A$20,0),MATCH($I63,Profile!$1:$1,0),4))="","",INDIRECT("Profile"&amp;"!"&amp;ADDRESS(MATCH(J$1,Profile!$A$1:$A$20,0),MATCH($I63,Profile!$1:$1,0),4))),"")</f>
        <v/>
      </c>
      <c r="K63" s="9" t="str" cm="1">
        <f t="array" aca="1" ref="K63" ca="1">IF($J63="","",IF(INDIRECT("Profile"&amp;"!"&amp;ADDRESS(MATCH(K$2,Profile!$C$1:$C$20,0),MATCH($I63,Profile!$1:$1,0),4))="","",INDIRECT("Profile"&amp;"!"&amp;ADDRESS(MATCH(K$2,Profile!$C$1:$C$20,0),MATCH($I63,Profile!$1:$1,0)))))</f>
        <v/>
      </c>
      <c r="L63" s="3" t="str" cm="1">
        <f t="array" aca="1" ref="L63" ca="1">IF($J63="","",IF(INDIRECT("Profile"&amp;"!"&amp;ADDRESS(MATCH(L$2,Profile!$C$1:$C$20,0),MATCH($I63,Profile!$1:$1,0),4))="","",INDIRECT("Profile"&amp;"!"&amp;ADDRESS(MATCH(L$2,Profile!$C$1:$C$20,0),MATCH($I63,Profile!$1:$1,0)))))</f>
        <v/>
      </c>
      <c r="M63" s="9" t="str" cm="1">
        <f t="array" aca="1" ref="M63" ca="1">IF($J63="","",IF(INDIRECT("Profile"&amp;"!"&amp;ADDRESS(MATCH(M$2,Profile!$C$1:$C$20,0),MATCH($I63,Profile!$1:$1,0),4))="","",INDIRECT("Profile"&amp;"!"&amp;ADDRESS(MATCH(M$2,Profile!$C$1:$C$20,0),MATCH($I63,Profile!$1:$1,0)))))</f>
        <v/>
      </c>
      <c r="N63" s="3" t="str" cm="1">
        <f t="array" aca="1" ref="N63" ca="1">IF($J63="","",IF(INDIRECT("Profile"&amp;"!"&amp;ADDRESS(MATCH(N$2,Profile!$C$1:$C$20,0),MATCH($I63,Profile!$1:$1,0),4))="","",INDIRECT("Profile"&amp;"!"&amp;ADDRESS(MATCH(N$2,Profile!$C$1:$C$20,0),MATCH($I63,Profile!$1:$1,0)))))</f>
        <v/>
      </c>
      <c r="O63" s="3" t="str" cm="1">
        <f t="array" aca="1" ref="O63" ca="1">IFERROR(IF($J63="","",INDIRECT("Profile"&amp;"!"&amp;ADDRESS(MATCH(O$2,Profile!$C$1:$C$20,0),MATCH($I63,Profile!$1:$1,0),4))),"")</f>
        <v/>
      </c>
      <c r="P63" s="9" t="str" cm="1">
        <f t="array" aca="1" ref="P63" ca="1">IFERROR(IF($J63="","",INDIRECT("Profile"&amp;"!"&amp;ADDRESS(MATCH(P$2,Profile!$C$1:$C$20,0),MATCH($I63,Profile!$1:$1,0),4))),"")</f>
        <v/>
      </c>
      <c r="Q63" s="3" t="str" cm="1">
        <f t="array" aca="1" ref="Q63" ca="1">IFERROR(IF($J63="","",INDIRECT("Profile"&amp;"!"&amp;ADDRESS(MATCH(Q$2,Profile!$C$1:$C$20,0),MATCH($I63,Profile!$1:$1,0),4))),"")</f>
        <v/>
      </c>
      <c r="R63" s="3" t="str" cm="1">
        <f t="array" aca="1" ref="R63" ca="1">IFERROR(IF($J63="","",INDIRECT("Profile"&amp;"!"&amp;ADDRESS(MATCH(R$2,Profile!$C$1:$C$20,0),MATCH($I63,Profile!$1:$1,0),4))),"")</f>
        <v/>
      </c>
      <c r="S63" s="3" t="str" cm="1">
        <f t="array" aca="1" ref="S63" ca="1">IFERROR(IF($J63="","",INDIRECT("Profile"&amp;"!"&amp;ADDRESS(MATCH(S$2,Profile!$C$1:$C$20,0),MATCH($I63,Profile!$1:$1,0),4))),"")</f>
        <v/>
      </c>
      <c r="T63" s="3" t="str" cm="1">
        <f t="array" aca="1" ref="T63" ca="1">IFERROR(IF($J63="","",INDIRECT("Profile"&amp;"!"&amp;ADDRESS(MATCH(T$2,Profile!$C$1:$C$20,0),MATCH($I63,Profile!$1:$1,0),4))),"")</f>
        <v/>
      </c>
      <c r="U63" s="38" t="str" cm="1">
        <f t="array" aca="1" ref="U63" ca="1">IFERROR(IF(INDIRECT("ID"&amp;"!"&amp;ADDRESS(MATCH($J63,ID!$B:$B,0),MATCH($U$1,ID!$1:$1,0),4))="","",INDIRECT("ID"&amp;"!"&amp;ADDRESS(MATCH($J63,ID!$B:$B,0),MATCH($U$1,ID!$1:$1,0),4))),"")</f>
        <v/>
      </c>
    </row>
    <row r="64" spans="9:21" x14ac:dyDescent="0.25">
      <c r="I64" s="7">
        <v>61</v>
      </c>
      <c r="J64" s="7" t="str" cm="1">
        <f t="array" aca="1" ref="J64" ca="1">IFERROR(IF(INDIRECT("Profile"&amp;"!"&amp;ADDRESS(MATCH(J$1,Profile!$A$1:$A$20,0),MATCH($I64,Profile!$1:$1,0),4))="","",INDIRECT("Profile"&amp;"!"&amp;ADDRESS(MATCH(J$1,Profile!$A$1:$A$20,0),MATCH($I64,Profile!$1:$1,0),4))),"")</f>
        <v/>
      </c>
      <c r="K64" s="9" t="str" cm="1">
        <f t="array" aca="1" ref="K64" ca="1">IF($J64="","",IF(INDIRECT("Profile"&amp;"!"&amp;ADDRESS(MATCH(K$2,Profile!$C$1:$C$20,0),MATCH($I64,Profile!$1:$1,0),4))="","",INDIRECT("Profile"&amp;"!"&amp;ADDRESS(MATCH(K$2,Profile!$C$1:$C$20,0),MATCH($I64,Profile!$1:$1,0)))))</f>
        <v/>
      </c>
      <c r="L64" s="3" t="str" cm="1">
        <f t="array" aca="1" ref="L64" ca="1">IF($J64="","",IF(INDIRECT("Profile"&amp;"!"&amp;ADDRESS(MATCH(L$2,Profile!$C$1:$C$20,0),MATCH($I64,Profile!$1:$1,0),4))="","",INDIRECT("Profile"&amp;"!"&amp;ADDRESS(MATCH(L$2,Profile!$C$1:$C$20,0),MATCH($I64,Profile!$1:$1,0)))))</f>
        <v/>
      </c>
      <c r="M64" s="9" t="str" cm="1">
        <f t="array" aca="1" ref="M64" ca="1">IF($J64="","",IF(INDIRECT("Profile"&amp;"!"&amp;ADDRESS(MATCH(M$2,Profile!$C$1:$C$20,0),MATCH($I64,Profile!$1:$1,0),4))="","",INDIRECT("Profile"&amp;"!"&amp;ADDRESS(MATCH(M$2,Profile!$C$1:$C$20,0),MATCH($I64,Profile!$1:$1,0)))))</f>
        <v/>
      </c>
      <c r="N64" s="3" t="str" cm="1">
        <f t="array" aca="1" ref="N64" ca="1">IF($J64="","",IF(INDIRECT("Profile"&amp;"!"&amp;ADDRESS(MATCH(N$2,Profile!$C$1:$C$20,0),MATCH($I64,Profile!$1:$1,0),4))="","",INDIRECT("Profile"&amp;"!"&amp;ADDRESS(MATCH(N$2,Profile!$C$1:$C$20,0),MATCH($I64,Profile!$1:$1,0)))))</f>
        <v/>
      </c>
      <c r="O64" s="3" t="str" cm="1">
        <f t="array" aca="1" ref="O64" ca="1">IFERROR(IF($J64="","",INDIRECT("Profile"&amp;"!"&amp;ADDRESS(MATCH(O$2,Profile!$C$1:$C$20,0),MATCH($I64,Profile!$1:$1,0),4))),"")</f>
        <v/>
      </c>
      <c r="P64" s="9" t="str" cm="1">
        <f t="array" aca="1" ref="P64" ca="1">IFERROR(IF($J64="","",INDIRECT("Profile"&amp;"!"&amp;ADDRESS(MATCH(P$2,Profile!$C$1:$C$20,0),MATCH($I64,Profile!$1:$1,0),4))),"")</f>
        <v/>
      </c>
      <c r="Q64" s="3" t="str" cm="1">
        <f t="array" aca="1" ref="Q64" ca="1">IFERROR(IF($J64="","",INDIRECT("Profile"&amp;"!"&amp;ADDRESS(MATCH(Q$2,Profile!$C$1:$C$20,0),MATCH($I64,Profile!$1:$1,0),4))),"")</f>
        <v/>
      </c>
      <c r="R64" s="3" t="str" cm="1">
        <f t="array" aca="1" ref="R64" ca="1">IFERROR(IF($J64="","",INDIRECT("Profile"&amp;"!"&amp;ADDRESS(MATCH(R$2,Profile!$C$1:$C$20,0),MATCH($I64,Profile!$1:$1,0),4))),"")</f>
        <v/>
      </c>
      <c r="S64" s="3" t="str" cm="1">
        <f t="array" aca="1" ref="S64" ca="1">IFERROR(IF($J64="","",INDIRECT("Profile"&amp;"!"&amp;ADDRESS(MATCH(S$2,Profile!$C$1:$C$20,0),MATCH($I64,Profile!$1:$1,0),4))),"")</f>
        <v/>
      </c>
      <c r="T64" s="3" t="str" cm="1">
        <f t="array" aca="1" ref="T64" ca="1">IFERROR(IF($J64="","",INDIRECT("Profile"&amp;"!"&amp;ADDRESS(MATCH(T$2,Profile!$C$1:$C$20,0),MATCH($I64,Profile!$1:$1,0),4))),"")</f>
        <v/>
      </c>
      <c r="U64" s="38" t="str" cm="1">
        <f t="array" aca="1" ref="U64" ca="1">IFERROR(IF(INDIRECT("ID"&amp;"!"&amp;ADDRESS(MATCH($J64,ID!$B:$B,0),MATCH($U$1,ID!$1:$1,0),4))="","",INDIRECT("ID"&amp;"!"&amp;ADDRESS(MATCH($J64,ID!$B:$B,0),MATCH($U$1,ID!$1:$1,0),4))),"")</f>
        <v/>
      </c>
    </row>
    <row r="65" spans="9:21" x14ac:dyDescent="0.25">
      <c r="I65" s="7">
        <v>62</v>
      </c>
      <c r="J65" s="7" t="str" cm="1">
        <f t="array" aca="1" ref="J65" ca="1">IFERROR(IF(INDIRECT("Profile"&amp;"!"&amp;ADDRESS(MATCH(J$1,Profile!$A$1:$A$20,0),MATCH($I65,Profile!$1:$1,0),4))="","",INDIRECT("Profile"&amp;"!"&amp;ADDRESS(MATCH(J$1,Profile!$A$1:$A$20,0),MATCH($I65,Profile!$1:$1,0),4))),"")</f>
        <v/>
      </c>
      <c r="K65" s="9" t="str" cm="1">
        <f t="array" aca="1" ref="K65" ca="1">IF($J65="","",IF(INDIRECT("Profile"&amp;"!"&amp;ADDRESS(MATCH(K$2,Profile!$C$1:$C$20,0),MATCH($I65,Profile!$1:$1,0),4))="","",INDIRECT("Profile"&amp;"!"&amp;ADDRESS(MATCH(K$2,Profile!$C$1:$C$20,0),MATCH($I65,Profile!$1:$1,0)))))</f>
        <v/>
      </c>
      <c r="L65" s="3" t="str" cm="1">
        <f t="array" aca="1" ref="L65" ca="1">IF($J65="","",IF(INDIRECT("Profile"&amp;"!"&amp;ADDRESS(MATCH(L$2,Profile!$C$1:$C$20,0),MATCH($I65,Profile!$1:$1,0),4))="","",INDIRECT("Profile"&amp;"!"&amp;ADDRESS(MATCH(L$2,Profile!$C$1:$C$20,0),MATCH($I65,Profile!$1:$1,0)))))</f>
        <v/>
      </c>
      <c r="M65" s="9" t="str" cm="1">
        <f t="array" aca="1" ref="M65" ca="1">IF($J65="","",IF(INDIRECT("Profile"&amp;"!"&amp;ADDRESS(MATCH(M$2,Profile!$C$1:$C$20,0),MATCH($I65,Profile!$1:$1,0),4))="","",INDIRECT("Profile"&amp;"!"&amp;ADDRESS(MATCH(M$2,Profile!$C$1:$C$20,0),MATCH($I65,Profile!$1:$1,0)))))</f>
        <v/>
      </c>
      <c r="N65" s="3" t="str" cm="1">
        <f t="array" aca="1" ref="N65" ca="1">IF($J65="","",IF(INDIRECT("Profile"&amp;"!"&amp;ADDRESS(MATCH(N$2,Profile!$C$1:$C$20,0),MATCH($I65,Profile!$1:$1,0),4))="","",INDIRECT("Profile"&amp;"!"&amp;ADDRESS(MATCH(N$2,Profile!$C$1:$C$20,0),MATCH($I65,Profile!$1:$1,0)))))</f>
        <v/>
      </c>
      <c r="O65" s="3" t="str" cm="1">
        <f t="array" aca="1" ref="O65" ca="1">IFERROR(IF($J65="","",INDIRECT("Profile"&amp;"!"&amp;ADDRESS(MATCH(O$2,Profile!$C$1:$C$20,0),MATCH($I65,Profile!$1:$1,0),4))),"")</f>
        <v/>
      </c>
      <c r="P65" s="9" t="str" cm="1">
        <f t="array" aca="1" ref="P65" ca="1">IFERROR(IF($J65="","",INDIRECT("Profile"&amp;"!"&amp;ADDRESS(MATCH(P$2,Profile!$C$1:$C$20,0),MATCH($I65,Profile!$1:$1,0),4))),"")</f>
        <v/>
      </c>
      <c r="Q65" s="3" t="str" cm="1">
        <f t="array" aca="1" ref="Q65" ca="1">IFERROR(IF($J65="","",INDIRECT("Profile"&amp;"!"&amp;ADDRESS(MATCH(Q$2,Profile!$C$1:$C$20,0),MATCH($I65,Profile!$1:$1,0),4))),"")</f>
        <v/>
      </c>
      <c r="R65" s="3" t="str" cm="1">
        <f t="array" aca="1" ref="R65" ca="1">IFERROR(IF($J65="","",INDIRECT("Profile"&amp;"!"&amp;ADDRESS(MATCH(R$2,Profile!$C$1:$C$20,0),MATCH($I65,Profile!$1:$1,0),4))),"")</f>
        <v/>
      </c>
      <c r="S65" s="3" t="str" cm="1">
        <f t="array" aca="1" ref="S65" ca="1">IFERROR(IF($J65="","",INDIRECT("Profile"&amp;"!"&amp;ADDRESS(MATCH(S$2,Profile!$C$1:$C$20,0),MATCH($I65,Profile!$1:$1,0),4))),"")</f>
        <v/>
      </c>
      <c r="T65" s="3" t="str" cm="1">
        <f t="array" aca="1" ref="T65" ca="1">IFERROR(IF($J65="","",INDIRECT("Profile"&amp;"!"&amp;ADDRESS(MATCH(T$2,Profile!$C$1:$C$20,0),MATCH($I65,Profile!$1:$1,0),4))),"")</f>
        <v/>
      </c>
      <c r="U65" s="38" t="str" cm="1">
        <f t="array" aca="1" ref="U65" ca="1">IFERROR(IF(INDIRECT("ID"&amp;"!"&amp;ADDRESS(MATCH($J65,ID!$B:$B,0),MATCH($U$1,ID!$1:$1,0),4))="","",INDIRECT("ID"&amp;"!"&amp;ADDRESS(MATCH($J65,ID!$B:$B,0),MATCH($U$1,ID!$1:$1,0),4))),"")</f>
        <v/>
      </c>
    </row>
    <row r="66" spans="9:21" x14ac:dyDescent="0.25">
      <c r="I66" s="7">
        <v>63</v>
      </c>
      <c r="J66" s="7" t="str" cm="1">
        <f t="array" aca="1" ref="J66" ca="1">IFERROR(IF(INDIRECT("Profile"&amp;"!"&amp;ADDRESS(MATCH(J$1,Profile!$A$1:$A$20,0),MATCH($I66,Profile!$1:$1,0),4))="","",INDIRECT("Profile"&amp;"!"&amp;ADDRESS(MATCH(J$1,Profile!$A$1:$A$20,0),MATCH($I66,Profile!$1:$1,0),4))),"")</f>
        <v/>
      </c>
      <c r="K66" s="9" t="str" cm="1">
        <f t="array" aca="1" ref="K66" ca="1">IF($J66="","",IF(INDIRECT("Profile"&amp;"!"&amp;ADDRESS(MATCH(K$2,Profile!$C$1:$C$20,0),MATCH($I66,Profile!$1:$1,0),4))="","",INDIRECT("Profile"&amp;"!"&amp;ADDRESS(MATCH(K$2,Profile!$C$1:$C$20,0),MATCH($I66,Profile!$1:$1,0)))))</f>
        <v/>
      </c>
      <c r="L66" s="3" t="str" cm="1">
        <f t="array" aca="1" ref="L66" ca="1">IF($J66="","",IF(INDIRECT("Profile"&amp;"!"&amp;ADDRESS(MATCH(L$2,Profile!$C$1:$C$20,0),MATCH($I66,Profile!$1:$1,0),4))="","",INDIRECT("Profile"&amp;"!"&amp;ADDRESS(MATCH(L$2,Profile!$C$1:$C$20,0),MATCH($I66,Profile!$1:$1,0)))))</f>
        <v/>
      </c>
      <c r="M66" s="9" t="str" cm="1">
        <f t="array" aca="1" ref="M66" ca="1">IF($J66="","",IF(INDIRECT("Profile"&amp;"!"&amp;ADDRESS(MATCH(M$2,Profile!$C$1:$C$20,0),MATCH($I66,Profile!$1:$1,0),4))="","",INDIRECT("Profile"&amp;"!"&amp;ADDRESS(MATCH(M$2,Profile!$C$1:$C$20,0),MATCH($I66,Profile!$1:$1,0)))))</f>
        <v/>
      </c>
      <c r="N66" s="3" t="str" cm="1">
        <f t="array" aca="1" ref="N66" ca="1">IF($J66="","",IF(INDIRECT("Profile"&amp;"!"&amp;ADDRESS(MATCH(N$2,Profile!$C$1:$C$20,0),MATCH($I66,Profile!$1:$1,0),4))="","",INDIRECT("Profile"&amp;"!"&amp;ADDRESS(MATCH(N$2,Profile!$C$1:$C$20,0),MATCH($I66,Profile!$1:$1,0)))))</f>
        <v/>
      </c>
      <c r="O66" s="3" t="str" cm="1">
        <f t="array" aca="1" ref="O66" ca="1">IFERROR(IF($J66="","",INDIRECT("Profile"&amp;"!"&amp;ADDRESS(MATCH(O$2,Profile!$C$1:$C$20,0),MATCH($I66,Profile!$1:$1,0),4))),"")</f>
        <v/>
      </c>
      <c r="P66" s="9" t="str" cm="1">
        <f t="array" aca="1" ref="P66" ca="1">IFERROR(IF($J66="","",INDIRECT("Profile"&amp;"!"&amp;ADDRESS(MATCH(P$2,Profile!$C$1:$C$20,0),MATCH($I66,Profile!$1:$1,0),4))),"")</f>
        <v/>
      </c>
      <c r="Q66" s="3" t="str" cm="1">
        <f t="array" aca="1" ref="Q66" ca="1">IFERROR(IF($J66="","",INDIRECT("Profile"&amp;"!"&amp;ADDRESS(MATCH(Q$2,Profile!$C$1:$C$20,0),MATCH($I66,Profile!$1:$1,0),4))),"")</f>
        <v/>
      </c>
      <c r="R66" s="3" t="str" cm="1">
        <f t="array" aca="1" ref="R66" ca="1">IFERROR(IF($J66="","",INDIRECT("Profile"&amp;"!"&amp;ADDRESS(MATCH(R$2,Profile!$C$1:$C$20,0),MATCH($I66,Profile!$1:$1,0),4))),"")</f>
        <v/>
      </c>
      <c r="S66" s="3" t="str" cm="1">
        <f t="array" aca="1" ref="S66" ca="1">IFERROR(IF($J66="","",INDIRECT("Profile"&amp;"!"&amp;ADDRESS(MATCH(S$2,Profile!$C$1:$C$20,0),MATCH($I66,Profile!$1:$1,0),4))),"")</f>
        <v/>
      </c>
      <c r="T66" s="3" t="str" cm="1">
        <f t="array" aca="1" ref="T66" ca="1">IFERROR(IF($J66="","",INDIRECT("Profile"&amp;"!"&amp;ADDRESS(MATCH(T$2,Profile!$C$1:$C$20,0),MATCH($I66,Profile!$1:$1,0),4))),"")</f>
        <v/>
      </c>
      <c r="U66" s="38" t="str" cm="1">
        <f t="array" aca="1" ref="U66" ca="1">IFERROR(IF(INDIRECT("ID"&amp;"!"&amp;ADDRESS(MATCH($J66,ID!$B:$B,0),MATCH($U$1,ID!$1:$1,0),4))="","",INDIRECT("ID"&amp;"!"&amp;ADDRESS(MATCH($J66,ID!$B:$B,0),MATCH($U$1,ID!$1:$1,0),4))),"")</f>
        <v/>
      </c>
    </row>
    <row r="67" spans="9:21" x14ac:dyDescent="0.25">
      <c r="I67" s="7">
        <v>64</v>
      </c>
      <c r="J67" s="7" t="str" cm="1">
        <f t="array" aca="1" ref="J67" ca="1">IFERROR(IF(INDIRECT("Profile"&amp;"!"&amp;ADDRESS(MATCH(J$1,Profile!$A$1:$A$20,0),MATCH($I67,Profile!$1:$1,0),4))="","",INDIRECT("Profile"&amp;"!"&amp;ADDRESS(MATCH(J$1,Profile!$A$1:$A$20,0),MATCH($I67,Profile!$1:$1,0),4))),"")</f>
        <v/>
      </c>
      <c r="K67" s="9" t="str" cm="1">
        <f t="array" aca="1" ref="K67" ca="1">IF($J67="","",IF(INDIRECT("Profile"&amp;"!"&amp;ADDRESS(MATCH(K$2,Profile!$C$1:$C$20,0),MATCH($I67,Profile!$1:$1,0),4))="","",INDIRECT("Profile"&amp;"!"&amp;ADDRESS(MATCH(K$2,Profile!$C$1:$C$20,0),MATCH($I67,Profile!$1:$1,0)))))</f>
        <v/>
      </c>
      <c r="L67" s="3" t="str" cm="1">
        <f t="array" aca="1" ref="L67" ca="1">IF($J67="","",IF(INDIRECT("Profile"&amp;"!"&amp;ADDRESS(MATCH(L$2,Profile!$C$1:$C$20,0),MATCH($I67,Profile!$1:$1,0),4))="","",INDIRECT("Profile"&amp;"!"&amp;ADDRESS(MATCH(L$2,Profile!$C$1:$C$20,0),MATCH($I67,Profile!$1:$1,0)))))</f>
        <v/>
      </c>
      <c r="M67" s="9" t="str" cm="1">
        <f t="array" aca="1" ref="M67" ca="1">IF($J67="","",IF(INDIRECT("Profile"&amp;"!"&amp;ADDRESS(MATCH(M$2,Profile!$C$1:$C$20,0),MATCH($I67,Profile!$1:$1,0),4))="","",INDIRECT("Profile"&amp;"!"&amp;ADDRESS(MATCH(M$2,Profile!$C$1:$C$20,0),MATCH($I67,Profile!$1:$1,0)))))</f>
        <v/>
      </c>
      <c r="N67" s="3" t="str" cm="1">
        <f t="array" aca="1" ref="N67" ca="1">IF($J67="","",IF(INDIRECT("Profile"&amp;"!"&amp;ADDRESS(MATCH(N$2,Profile!$C$1:$C$20,0),MATCH($I67,Profile!$1:$1,0),4))="","",INDIRECT("Profile"&amp;"!"&amp;ADDRESS(MATCH(N$2,Profile!$C$1:$C$20,0),MATCH($I67,Profile!$1:$1,0)))))</f>
        <v/>
      </c>
      <c r="O67" s="3" t="str" cm="1">
        <f t="array" aca="1" ref="O67" ca="1">IFERROR(IF($J67="","",INDIRECT("Profile"&amp;"!"&amp;ADDRESS(MATCH(O$2,Profile!$C$1:$C$20,0),MATCH($I67,Profile!$1:$1,0),4))),"")</f>
        <v/>
      </c>
      <c r="P67" s="9" t="str" cm="1">
        <f t="array" aca="1" ref="P67" ca="1">IFERROR(IF($J67="","",INDIRECT("Profile"&amp;"!"&amp;ADDRESS(MATCH(P$2,Profile!$C$1:$C$20,0),MATCH($I67,Profile!$1:$1,0),4))),"")</f>
        <v/>
      </c>
      <c r="Q67" s="3" t="str" cm="1">
        <f t="array" aca="1" ref="Q67" ca="1">IFERROR(IF($J67="","",INDIRECT("Profile"&amp;"!"&amp;ADDRESS(MATCH(Q$2,Profile!$C$1:$C$20,0),MATCH($I67,Profile!$1:$1,0),4))),"")</f>
        <v/>
      </c>
      <c r="R67" s="3" t="str" cm="1">
        <f t="array" aca="1" ref="R67" ca="1">IFERROR(IF($J67="","",INDIRECT("Profile"&amp;"!"&amp;ADDRESS(MATCH(R$2,Profile!$C$1:$C$20,0),MATCH($I67,Profile!$1:$1,0),4))),"")</f>
        <v/>
      </c>
      <c r="S67" s="3" t="str" cm="1">
        <f t="array" aca="1" ref="S67" ca="1">IFERROR(IF($J67="","",INDIRECT("Profile"&amp;"!"&amp;ADDRESS(MATCH(S$2,Profile!$C$1:$C$20,0),MATCH($I67,Profile!$1:$1,0),4))),"")</f>
        <v/>
      </c>
      <c r="T67" s="3" t="str" cm="1">
        <f t="array" aca="1" ref="T67" ca="1">IFERROR(IF($J67="","",INDIRECT("Profile"&amp;"!"&amp;ADDRESS(MATCH(T$2,Profile!$C$1:$C$20,0),MATCH($I67,Profile!$1:$1,0),4))),"")</f>
        <v/>
      </c>
      <c r="U67" s="38" t="str" cm="1">
        <f t="array" aca="1" ref="U67" ca="1">IFERROR(IF(INDIRECT("ID"&amp;"!"&amp;ADDRESS(MATCH($J67,ID!$B:$B,0),MATCH($U$1,ID!$1:$1,0),4))="","",INDIRECT("ID"&amp;"!"&amp;ADDRESS(MATCH($J67,ID!$B:$B,0),MATCH($U$1,ID!$1:$1,0),4))),"")</f>
        <v/>
      </c>
    </row>
    <row r="68" spans="9:21" x14ac:dyDescent="0.25">
      <c r="I68" s="7">
        <v>65</v>
      </c>
      <c r="J68" s="7" t="str" cm="1">
        <f t="array" aca="1" ref="J68" ca="1">IFERROR(IF(INDIRECT("Profile"&amp;"!"&amp;ADDRESS(MATCH(J$1,Profile!$A$1:$A$20,0),MATCH($I68,Profile!$1:$1,0),4))="","",INDIRECT("Profile"&amp;"!"&amp;ADDRESS(MATCH(J$1,Profile!$A$1:$A$20,0),MATCH($I68,Profile!$1:$1,0),4))),"")</f>
        <v/>
      </c>
      <c r="K68" s="9" t="str" cm="1">
        <f t="array" aca="1" ref="K68" ca="1">IF($J68="","",IF(INDIRECT("Profile"&amp;"!"&amp;ADDRESS(MATCH(K$2,Profile!$C$1:$C$20,0),MATCH($I68,Profile!$1:$1,0),4))="","",INDIRECT("Profile"&amp;"!"&amp;ADDRESS(MATCH(K$2,Profile!$C$1:$C$20,0),MATCH($I68,Profile!$1:$1,0)))))</f>
        <v/>
      </c>
      <c r="L68" s="3" t="str" cm="1">
        <f t="array" aca="1" ref="L68" ca="1">IF($J68="","",IF(INDIRECT("Profile"&amp;"!"&amp;ADDRESS(MATCH(L$2,Profile!$C$1:$C$20,0),MATCH($I68,Profile!$1:$1,0),4))="","",INDIRECT("Profile"&amp;"!"&amp;ADDRESS(MATCH(L$2,Profile!$C$1:$C$20,0),MATCH($I68,Profile!$1:$1,0)))))</f>
        <v/>
      </c>
      <c r="M68" s="9" t="str" cm="1">
        <f t="array" aca="1" ref="M68" ca="1">IF($J68="","",IF(INDIRECT("Profile"&amp;"!"&amp;ADDRESS(MATCH(M$2,Profile!$C$1:$C$20,0),MATCH($I68,Profile!$1:$1,0),4))="","",INDIRECT("Profile"&amp;"!"&amp;ADDRESS(MATCH(M$2,Profile!$C$1:$C$20,0),MATCH($I68,Profile!$1:$1,0)))))</f>
        <v/>
      </c>
      <c r="N68" s="3" t="str" cm="1">
        <f t="array" aca="1" ref="N68" ca="1">IF($J68="","",IF(INDIRECT("Profile"&amp;"!"&amp;ADDRESS(MATCH(N$2,Profile!$C$1:$C$20,0),MATCH($I68,Profile!$1:$1,0),4))="","",INDIRECT("Profile"&amp;"!"&amp;ADDRESS(MATCH(N$2,Profile!$C$1:$C$20,0),MATCH($I68,Profile!$1:$1,0)))))</f>
        <v/>
      </c>
      <c r="O68" s="3" t="str" cm="1">
        <f t="array" aca="1" ref="O68" ca="1">IFERROR(IF($J68="","",INDIRECT("Profile"&amp;"!"&amp;ADDRESS(MATCH(O$2,Profile!$C$1:$C$20,0),MATCH($I68,Profile!$1:$1,0),4))),"")</f>
        <v/>
      </c>
      <c r="P68" s="9" t="str" cm="1">
        <f t="array" aca="1" ref="P68" ca="1">IFERROR(IF($J68="","",INDIRECT("Profile"&amp;"!"&amp;ADDRESS(MATCH(P$2,Profile!$C$1:$C$20,0),MATCH($I68,Profile!$1:$1,0),4))),"")</f>
        <v/>
      </c>
      <c r="Q68" s="3" t="str" cm="1">
        <f t="array" aca="1" ref="Q68" ca="1">IFERROR(IF($J68="","",INDIRECT("Profile"&amp;"!"&amp;ADDRESS(MATCH(Q$2,Profile!$C$1:$C$20,0),MATCH($I68,Profile!$1:$1,0),4))),"")</f>
        <v/>
      </c>
      <c r="R68" s="3" t="str" cm="1">
        <f t="array" aca="1" ref="R68" ca="1">IFERROR(IF($J68="","",INDIRECT("Profile"&amp;"!"&amp;ADDRESS(MATCH(R$2,Profile!$C$1:$C$20,0),MATCH($I68,Profile!$1:$1,0),4))),"")</f>
        <v/>
      </c>
      <c r="S68" s="3" t="str" cm="1">
        <f t="array" aca="1" ref="S68" ca="1">IFERROR(IF($J68="","",INDIRECT("Profile"&amp;"!"&amp;ADDRESS(MATCH(S$2,Profile!$C$1:$C$20,0),MATCH($I68,Profile!$1:$1,0),4))),"")</f>
        <v/>
      </c>
      <c r="T68" s="3" t="str" cm="1">
        <f t="array" aca="1" ref="T68" ca="1">IFERROR(IF($J68="","",INDIRECT("Profile"&amp;"!"&amp;ADDRESS(MATCH(T$2,Profile!$C$1:$C$20,0),MATCH($I68,Profile!$1:$1,0),4))),"")</f>
        <v/>
      </c>
      <c r="U68" s="38" t="str" cm="1">
        <f t="array" aca="1" ref="U68" ca="1">IFERROR(IF(INDIRECT("ID"&amp;"!"&amp;ADDRESS(MATCH($J68,ID!$B:$B,0),MATCH($U$1,ID!$1:$1,0),4))="","",INDIRECT("ID"&amp;"!"&amp;ADDRESS(MATCH($J68,ID!$B:$B,0),MATCH($U$1,ID!$1:$1,0),4))),"")</f>
        <v/>
      </c>
    </row>
    <row r="69" spans="9:21" x14ac:dyDescent="0.25">
      <c r="I69" s="7">
        <v>66</v>
      </c>
      <c r="J69" s="7" t="str" cm="1">
        <f t="array" aca="1" ref="J69" ca="1">IFERROR(IF(INDIRECT("Profile"&amp;"!"&amp;ADDRESS(MATCH(J$1,Profile!$A$1:$A$20,0),MATCH($I69,Profile!$1:$1,0),4))="","",INDIRECT("Profile"&amp;"!"&amp;ADDRESS(MATCH(J$1,Profile!$A$1:$A$20,0),MATCH($I69,Profile!$1:$1,0),4))),"")</f>
        <v/>
      </c>
      <c r="K69" s="9" t="str" cm="1">
        <f t="array" aca="1" ref="K69" ca="1">IF($J69="","",IF(INDIRECT("Profile"&amp;"!"&amp;ADDRESS(MATCH(K$2,Profile!$C$1:$C$20,0),MATCH($I69,Profile!$1:$1,0),4))="","",INDIRECT("Profile"&amp;"!"&amp;ADDRESS(MATCH(K$2,Profile!$C$1:$C$20,0),MATCH($I69,Profile!$1:$1,0)))))</f>
        <v/>
      </c>
      <c r="L69" s="3" t="str" cm="1">
        <f t="array" aca="1" ref="L69" ca="1">IF($J69="","",IF(INDIRECT("Profile"&amp;"!"&amp;ADDRESS(MATCH(L$2,Profile!$C$1:$C$20,0),MATCH($I69,Profile!$1:$1,0),4))="","",INDIRECT("Profile"&amp;"!"&amp;ADDRESS(MATCH(L$2,Profile!$C$1:$C$20,0),MATCH($I69,Profile!$1:$1,0)))))</f>
        <v/>
      </c>
      <c r="M69" s="9" t="str" cm="1">
        <f t="array" aca="1" ref="M69" ca="1">IF($J69="","",IF(INDIRECT("Profile"&amp;"!"&amp;ADDRESS(MATCH(M$2,Profile!$C$1:$C$20,0),MATCH($I69,Profile!$1:$1,0),4))="","",INDIRECT("Profile"&amp;"!"&amp;ADDRESS(MATCH(M$2,Profile!$C$1:$C$20,0),MATCH($I69,Profile!$1:$1,0)))))</f>
        <v/>
      </c>
      <c r="N69" s="3" t="str" cm="1">
        <f t="array" aca="1" ref="N69" ca="1">IF($J69="","",IF(INDIRECT("Profile"&amp;"!"&amp;ADDRESS(MATCH(N$2,Profile!$C$1:$C$20,0),MATCH($I69,Profile!$1:$1,0),4))="","",INDIRECT("Profile"&amp;"!"&amp;ADDRESS(MATCH(N$2,Profile!$C$1:$C$20,0),MATCH($I69,Profile!$1:$1,0)))))</f>
        <v/>
      </c>
      <c r="O69" s="3" t="str" cm="1">
        <f t="array" aca="1" ref="O69" ca="1">IFERROR(IF($J69="","",INDIRECT("Profile"&amp;"!"&amp;ADDRESS(MATCH(O$2,Profile!$C$1:$C$20,0),MATCH($I69,Profile!$1:$1,0),4))),"")</f>
        <v/>
      </c>
      <c r="P69" s="9" t="str" cm="1">
        <f t="array" aca="1" ref="P69" ca="1">IFERROR(IF($J69="","",INDIRECT("Profile"&amp;"!"&amp;ADDRESS(MATCH(P$2,Profile!$C$1:$C$20,0),MATCH($I69,Profile!$1:$1,0),4))),"")</f>
        <v/>
      </c>
      <c r="Q69" s="3" t="str" cm="1">
        <f t="array" aca="1" ref="Q69" ca="1">IFERROR(IF($J69="","",INDIRECT("Profile"&amp;"!"&amp;ADDRESS(MATCH(Q$2,Profile!$C$1:$C$20,0),MATCH($I69,Profile!$1:$1,0),4))),"")</f>
        <v/>
      </c>
      <c r="R69" s="3" t="str" cm="1">
        <f t="array" aca="1" ref="R69" ca="1">IFERROR(IF($J69="","",INDIRECT("Profile"&amp;"!"&amp;ADDRESS(MATCH(R$2,Profile!$C$1:$C$20,0),MATCH($I69,Profile!$1:$1,0),4))),"")</f>
        <v/>
      </c>
      <c r="S69" s="3" t="str" cm="1">
        <f t="array" aca="1" ref="S69" ca="1">IFERROR(IF($J69="","",INDIRECT("Profile"&amp;"!"&amp;ADDRESS(MATCH(S$2,Profile!$C$1:$C$20,0),MATCH($I69,Profile!$1:$1,0),4))),"")</f>
        <v/>
      </c>
      <c r="T69" s="3" t="str" cm="1">
        <f t="array" aca="1" ref="T69" ca="1">IFERROR(IF($J69="","",INDIRECT("Profile"&amp;"!"&amp;ADDRESS(MATCH(T$2,Profile!$C$1:$C$20,0),MATCH($I69,Profile!$1:$1,0),4))),"")</f>
        <v/>
      </c>
      <c r="U69" s="38" t="str" cm="1">
        <f t="array" aca="1" ref="U69" ca="1">IFERROR(IF(INDIRECT("ID"&amp;"!"&amp;ADDRESS(MATCH($J69,ID!$B:$B,0),MATCH($U$1,ID!$1:$1,0),4))="","",INDIRECT("ID"&amp;"!"&amp;ADDRESS(MATCH($J69,ID!$B:$B,0),MATCH($U$1,ID!$1:$1,0),4))),"")</f>
        <v/>
      </c>
    </row>
    <row r="70" spans="9:21" x14ac:dyDescent="0.25">
      <c r="I70" s="7">
        <v>67</v>
      </c>
      <c r="J70" s="7" t="str" cm="1">
        <f t="array" aca="1" ref="J70" ca="1">IFERROR(IF(INDIRECT("Profile"&amp;"!"&amp;ADDRESS(MATCH(J$1,Profile!$A$1:$A$20,0),MATCH($I70,Profile!$1:$1,0),4))="","",INDIRECT("Profile"&amp;"!"&amp;ADDRESS(MATCH(J$1,Profile!$A$1:$A$20,0),MATCH($I70,Profile!$1:$1,0),4))),"")</f>
        <v/>
      </c>
      <c r="K70" s="9" t="str" cm="1">
        <f t="array" aca="1" ref="K70" ca="1">IF($J70="","",IF(INDIRECT("Profile"&amp;"!"&amp;ADDRESS(MATCH(K$2,Profile!$C$1:$C$20,0),MATCH($I70,Profile!$1:$1,0),4))="","",INDIRECT("Profile"&amp;"!"&amp;ADDRESS(MATCH(K$2,Profile!$C$1:$C$20,0),MATCH($I70,Profile!$1:$1,0)))))</f>
        <v/>
      </c>
      <c r="L70" s="3" t="str" cm="1">
        <f t="array" aca="1" ref="L70" ca="1">IF($J70="","",IF(INDIRECT("Profile"&amp;"!"&amp;ADDRESS(MATCH(L$2,Profile!$C$1:$C$20,0),MATCH($I70,Profile!$1:$1,0),4))="","",INDIRECT("Profile"&amp;"!"&amp;ADDRESS(MATCH(L$2,Profile!$C$1:$C$20,0),MATCH($I70,Profile!$1:$1,0)))))</f>
        <v/>
      </c>
      <c r="M70" s="9" t="str" cm="1">
        <f t="array" aca="1" ref="M70" ca="1">IF($J70="","",IF(INDIRECT("Profile"&amp;"!"&amp;ADDRESS(MATCH(M$2,Profile!$C$1:$C$20,0),MATCH($I70,Profile!$1:$1,0),4))="","",INDIRECT("Profile"&amp;"!"&amp;ADDRESS(MATCH(M$2,Profile!$C$1:$C$20,0),MATCH($I70,Profile!$1:$1,0)))))</f>
        <v/>
      </c>
      <c r="N70" s="3" t="str" cm="1">
        <f t="array" aca="1" ref="N70" ca="1">IF($J70="","",IF(INDIRECT("Profile"&amp;"!"&amp;ADDRESS(MATCH(N$2,Profile!$C$1:$C$20,0),MATCH($I70,Profile!$1:$1,0),4))="","",INDIRECT("Profile"&amp;"!"&amp;ADDRESS(MATCH(N$2,Profile!$C$1:$C$20,0),MATCH($I70,Profile!$1:$1,0)))))</f>
        <v/>
      </c>
      <c r="O70" s="3" t="str" cm="1">
        <f t="array" aca="1" ref="O70" ca="1">IFERROR(IF($J70="","",INDIRECT("Profile"&amp;"!"&amp;ADDRESS(MATCH(O$2,Profile!$C$1:$C$20,0),MATCH($I70,Profile!$1:$1,0),4))),"")</f>
        <v/>
      </c>
      <c r="P70" s="9" t="str" cm="1">
        <f t="array" aca="1" ref="P70" ca="1">IFERROR(IF($J70="","",INDIRECT("Profile"&amp;"!"&amp;ADDRESS(MATCH(P$2,Profile!$C$1:$C$20,0),MATCH($I70,Profile!$1:$1,0),4))),"")</f>
        <v/>
      </c>
      <c r="Q70" s="3" t="str" cm="1">
        <f t="array" aca="1" ref="Q70" ca="1">IFERROR(IF($J70="","",INDIRECT("Profile"&amp;"!"&amp;ADDRESS(MATCH(Q$2,Profile!$C$1:$C$20,0),MATCH($I70,Profile!$1:$1,0),4))),"")</f>
        <v/>
      </c>
      <c r="R70" s="3" t="str" cm="1">
        <f t="array" aca="1" ref="R70" ca="1">IFERROR(IF($J70="","",INDIRECT("Profile"&amp;"!"&amp;ADDRESS(MATCH(R$2,Profile!$C$1:$C$20,0),MATCH($I70,Profile!$1:$1,0),4))),"")</f>
        <v/>
      </c>
      <c r="S70" s="3" t="str" cm="1">
        <f t="array" aca="1" ref="S70" ca="1">IFERROR(IF($J70="","",INDIRECT("Profile"&amp;"!"&amp;ADDRESS(MATCH(S$2,Profile!$C$1:$C$20,0),MATCH($I70,Profile!$1:$1,0),4))),"")</f>
        <v/>
      </c>
      <c r="T70" s="3" t="str" cm="1">
        <f t="array" aca="1" ref="T70" ca="1">IFERROR(IF($J70="","",INDIRECT("Profile"&amp;"!"&amp;ADDRESS(MATCH(T$2,Profile!$C$1:$C$20,0),MATCH($I70,Profile!$1:$1,0),4))),"")</f>
        <v/>
      </c>
      <c r="U70" s="38" t="str" cm="1">
        <f t="array" aca="1" ref="U70" ca="1">IFERROR(IF(INDIRECT("ID"&amp;"!"&amp;ADDRESS(MATCH($J70,ID!$B:$B,0),MATCH($U$1,ID!$1:$1,0),4))="","",INDIRECT("ID"&amp;"!"&amp;ADDRESS(MATCH($J70,ID!$B:$B,0),MATCH($U$1,ID!$1:$1,0),4))),"")</f>
        <v/>
      </c>
    </row>
    <row r="71" spans="9:21" x14ac:dyDescent="0.25">
      <c r="I71" s="7">
        <v>68</v>
      </c>
      <c r="J71" s="7" t="str" cm="1">
        <f t="array" aca="1" ref="J71" ca="1">IFERROR(IF(INDIRECT("Profile"&amp;"!"&amp;ADDRESS(MATCH(J$1,Profile!$A$1:$A$20,0),MATCH($I71,Profile!$1:$1,0),4))="","",INDIRECT("Profile"&amp;"!"&amp;ADDRESS(MATCH(J$1,Profile!$A$1:$A$20,0),MATCH($I71,Profile!$1:$1,0),4))),"")</f>
        <v/>
      </c>
      <c r="K71" s="9" t="str" cm="1">
        <f t="array" aca="1" ref="K71" ca="1">IF($J71="","",IF(INDIRECT("Profile"&amp;"!"&amp;ADDRESS(MATCH(K$2,Profile!$C$1:$C$20,0),MATCH($I71,Profile!$1:$1,0),4))="","",INDIRECT("Profile"&amp;"!"&amp;ADDRESS(MATCH(K$2,Profile!$C$1:$C$20,0),MATCH($I71,Profile!$1:$1,0)))))</f>
        <v/>
      </c>
      <c r="L71" s="3" t="str" cm="1">
        <f t="array" aca="1" ref="L71" ca="1">IF($J71="","",IF(INDIRECT("Profile"&amp;"!"&amp;ADDRESS(MATCH(L$2,Profile!$C$1:$C$20,0),MATCH($I71,Profile!$1:$1,0),4))="","",INDIRECT("Profile"&amp;"!"&amp;ADDRESS(MATCH(L$2,Profile!$C$1:$C$20,0),MATCH($I71,Profile!$1:$1,0)))))</f>
        <v/>
      </c>
      <c r="M71" s="9" t="str" cm="1">
        <f t="array" aca="1" ref="M71" ca="1">IF($J71="","",IF(INDIRECT("Profile"&amp;"!"&amp;ADDRESS(MATCH(M$2,Profile!$C$1:$C$20,0),MATCH($I71,Profile!$1:$1,0),4))="","",INDIRECT("Profile"&amp;"!"&amp;ADDRESS(MATCH(M$2,Profile!$C$1:$C$20,0),MATCH($I71,Profile!$1:$1,0)))))</f>
        <v/>
      </c>
      <c r="N71" s="3" t="str" cm="1">
        <f t="array" aca="1" ref="N71" ca="1">IF($J71="","",IF(INDIRECT("Profile"&amp;"!"&amp;ADDRESS(MATCH(N$2,Profile!$C$1:$C$20,0),MATCH($I71,Profile!$1:$1,0),4))="","",INDIRECT("Profile"&amp;"!"&amp;ADDRESS(MATCH(N$2,Profile!$C$1:$C$20,0),MATCH($I71,Profile!$1:$1,0)))))</f>
        <v/>
      </c>
      <c r="O71" s="3" t="str" cm="1">
        <f t="array" aca="1" ref="O71" ca="1">IFERROR(IF($J71="","",INDIRECT("Profile"&amp;"!"&amp;ADDRESS(MATCH(O$2,Profile!$C$1:$C$20,0),MATCH($I71,Profile!$1:$1,0),4))),"")</f>
        <v/>
      </c>
      <c r="P71" s="9" t="str" cm="1">
        <f t="array" aca="1" ref="P71" ca="1">IFERROR(IF($J71="","",INDIRECT("Profile"&amp;"!"&amp;ADDRESS(MATCH(P$2,Profile!$C$1:$C$20,0),MATCH($I71,Profile!$1:$1,0),4))),"")</f>
        <v/>
      </c>
      <c r="Q71" s="3" t="str" cm="1">
        <f t="array" aca="1" ref="Q71" ca="1">IFERROR(IF($J71="","",INDIRECT("Profile"&amp;"!"&amp;ADDRESS(MATCH(Q$2,Profile!$C$1:$C$20,0),MATCH($I71,Profile!$1:$1,0),4))),"")</f>
        <v/>
      </c>
      <c r="R71" s="3" t="str" cm="1">
        <f t="array" aca="1" ref="R71" ca="1">IFERROR(IF($J71="","",INDIRECT("Profile"&amp;"!"&amp;ADDRESS(MATCH(R$2,Profile!$C$1:$C$20,0),MATCH($I71,Profile!$1:$1,0),4))),"")</f>
        <v/>
      </c>
      <c r="S71" s="3" t="str" cm="1">
        <f t="array" aca="1" ref="S71" ca="1">IFERROR(IF($J71="","",INDIRECT("Profile"&amp;"!"&amp;ADDRESS(MATCH(S$2,Profile!$C$1:$C$20,0),MATCH($I71,Profile!$1:$1,0),4))),"")</f>
        <v/>
      </c>
      <c r="T71" s="3" t="str" cm="1">
        <f t="array" aca="1" ref="T71" ca="1">IFERROR(IF($J71="","",INDIRECT("Profile"&amp;"!"&amp;ADDRESS(MATCH(T$2,Profile!$C$1:$C$20,0),MATCH($I71,Profile!$1:$1,0),4))),"")</f>
        <v/>
      </c>
      <c r="U71" s="38" t="str" cm="1">
        <f t="array" aca="1" ref="U71" ca="1">IFERROR(IF(INDIRECT("ID"&amp;"!"&amp;ADDRESS(MATCH($J71,ID!$B:$B,0),MATCH($U$1,ID!$1:$1,0),4))="","",INDIRECT("ID"&amp;"!"&amp;ADDRESS(MATCH($J71,ID!$B:$B,0),MATCH($U$1,ID!$1:$1,0),4))),"")</f>
        <v/>
      </c>
    </row>
    <row r="72" spans="9:21" x14ac:dyDescent="0.25">
      <c r="I72" s="7">
        <v>69</v>
      </c>
      <c r="J72" s="7" t="str" cm="1">
        <f t="array" aca="1" ref="J72" ca="1">IFERROR(IF(INDIRECT("Profile"&amp;"!"&amp;ADDRESS(MATCH(J$1,Profile!$A$1:$A$20,0),MATCH($I72,Profile!$1:$1,0),4))="","",INDIRECT("Profile"&amp;"!"&amp;ADDRESS(MATCH(J$1,Profile!$A$1:$A$20,0),MATCH($I72,Profile!$1:$1,0),4))),"")</f>
        <v/>
      </c>
      <c r="K72" s="9" t="str" cm="1">
        <f t="array" aca="1" ref="K72" ca="1">IF($J72="","",IF(INDIRECT("Profile"&amp;"!"&amp;ADDRESS(MATCH(K$2,Profile!$C$1:$C$20,0),MATCH($I72,Profile!$1:$1,0),4))="","",INDIRECT("Profile"&amp;"!"&amp;ADDRESS(MATCH(K$2,Profile!$C$1:$C$20,0),MATCH($I72,Profile!$1:$1,0)))))</f>
        <v/>
      </c>
      <c r="L72" s="3" t="str" cm="1">
        <f t="array" aca="1" ref="L72" ca="1">IF($J72="","",IF(INDIRECT("Profile"&amp;"!"&amp;ADDRESS(MATCH(L$2,Profile!$C$1:$C$20,0),MATCH($I72,Profile!$1:$1,0),4))="","",INDIRECT("Profile"&amp;"!"&amp;ADDRESS(MATCH(L$2,Profile!$C$1:$C$20,0),MATCH($I72,Profile!$1:$1,0)))))</f>
        <v/>
      </c>
      <c r="M72" s="9" t="str" cm="1">
        <f t="array" aca="1" ref="M72" ca="1">IF($J72="","",IF(INDIRECT("Profile"&amp;"!"&amp;ADDRESS(MATCH(M$2,Profile!$C$1:$C$20,0),MATCH($I72,Profile!$1:$1,0),4))="","",INDIRECT("Profile"&amp;"!"&amp;ADDRESS(MATCH(M$2,Profile!$C$1:$C$20,0),MATCH($I72,Profile!$1:$1,0)))))</f>
        <v/>
      </c>
      <c r="N72" s="3" t="str" cm="1">
        <f t="array" aca="1" ref="N72" ca="1">IF($J72="","",IF(INDIRECT("Profile"&amp;"!"&amp;ADDRESS(MATCH(N$2,Profile!$C$1:$C$20,0),MATCH($I72,Profile!$1:$1,0),4))="","",INDIRECT("Profile"&amp;"!"&amp;ADDRESS(MATCH(N$2,Profile!$C$1:$C$20,0),MATCH($I72,Profile!$1:$1,0)))))</f>
        <v/>
      </c>
      <c r="O72" s="3" t="str" cm="1">
        <f t="array" aca="1" ref="O72" ca="1">IFERROR(IF($J72="","",INDIRECT("Profile"&amp;"!"&amp;ADDRESS(MATCH(O$2,Profile!$C$1:$C$20,0),MATCH($I72,Profile!$1:$1,0),4))),"")</f>
        <v/>
      </c>
      <c r="P72" s="9" t="str" cm="1">
        <f t="array" aca="1" ref="P72" ca="1">IFERROR(IF($J72="","",INDIRECT("Profile"&amp;"!"&amp;ADDRESS(MATCH(P$2,Profile!$C$1:$C$20,0),MATCH($I72,Profile!$1:$1,0),4))),"")</f>
        <v/>
      </c>
      <c r="Q72" s="3" t="str" cm="1">
        <f t="array" aca="1" ref="Q72" ca="1">IFERROR(IF($J72="","",INDIRECT("Profile"&amp;"!"&amp;ADDRESS(MATCH(Q$2,Profile!$C$1:$C$20,0),MATCH($I72,Profile!$1:$1,0),4))),"")</f>
        <v/>
      </c>
      <c r="R72" s="3" t="str" cm="1">
        <f t="array" aca="1" ref="R72" ca="1">IFERROR(IF($J72="","",INDIRECT("Profile"&amp;"!"&amp;ADDRESS(MATCH(R$2,Profile!$C$1:$C$20,0),MATCH($I72,Profile!$1:$1,0),4))),"")</f>
        <v/>
      </c>
      <c r="S72" s="3" t="str" cm="1">
        <f t="array" aca="1" ref="S72" ca="1">IFERROR(IF($J72="","",INDIRECT("Profile"&amp;"!"&amp;ADDRESS(MATCH(S$2,Profile!$C$1:$C$20,0),MATCH($I72,Profile!$1:$1,0),4))),"")</f>
        <v/>
      </c>
      <c r="T72" s="3" t="str" cm="1">
        <f t="array" aca="1" ref="T72" ca="1">IFERROR(IF($J72="","",INDIRECT("Profile"&amp;"!"&amp;ADDRESS(MATCH(T$2,Profile!$C$1:$C$20,0),MATCH($I72,Profile!$1:$1,0),4))),"")</f>
        <v/>
      </c>
      <c r="U72" s="38" t="str" cm="1">
        <f t="array" aca="1" ref="U72" ca="1">IFERROR(IF(INDIRECT("ID"&amp;"!"&amp;ADDRESS(MATCH($J72,ID!$B:$B,0),MATCH($U$1,ID!$1:$1,0),4))="","",INDIRECT("ID"&amp;"!"&amp;ADDRESS(MATCH($J72,ID!$B:$B,0),MATCH($U$1,ID!$1:$1,0),4))),"")</f>
        <v/>
      </c>
    </row>
    <row r="73" spans="9:21" x14ac:dyDescent="0.25">
      <c r="I73" s="7">
        <v>70</v>
      </c>
      <c r="J73" s="7" t="str" cm="1">
        <f t="array" aca="1" ref="J73" ca="1">IFERROR(IF(INDIRECT("Profile"&amp;"!"&amp;ADDRESS(MATCH(J$1,Profile!$A$1:$A$20,0),MATCH($I73,Profile!$1:$1,0),4))="","",INDIRECT("Profile"&amp;"!"&amp;ADDRESS(MATCH(J$1,Profile!$A$1:$A$20,0),MATCH($I73,Profile!$1:$1,0),4))),"")</f>
        <v/>
      </c>
      <c r="K73" s="9" t="str" cm="1">
        <f t="array" aca="1" ref="K73" ca="1">IF($J73="","",IF(INDIRECT("Profile"&amp;"!"&amp;ADDRESS(MATCH(K$2,Profile!$C$1:$C$20,0),MATCH($I73,Profile!$1:$1,0),4))="","",INDIRECT("Profile"&amp;"!"&amp;ADDRESS(MATCH(K$2,Profile!$C$1:$C$20,0),MATCH($I73,Profile!$1:$1,0)))))</f>
        <v/>
      </c>
      <c r="L73" s="3" t="str" cm="1">
        <f t="array" aca="1" ref="L73" ca="1">IF($J73="","",IF(INDIRECT("Profile"&amp;"!"&amp;ADDRESS(MATCH(L$2,Profile!$C$1:$C$20,0),MATCH($I73,Profile!$1:$1,0),4))="","",INDIRECT("Profile"&amp;"!"&amp;ADDRESS(MATCH(L$2,Profile!$C$1:$C$20,0),MATCH($I73,Profile!$1:$1,0)))))</f>
        <v/>
      </c>
      <c r="M73" s="9" t="str" cm="1">
        <f t="array" aca="1" ref="M73" ca="1">IF($J73="","",IF(INDIRECT("Profile"&amp;"!"&amp;ADDRESS(MATCH(M$2,Profile!$C$1:$C$20,0),MATCH($I73,Profile!$1:$1,0),4))="","",INDIRECT("Profile"&amp;"!"&amp;ADDRESS(MATCH(M$2,Profile!$C$1:$C$20,0),MATCH($I73,Profile!$1:$1,0)))))</f>
        <v/>
      </c>
      <c r="N73" s="3" t="str" cm="1">
        <f t="array" aca="1" ref="N73" ca="1">IF($J73="","",IF(INDIRECT("Profile"&amp;"!"&amp;ADDRESS(MATCH(N$2,Profile!$C$1:$C$20,0),MATCH($I73,Profile!$1:$1,0),4))="","",INDIRECT("Profile"&amp;"!"&amp;ADDRESS(MATCH(N$2,Profile!$C$1:$C$20,0),MATCH($I73,Profile!$1:$1,0)))))</f>
        <v/>
      </c>
      <c r="O73" s="3" t="str" cm="1">
        <f t="array" aca="1" ref="O73" ca="1">IFERROR(IF($J73="","",INDIRECT("Profile"&amp;"!"&amp;ADDRESS(MATCH(O$2,Profile!$C$1:$C$20,0),MATCH($I73,Profile!$1:$1,0),4))),"")</f>
        <v/>
      </c>
      <c r="P73" s="9" t="str" cm="1">
        <f t="array" aca="1" ref="P73" ca="1">IFERROR(IF($J73="","",INDIRECT("Profile"&amp;"!"&amp;ADDRESS(MATCH(P$2,Profile!$C$1:$C$20,0),MATCH($I73,Profile!$1:$1,0),4))),"")</f>
        <v/>
      </c>
      <c r="Q73" s="3" t="str" cm="1">
        <f t="array" aca="1" ref="Q73" ca="1">IFERROR(IF($J73="","",INDIRECT("Profile"&amp;"!"&amp;ADDRESS(MATCH(Q$2,Profile!$C$1:$C$20,0),MATCH($I73,Profile!$1:$1,0),4))),"")</f>
        <v/>
      </c>
      <c r="R73" s="3" t="str" cm="1">
        <f t="array" aca="1" ref="R73" ca="1">IFERROR(IF($J73="","",INDIRECT("Profile"&amp;"!"&amp;ADDRESS(MATCH(R$2,Profile!$C$1:$C$20,0),MATCH($I73,Profile!$1:$1,0),4))),"")</f>
        <v/>
      </c>
      <c r="S73" s="3" t="str" cm="1">
        <f t="array" aca="1" ref="S73" ca="1">IFERROR(IF($J73="","",INDIRECT("Profile"&amp;"!"&amp;ADDRESS(MATCH(S$2,Profile!$C$1:$C$20,0),MATCH($I73,Profile!$1:$1,0),4))),"")</f>
        <v/>
      </c>
      <c r="T73" s="3" t="str" cm="1">
        <f t="array" aca="1" ref="T73" ca="1">IFERROR(IF($J73="","",INDIRECT("Profile"&amp;"!"&amp;ADDRESS(MATCH(T$2,Profile!$C$1:$C$20,0),MATCH($I73,Profile!$1:$1,0),4))),"")</f>
        <v/>
      </c>
      <c r="U73" s="38" t="str" cm="1">
        <f t="array" aca="1" ref="U73" ca="1">IFERROR(IF(INDIRECT("ID"&amp;"!"&amp;ADDRESS(MATCH($J73,ID!$B:$B,0),MATCH($U$1,ID!$1:$1,0),4))="","",INDIRECT("ID"&amp;"!"&amp;ADDRESS(MATCH($J73,ID!$B:$B,0),MATCH($U$1,ID!$1:$1,0),4))),"")</f>
        <v/>
      </c>
    </row>
    <row r="74" spans="9:21" x14ac:dyDescent="0.25">
      <c r="I74" s="7">
        <v>71</v>
      </c>
      <c r="J74" s="7" t="str" cm="1">
        <f t="array" aca="1" ref="J74" ca="1">IFERROR(IF(INDIRECT("Profile"&amp;"!"&amp;ADDRESS(MATCH(J$1,Profile!$A$1:$A$20,0),MATCH($I74,Profile!$1:$1,0),4))="","",INDIRECT("Profile"&amp;"!"&amp;ADDRESS(MATCH(J$1,Profile!$A$1:$A$20,0),MATCH($I74,Profile!$1:$1,0),4))),"")</f>
        <v/>
      </c>
      <c r="K74" s="9" t="str" cm="1">
        <f t="array" aca="1" ref="K74" ca="1">IF($J74="","",IF(INDIRECT("Profile"&amp;"!"&amp;ADDRESS(MATCH(K$2,Profile!$C$1:$C$20,0),MATCH($I74,Profile!$1:$1,0),4))="","",INDIRECT("Profile"&amp;"!"&amp;ADDRESS(MATCH(K$2,Profile!$C$1:$C$20,0),MATCH($I74,Profile!$1:$1,0)))))</f>
        <v/>
      </c>
      <c r="L74" s="3" t="str" cm="1">
        <f t="array" aca="1" ref="L74" ca="1">IF($J74="","",IF(INDIRECT("Profile"&amp;"!"&amp;ADDRESS(MATCH(L$2,Profile!$C$1:$C$20,0),MATCH($I74,Profile!$1:$1,0),4))="","",INDIRECT("Profile"&amp;"!"&amp;ADDRESS(MATCH(L$2,Profile!$C$1:$C$20,0),MATCH($I74,Profile!$1:$1,0)))))</f>
        <v/>
      </c>
      <c r="M74" s="9" t="str" cm="1">
        <f t="array" aca="1" ref="M74" ca="1">IF($J74="","",IF(INDIRECT("Profile"&amp;"!"&amp;ADDRESS(MATCH(M$2,Profile!$C$1:$C$20,0),MATCH($I74,Profile!$1:$1,0),4))="","",INDIRECT("Profile"&amp;"!"&amp;ADDRESS(MATCH(M$2,Profile!$C$1:$C$20,0),MATCH($I74,Profile!$1:$1,0)))))</f>
        <v/>
      </c>
      <c r="N74" s="3" t="str" cm="1">
        <f t="array" aca="1" ref="N74" ca="1">IF($J74="","",IF(INDIRECT("Profile"&amp;"!"&amp;ADDRESS(MATCH(N$2,Profile!$C$1:$C$20,0),MATCH($I74,Profile!$1:$1,0),4))="","",INDIRECT("Profile"&amp;"!"&amp;ADDRESS(MATCH(N$2,Profile!$C$1:$C$20,0),MATCH($I74,Profile!$1:$1,0)))))</f>
        <v/>
      </c>
      <c r="O74" s="3" t="str" cm="1">
        <f t="array" aca="1" ref="O74" ca="1">IFERROR(IF($J74="","",INDIRECT("Profile"&amp;"!"&amp;ADDRESS(MATCH(O$2,Profile!$C$1:$C$20,0),MATCH($I74,Profile!$1:$1,0),4))),"")</f>
        <v/>
      </c>
      <c r="P74" s="9" t="str" cm="1">
        <f t="array" aca="1" ref="P74" ca="1">IFERROR(IF($J74="","",INDIRECT("Profile"&amp;"!"&amp;ADDRESS(MATCH(P$2,Profile!$C$1:$C$20,0),MATCH($I74,Profile!$1:$1,0),4))),"")</f>
        <v/>
      </c>
      <c r="Q74" s="3" t="str" cm="1">
        <f t="array" aca="1" ref="Q74" ca="1">IFERROR(IF($J74="","",INDIRECT("Profile"&amp;"!"&amp;ADDRESS(MATCH(Q$2,Profile!$C$1:$C$20,0),MATCH($I74,Profile!$1:$1,0),4))),"")</f>
        <v/>
      </c>
      <c r="R74" s="3" t="str" cm="1">
        <f t="array" aca="1" ref="R74" ca="1">IFERROR(IF($J74="","",INDIRECT("Profile"&amp;"!"&amp;ADDRESS(MATCH(R$2,Profile!$C$1:$C$20,0),MATCH($I74,Profile!$1:$1,0),4))),"")</f>
        <v/>
      </c>
      <c r="S74" s="3" t="str" cm="1">
        <f t="array" aca="1" ref="S74" ca="1">IFERROR(IF($J74="","",INDIRECT("Profile"&amp;"!"&amp;ADDRESS(MATCH(S$2,Profile!$C$1:$C$20,0),MATCH($I74,Profile!$1:$1,0),4))),"")</f>
        <v/>
      </c>
      <c r="T74" s="3" t="str" cm="1">
        <f t="array" aca="1" ref="T74" ca="1">IFERROR(IF($J74="","",INDIRECT("Profile"&amp;"!"&amp;ADDRESS(MATCH(T$2,Profile!$C$1:$C$20,0),MATCH($I74,Profile!$1:$1,0),4))),"")</f>
        <v/>
      </c>
      <c r="U74" s="38" t="str" cm="1">
        <f t="array" aca="1" ref="U74" ca="1">IFERROR(IF(INDIRECT("ID"&amp;"!"&amp;ADDRESS(MATCH($J74,ID!$B:$B,0),MATCH($U$1,ID!$1:$1,0),4))="","",INDIRECT("ID"&amp;"!"&amp;ADDRESS(MATCH($J74,ID!$B:$B,0),MATCH($U$1,ID!$1:$1,0),4))),"")</f>
        <v/>
      </c>
    </row>
    <row r="75" spans="9:21" x14ac:dyDescent="0.25">
      <c r="I75" s="7">
        <v>72</v>
      </c>
      <c r="J75" s="7" t="str" cm="1">
        <f t="array" aca="1" ref="J75" ca="1">IFERROR(IF(INDIRECT("Profile"&amp;"!"&amp;ADDRESS(MATCH(J$1,Profile!$A$1:$A$20,0),MATCH($I75,Profile!$1:$1,0),4))="","",INDIRECT("Profile"&amp;"!"&amp;ADDRESS(MATCH(J$1,Profile!$A$1:$A$20,0),MATCH($I75,Profile!$1:$1,0),4))),"")</f>
        <v/>
      </c>
      <c r="K75" s="9" t="str" cm="1">
        <f t="array" aca="1" ref="K75" ca="1">IF($J75="","",IF(INDIRECT("Profile"&amp;"!"&amp;ADDRESS(MATCH(K$2,Profile!$C$1:$C$20,0),MATCH($I75,Profile!$1:$1,0),4))="","",INDIRECT("Profile"&amp;"!"&amp;ADDRESS(MATCH(K$2,Profile!$C$1:$C$20,0),MATCH($I75,Profile!$1:$1,0)))))</f>
        <v/>
      </c>
      <c r="L75" s="3" t="str" cm="1">
        <f t="array" aca="1" ref="L75" ca="1">IF($J75="","",IF(INDIRECT("Profile"&amp;"!"&amp;ADDRESS(MATCH(L$2,Profile!$C$1:$C$20,0),MATCH($I75,Profile!$1:$1,0),4))="","",INDIRECT("Profile"&amp;"!"&amp;ADDRESS(MATCH(L$2,Profile!$C$1:$C$20,0),MATCH($I75,Profile!$1:$1,0)))))</f>
        <v/>
      </c>
      <c r="M75" s="9" t="str" cm="1">
        <f t="array" aca="1" ref="M75" ca="1">IF($J75="","",IF(INDIRECT("Profile"&amp;"!"&amp;ADDRESS(MATCH(M$2,Profile!$C$1:$C$20,0),MATCH($I75,Profile!$1:$1,0),4))="","",INDIRECT("Profile"&amp;"!"&amp;ADDRESS(MATCH(M$2,Profile!$C$1:$C$20,0),MATCH($I75,Profile!$1:$1,0)))))</f>
        <v/>
      </c>
      <c r="N75" s="3" t="str" cm="1">
        <f t="array" aca="1" ref="N75" ca="1">IF($J75="","",IF(INDIRECT("Profile"&amp;"!"&amp;ADDRESS(MATCH(N$2,Profile!$C$1:$C$20,0),MATCH($I75,Profile!$1:$1,0),4))="","",INDIRECT("Profile"&amp;"!"&amp;ADDRESS(MATCH(N$2,Profile!$C$1:$C$20,0),MATCH($I75,Profile!$1:$1,0)))))</f>
        <v/>
      </c>
      <c r="O75" s="3" t="str" cm="1">
        <f t="array" aca="1" ref="O75" ca="1">IFERROR(IF($J75="","",INDIRECT("Profile"&amp;"!"&amp;ADDRESS(MATCH(O$2,Profile!$C$1:$C$20,0),MATCH($I75,Profile!$1:$1,0),4))),"")</f>
        <v/>
      </c>
      <c r="P75" s="9" t="str" cm="1">
        <f t="array" aca="1" ref="P75" ca="1">IFERROR(IF($J75="","",INDIRECT("Profile"&amp;"!"&amp;ADDRESS(MATCH(P$2,Profile!$C$1:$C$20,0),MATCH($I75,Profile!$1:$1,0),4))),"")</f>
        <v/>
      </c>
      <c r="Q75" s="3" t="str" cm="1">
        <f t="array" aca="1" ref="Q75" ca="1">IFERROR(IF($J75="","",INDIRECT("Profile"&amp;"!"&amp;ADDRESS(MATCH(Q$2,Profile!$C$1:$C$20,0),MATCH($I75,Profile!$1:$1,0),4))),"")</f>
        <v/>
      </c>
      <c r="R75" s="3" t="str" cm="1">
        <f t="array" aca="1" ref="R75" ca="1">IFERROR(IF($J75="","",INDIRECT("Profile"&amp;"!"&amp;ADDRESS(MATCH(R$2,Profile!$C$1:$C$20,0),MATCH($I75,Profile!$1:$1,0),4))),"")</f>
        <v/>
      </c>
      <c r="S75" s="3" t="str" cm="1">
        <f t="array" aca="1" ref="S75" ca="1">IFERROR(IF($J75="","",INDIRECT("Profile"&amp;"!"&amp;ADDRESS(MATCH(S$2,Profile!$C$1:$C$20,0),MATCH($I75,Profile!$1:$1,0),4))),"")</f>
        <v/>
      </c>
      <c r="T75" s="3" t="str" cm="1">
        <f t="array" aca="1" ref="T75" ca="1">IFERROR(IF($J75="","",INDIRECT("Profile"&amp;"!"&amp;ADDRESS(MATCH(T$2,Profile!$C$1:$C$20,0),MATCH($I75,Profile!$1:$1,0),4))),"")</f>
        <v/>
      </c>
      <c r="U75" s="38" t="str" cm="1">
        <f t="array" aca="1" ref="U75" ca="1">IFERROR(IF(INDIRECT("ID"&amp;"!"&amp;ADDRESS(MATCH($J75,ID!$B:$B,0),MATCH($U$1,ID!$1:$1,0),4))="","",INDIRECT("ID"&amp;"!"&amp;ADDRESS(MATCH($J75,ID!$B:$B,0),MATCH($U$1,ID!$1:$1,0),4))),"")</f>
        <v/>
      </c>
    </row>
    <row r="76" spans="9:21" x14ac:dyDescent="0.25">
      <c r="I76" s="7">
        <v>73</v>
      </c>
      <c r="J76" s="7" t="str" cm="1">
        <f t="array" aca="1" ref="J76" ca="1">IFERROR(IF(INDIRECT("Profile"&amp;"!"&amp;ADDRESS(MATCH(J$1,Profile!$A$1:$A$20,0),MATCH($I76,Profile!$1:$1,0),4))="","",INDIRECT("Profile"&amp;"!"&amp;ADDRESS(MATCH(J$1,Profile!$A$1:$A$20,0),MATCH($I76,Profile!$1:$1,0),4))),"")</f>
        <v/>
      </c>
      <c r="K76" s="9" t="str" cm="1">
        <f t="array" aca="1" ref="K76" ca="1">IF($J76="","",IF(INDIRECT("Profile"&amp;"!"&amp;ADDRESS(MATCH(K$2,Profile!$C$1:$C$20,0),MATCH($I76,Profile!$1:$1,0),4))="","",INDIRECT("Profile"&amp;"!"&amp;ADDRESS(MATCH(K$2,Profile!$C$1:$C$20,0),MATCH($I76,Profile!$1:$1,0)))))</f>
        <v/>
      </c>
      <c r="L76" s="3" t="str" cm="1">
        <f t="array" aca="1" ref="L76" ca="1">IF($J76="","",IF(INDIRECT("Profile"&amp;"!"&amp;ADDRESS(MATCH(L$2,Profile!$C$1:$C$20,0),MATCH($I76,Profile!$1:$1,0),4))="","",INDIRECT("Profile"&amp;"!"&amp;ADDRESS(MATCH(L$2,Profile!$C$1:$C$20,0),MATCH($I76,Profile!$1:$1,0)))))</f>
        <v/>
      </c>
      <c r="M76" s="9" t="str" cm="1">
        <f t="array" aca="1" ref="M76" ca="1">IF($J76="","",IF(INDIRECT("Profile"&amp;"!"&amp;ADDRESS(MATCH(M$2,Profile!$C$1:$C$20,0),MATCH($I76,Profile!$1:$1,0),4))="","",INDIRECT("Profile"&amp;"!"&amp;ADDRESS(MATCH(M$2,Profile!$C$1:$C$20,0),MATCH($I76,Profile!$1:$1,0)))))</f>
        <v/>
      </c>
      <c r="N76" s="3" t="str" cm="1">
        <f t="array" aca="1" ref="N76" ca="1">IF($J76="","",IF(INDIRECT("Profile"&amp;"!"&amp;ADDRESS(MATCH(N$2,Profile!$C$1:$C$20,0),MATCH($I76,Profile!$1:$1,0),4))="","",INDIRECT("Profile"&amp;"!"&amp;ADDRESS(MATCH(N$2,Profile!$C$1:$C$20,0),MATCH($I76,Profile!$1:$1,0)))))</f>
        <v/>
      </c>
      <c r="O76" s="3" t="str" cm="1">
        <f t="array" aca="1" ref="O76" ca="1">IFERROR(IF($J76="","",INDIRECT("Profile"&amp;"!"&amp;ADDRESS(MATCH(O$2,Profile!$C$1:$C$20,0),MATCH($I76,Profile!$1:$1,0),4))),"")</f>
        <v/>
      </c>
      <c r="P76" s="9" t="str" cm="1">
        <f t="array" aca="1" ref="P76" ca="1">IFERROR(IF($J76="","",INDIRECT("Profile"&amp;"!"&amp;ADDRESS(MATCH(P$2,Profile!$C$1:$C$20,0),MATCH($I76,Profile!$1:$1,0),4))),"")</f>
        <v/>
      </c>
      <c r="Q76" s="3" t="str" cm="1">
        <f t="array" aca="1" ref="Q76" ca="1">IFERROR(IF($J76="","",INDIRECT("Profile"&amp;"!"&amp;ADDRESS(MATCH(Q$2,Profile!$C$1:$C$20,0),MATCH($I76,Profile!$1:$1,0),4))),"")</f>
        <v/>
      </c>
      <c r="R76" s="3" t="str" cm="1">
        <f t="array" aca="1" ref="R76" ca="1">IFERROR(IF($J76="","",INDIRECT("Profile"&amp;"!"&amp;ADDRESS(MATCH(R$2,Profile!$C$1:$C$20,0),MATCH($I76,Profile!$1:$1,0),4))),"")</f>
        <v/>
      </c>
      <c r="S76" s="3" t="str" cm="1">
        <f t="array" aca="1" ref="S76" ca="1">IFERROR(IF($J76="","",INDIRECT("Profile"&amp;"!"&amp;ADDRESS(MATCH(S$2,Profile!$C$1:$C$20,0),MATCH($I76,Profile!$1:$1,0),4))),"")</f>
        <v/>
      </c>
      <c r="T76" s="3" t="str" cm="1">
        <f t="array" aca="1" ref="T76" ca="1">IFERROR(IF($J76="","",INDIRECT("Profile"&amp;"!"&amp;ADDRESS(MATCH(T$2,Profile!$C$1:$C$20,0),MATCH($I76,Profile!$1:$1,0),4))),"")</f>
        <v/>
      </c>
      <c r="U76" s="38" t="str" cm="1">
        <f t="array" aca="1" ref="U76" ca="1">IFERROR(IF(INDIRECT("ID"&amp;"!"&amp;ADDRESS(MATCH($J76,ID!$B:$B,0),MATCH($U$1,ID!$1:$1,0),4))="","",INDIRECT("ID"&amp;"!"&amp;ADDRESS(MATCH($J76,ID!$B:$B,0),MATCH($U$1,ID!$1:$1,0),4))),"")</f>
        <v/>
      </c>
    </row>
    <row r="77" spans="9:21" x14ac:dyDescent="0.25">
      <c r="I77" s="7">
        <v>74</v>
      </c>
      <c r="J77" s="7" t="str" cm="1">
        <f t="array" aca="1" ref="J77" ca="1">IFERROR(IF(INDIRECT("Profile"&amp;"!"&amp;ADDRESS(MATCH(J$1,Profile!$A$1:$A$20,0),MATCH($I77,Profile!$1:$1,0),4))="","",INDIRECT("Profile"&amp;"!"&amp;ADDRESS(MATCH(J$1,Profile!$A$1:$A$20,0),MATCH($I77,Profile!$1:$1,0),4))),"")</f>
        <v/>
      </c>
      <c r="K77" s="9" t="str" cm="1">
        <f t="array" aca="1" ref="K77" ca="1">IF($J77="","",IF(INDIRECT("Profile"&amp;"!"&amp;ADDRESS(MATCH(K$2,Profile!$C$1:$C$20,0),MATCH($I77,Profile!$1:$1,0),4))="","",INDIRECT("Profile"&amp;"!"&amp;ADDRESS(MATCH(K$2,Profile!$C$1:$C$20,0),MATCH($I77,Profile!$1:$1,0)))))</f>
        <v/>
      </c>
      <c r="L77" s="3" t="str" cm="1">
        <f t="array" aca="1" ref="L77" ca="1">IF($J77="","",IF(INDIRECT("Profile"&amp;"!"&amp;ADDRESS(MATCH(L$2,Profile!$C$1:$C$20,0),MATCH($I77,Profile!$1:$1,0),4))="","",INDIRECT("Profile"&amp;"!"&amp;ADDRESS(MATCH(L$2,Profile!$C$1:$C$20,0),MATCH($I77,Profile!$1:$1,0)))))</f>
        <v/>
      </c>
      <c r="M77" s="9" t="str" cm="1">
        <f t="array" aca="1" ref="M77" ca="1">IF($J77="","",IF(INDIRECT("Profile"&amp;"!"&amp;ADDRESS(MATCH(M$2,Profile!$C$1:$C$20,0),MATCH($I77,Profile!$1:$1,0),4))="","",INDIRECT("Profile"&amp;"!"&amp;ADDRESS(MATCH(M$2,Profile!$C$1:$C$20,0),MATCH($I77,Profile!$1:$1,0)))))</f>
        <v/>
      </c>
      <c r="N77" s="3" t="str" cm="1">
        <f t="array" aca="1" ref="N77" ca="1">IF($J77="","",IF(INDIRECT("Profile"&amp;"!"&amp;ADDRESS(MATCH(N$2,Profile!$C$1:$C$20,0),MATCH($I77,Profile!$1:$1,0),4))="","",INDIRECT("Profile"&amp;"!"&amp;ADDRESS(MATCH(N$2,Profile!$C$1:$C$20,0),MATCH($I77,Profile!$1:$1,0)))))</f>
        <v/>
      </c>
      <c r="O77" s="3" t="str" cm="1">
        <f t="array" aca="1" ref="O77" ca="1">IFERROR(IF($J77="","",INDIRECT("Profile"&amp;"!"&amp;ADDRESS(MATCH(O$2,Profile!$C$1:$C$20,0),MATCH($I77,Profile!$1:$1,0),4))),"")</f>
        <v/>
      </c>
      <c r="P77" s="9" t="str" cm="1">
        <f t="array" aca="1" ref="P77" ca="1">IFERROR(IF($J77="","",INDIRECT("Profile"&amp;"!"&amp;ADDRESS(MATCH(P$2,Profile!$C$1:$C$20,0),MATCH($I77,Profile!$1:$1,0),4))),"")</f>
        <v/>
      </c>
      <c r="Q77" s="3" t="str" cm="1">
        <f t="array" aca="1" ref="Q77" ca="1">IFERROR(IF($J77="","",INDIRECT("Profile"&amp;"!"&amp;ADDRESS(MATCH(Q$2,Profile!$C$1:$C$20,0),MATCH($I77,Profile!$1:$1,0),4))),"")</f>
        <v/>
      </c>
      <c r="R77" s="3" t="str" cm="1">
        <f t="array" aca="1" ref="R77" ca="1">IFERROR(IF($J77="","",INDIRECT("Profile"&amp;"!"&amp;ADDRESS(MATCH(R$2,Profile!$C$1:$C$20,0),MATCH($I77,Profile!$1:$1,0),4))),"")</f>
        <v/>
      </c>
      <c r="S77" s="3" t="str" cm="1">
        <f t="array" aca="1" ref="S77" ca="1">IFERROR(IF($J77="","",INDIRECT("Profile"&amp;"!"&amp;ADDRESS(MATCH(S$2,Profile!$C$1:$C$20,0),MATCH($I77,Profile!$1:$1,0),4))),"")</f>
        <v/>
      </c>
      <c r="T77" s="3" t="str" cm="1">
        <f t="array" aca="1" ref="T77" ca="1">IFERROR(IF($J77="","",INDIRECT("Profile"&amp;"!"&amp;ADDRESS(MATCH(T$2,Profile!$C$1:$C$20,0),MATCH($I77,Profile!$1:$1,0),4))),"")</f>
        <v/>
      </c>
      <c r="U77" s="38" t="str" cm="1">
        <f t="array" aca="1" ref="U77" ca="1">IFERROR(IF(INDIRECT("ID"&amp;"!"&amp;ADDRESS(MATCH($J77,ID!$B:$B,0),MATCH($U$1,ID!$1:$1,0),4))="","",INDIRECT("ID"&amp;"!"&amp;ADDRESS(MATCH($J77,ID!$B:$B,0),MATCH($U$1,ID!$1:$1,0),4))),"")</f>
        <v/>
      </c>
    </row>
    <row r="78" spans="9:21" x14ac:dyDescent="0.25">
      <c r="I78" s="7">
        <v>75</v>
      </c>
      <c r="J78" s="7" t="str" cm="1">
        <f t="array" aca="1" ref="J78" ca="1">IFERROR(IF(INDIRECT("Profile"&amp;"!"&amp;ADDRESS(MATCH(J$1,Profile!$A$1:$A$20,0),MATCH($I78,Profile!$1:$1,0),4))="","",INDIRECT("Profile"&amp;"!"&amp;ADDRESS(MATCH(J$1,Profile!$A$1:$A$20,0),MATCH($I78,Profile!$1:$1,0),4))),"")</f>
        <v/>
      </c>
      <c r="K78" s="9" t="str" cm="1">
        <f t="array" aca="1" ref="K78" ca="1">IF($J78="","",IF(INDIRECT("Profile"&amp;"!"&amp;ADDRESS(MATCH(K$2,Profile!$C$1:$C$20,0),MATCH($I78,Profile!$1:$1,0),4))="","",INDIRECT("Profile"&amp;"!"&amp;ADDRESS(MATCH(K$2,Profile!$C$1:$C$20,0),MATCH($I78,Profile!$1:$1,0)))))</f>
        <v/>
      </c>
      <c r="L78" s="3" t="str" cm="1">
        <f t="array" aca="1" ref="L78" ca="1">IF($J78="","",IF(INDIRECT("Profile"&amp;"!"&amp;ADDRESS(MATCH(L$2,Profile!$C$1:$C$20,0),MATCH($I78,Profile!$1:$1,0),4))="","",INDIRECT("Profile"&amp;"!"&amp;ADDRESS(MATCH(L$2,Profile!$C$1:$C$20,0),MATCH($I78,Profile!$1:$1,0)))))</f>
        <v/>
      </c>
      <c r="M78" s="9" t="str" cm="1">
        <f t="array" aca="1" ref="M78" ca="1">IF($J78="","",IF(INDIRECT("Profile"&amp;"!"&amp;ADDRESS(MATCH(M$2,Profile!$C$1:$C$20,0),MATCH($I78,Profile!$1:$1,0),4))="","",INDIRECT("Profile"&amp;"!"&amp;ADDRESS(MATCH(M$2,Profile!$C$1:$C$20,0),MATCH($I78,Profile!$1:$1,0)))))</f>
        <v/>
      </c>
      <c r="N78" s="3" t="str" cm="1">
        <f t="array" aca="1" ref="N78" ca="1">IF($J78="","",IF(INDIRECT("Profile"&amp;"!"&amp;ADDRESS(MATCH(N$2,Profile!$C$1:$C$20,0),MATCH($I78,Profile!$1:$1,0),4))="","",INDIRECT("Profile"&amp;"!"&amp;ADDRESS(MATCH(N$2,Profile!$C$1:$C$20,0),MATCH($I78,Profile!$1:$1,0)))))</f>
        <v/>
      </c>
      <c r="O78" s="3" t="str" cm="1">
        <f t="array" aca="1" ref="O78" ca="1">IFERROR(IF($J78="","",INDIRECT("Profile"&amp;"!"&amp;ADDRESS(MATCH(O$2,Profile!$C$1:$C$20,0),MATCH($I78,Profile!$1:$1,0),4))),"")</f>
        <v/>
      </c>
      <c r="P78" s="9" t="str" cm="1">
        <f t="array" aca="1" ref="P78" ca="1">IFERROR(IF($J78="","",INDIRECT("Profile"&amp;"!"&amp;ADDRESS(MATCH(P$2,Profile!$C$1:$C$20,0),MATCH($I78,Profile!$1:$1,0),4))),"")</f>
        <v/>
      </c>
      <c r="Q78" s="3" t="str" cm="1">
        <f t="array" aca="1" ref="Q78" ca="1">IFERROR(IF($J78="","",INDIRECT("Profile"&amp;"!"&amp;ADDRESS(MATCH(Q$2,Profile!$C$1:$C$20,0),MATCH($I78,Profile!$1:$1,0),4))),"")</f>
        <v/>
      </c>
      <c r="R78" s="3" t="str" cm="1">
        <f t="array" aca="1" ref="R78" ca="1">IFERROR(IF($J78="","",INDIRECT("Profile"&amp;"!"&amp;ADDRESS(MATCH(R$2,Profile!$C$1:$C$20,0),MATCH($I78,Profile!$1:$1,0),4))),"")</f>
        <v/>
      </c>
      <c r="S78" s="3" t="str" cm="1">
        <f t="array" aca="1" ref="S78" ca="1">IFERROR(IF($J78="","",INDIRECT("Profile"&amp;"!"&amp;ADDRESS(MATCH(S$2,Profile!$C$1:$C$20,0),MATCH($I78,Profile!$1:$1,0),4))),"")</f>
        <v/>
      </c>
      <c r="T78" s="3" t="str" cm="1">
        <f t="array" aca="1" ref="T78" ca="1">IFERROR(IF($J78="","",INDIRECT("Profile"&amp;"!"&amp;ADDRESS(MATCH(T$2,Profile!$C$1:$C$20,0),MATCH($I78,Profile!$1:$1,0),4))),"")</f>
        <v/>
      </c>
      <c r="U78" s="38" t="str" cm="1">
        <f t="array" aca="1" ref="U78" ca="1">IFERROR(IF(INDIRECT("ID"&amp;"!"&amp;ADDRESS(MATCH($J78,ID!$B:$B,0),MATCH($U$1,ID!$1:$1,0),4))="","",INDIRECT("ID"&amp;"!"&amp;ADDRESS(MATCH($J78,ID!$B:$B,0),MATCH($U$1,ID!$1:$1,0),4))),"")</f>
        <v/>
      </c>
    </row>
    <row r="79" spans="9:21" x14ac:dyDescent="0.25">
      <c r="I79" s="7">
        <v>76</v>
      </c>
      <c r="J79" s="7" t="str" cm="1">
        <f t="array" aca="1" ref="J79" ca="1">IFERROR(IF(INDIRECT("Profile"&amp;"!"&amp;ADDRESS(MATCH(J$1,Profile!$A$1:$A$20,0),MATCH($I79,Profile!$1:$1,0),4))="","",INDIRECT("Profile"&amp;"!"&amp;ADDRESS(MATCH(J$1,Profile!$A$1:$A$20,0),MATCH($I79,Profile!$1:$1,0),4))),"")</f>
        <v/>
      </c>
      <c r="K79" s="9" t="str" cm="1">
        <f t="array" aca="1" ref="K79" ca="1">IF($J79="","",IF(INDIRECT("Profile"&amp;"!"&amp;ADDRESS(MATCH(K$2,Profile!$C$1:$C$20,0),MATCH($I79,Profile!$1:$1,0),4))="","",INDIRECT("Profile"&amp;"!"&amp;ADDRESS(MATCH(K$2,Profile!$C$1:$C$20,0),MATCH($I79,Profile!$1:$1,0)))))</f>
        <v/>
      </c>
      <c r="L79" s="3" t="str" cm="1">
        <f t="array" aca="1" ref="L79" ca="1">IF($J79="","",IF(INDIRECT("Profile"&amp;"!"&amp;ADDRESS(MATCH(L$2,Profile!$C$1:$C$20,0),MATCH($I79,Profile!$1:$1,0),4))="","",INDIRECT("Profile"&amp;"!"&amp;ADDRESS(MATCH(L$2,Profile!$C$1:$C$20,0),MATCH($I79,Profile!$1:$1,0)))))</f>
        <v/>
      </c>
      <c r="M79" s="9" t="str" cm="1">
        <f t="array" aca="1" ref="M79" ca="1">IF($J79="","",IF(INDIRECT("Profile"&amp;"!"&amp;ADDRESS(MATCH(M$2,Profile!$C$1:$C$20,0),MATCH($I79,Profile!$1:$1,0),4))="","",INDIRECT("Profile"&amp;"!"&amp;ADDRESS(MATCH(M$2,Profile!$C$1:$C$20,0),MATCH($I79,Profile!$1:$1,0)))))</f>
        <v/>
      </c>
      <c r="N79" s="3" t="str" cm="1">
        <f t="array" aca="1" ref="N79" ca="1">IF($J79="","",IF(INDIRECT("Profile"&amp;"!"&amp;ADDRESS(MATCH(N$2,Profile!$C$1:$C$20,0),MATCH($I79,Profile!$1:$1,0),4))="","",INDIRECT("Profile"&amp;"!"&amp;ADDRESS(MATCH(N$2,Profile!$C$1:$C$20,0),MATCH($I79,Profile!$1:$1,0)))))</f>
        <v/>
      </c>
      <c r="O79" s="3" t="str" cm="1">
        <f t="array" aca="1" ref="O79" ca="1">IFERROR(IF($J79="","",INDIRECT("Profile"&amp;"!"&amp;ADDRESS(MATCH(O$2,Profile!$C$1:$C$20,0),MATCH($I79,Profile!$1:$1,0),4))),"")</f>
        <v/>
      </c>
      <c r="P79" s="9" t="str" cm="1">
        <f t="array" aca="1" ref="P79" ca="1">IFERROR(IF($J79="","",INDIRECT("Profile"&amp;"!"&amp;ADDRESS(MATCH(P$2,Profile!$C$1:$C$20,0),MATCH($I79,Profile!$1:$1,0),4))),"")</f>
        <v/>
      </c>
      <c r="Q79" s="3" t="str" cm="1">
        <f t="array" aca="1" ref="Q79" ca="1">IFERROR(IF($J79="","",INDIRECT("Profile"&amp;"!"&amp;ADDRESS(MATCH(Q$2,Profile!$C$1:$C$20,0),MATCH($I79,Profile!$1:$1,0),4))),"")</f>
        <v/>
      </c>
      <c r="R79" s="3" t="str" cm="1">
        <f t="array" aca="1" ref="R79" ca="1">IFERROR(IF($J79="","",INDIRECT("Profile"&amp;"!"&amp;ADDRESS(MATCH(R$2,Profile!$C$1:$C$20,0),MATCH($I79,Profile!$1:$1,0),4))),"")</f>
        <v/>
      </c>
      <c r="S79" s="3" t="str" cm="1">
        <f t="array" aca="1" ref="S79" ca="1">IFERROR(IF($J79="","",INDIRECT("Profile"&amp;"!"&amp;ADDRESS(MATCH(S$2,Profile!$C$1:$C$20,0),MATCH($I79,Profile!$1:$1,0),4))),"")</f>
        <v/>
      </c>
      <c r="T79" s="3" t="str" cm="1">
        <f t="array" aca="1" ref="T79" ca="1">IFERROR(IF($J79="","",INDIRECT("Profile"&amp;"!"&amp;ADDRESS(MATCH(T$2,Profile!$C$1:$C$20,0),MATCH($I79,Profile!$1:$1,0),4))),"")</f>
        <v/>
      </c>
      <c r="U79" s="38" t="str" cm="1">
        <f t="array" aca="1" ref="U79" ca="1">IFERROR(IF(INDIRECT("ID"&amp;"!"&amp;ADDRESS(MATCH($J79,ID!$B:$B,0),MATCH($U$1,ID!$1:$1,0),4))="","",INDIRECT("ID"&amp;"!"&amp;ADDRESS(MATCH($J79,ID!$B:$B,0),MATCH($U$1,ID!$1:$1,0),4))),"")</f>
        <v/>
      </c>
    </row>
    <row r="80" spans="9:21" x14ac:dyDescent="0.25">
      <c r="I80" s="7">
        <v>77</v>
      </c>
      <c r="J80" s="7" t="str" cm="1">
        <f t="array" aca="1" ref="J80" ca="1">IFERROR(IF(INDIRECT("Profile"&amp;"!"&amp;ADDRESS(MATCH(J$1,Profile!$A$1:$A$20,0),MATCH($I80,Profile!$1:$1,0),4))="","",INDIRECT("Profile"&amp;"!"&amp;ADDRESS(MATCH(J$1,Profile!$A$1:$A$20,0),MATCH($I80,Profile!$1:$1,0),4))),"")</f>
        <v/>
      </c>
      <c r="K80" s="9" t="str" cm="1">
        <f t="array" aca="1" ref="K80" ca="1">IF($J80="","",IF(INDIRECT("Profile"&amp;"!"&amp;ADDRESS(MATCH(K$2,Profile!$C$1:$C$20,0),MATCH($I80,Profile!$1:$1,0),4))="","",INDIRECT("Profile"&amp;"!"&amp;ADDRESS(MATCH(K$2,Profile!$C$1:$C$20,0),MATCH($I80,Profile!$1:$1,0)))))</f>
        <v/>
      </c>
      <c r="L80" s="3" t="str" cm="1">
        <f t="array" aca="1" ref="L80" ca="1">IF($J80="","",IF(INDIRECT("Profile"&amp;"!"&amp;ADDRESS(MATCH(L$2,Profile!$C$1:$C$20,0),MATCH($I80,Profile!$1:$1,0),4))="","",INDIRECT("Profile"&amp;"!"&amp;ADDRESS(MATCH(L$2,Profile!$C$1:$C$20,0),MATCH($I80,Profile!$1:$1,0)))))</f>
        <v/>
      </c>
      <c r="M80" s="9" t="str" cm="1">
        <f t="array" aca="1" ref="M80" ca="1">IF($J80="","",IF(INDIRECT("Profile"&amp;"!"&amp;ADDRESS(MATCH(M$2,Profile!$C$1:$C$20,0),MATCH($I80,Profile!$1:$1,0),4))="","",INDIRECT("Profile"&amp;"!"&amp;ADDRESS(MATCH(M$2,Profile!$C$1:$C$20,0),MATCH($I80,Profile!$1:$1,0)))))</f>
        <v/>
      </c>
      <c r="N80" s="3" t="str" cm="1">
        <f t="array" aca="1" ref="N80" ca="1">IF($J80="","",IF(INDIRECT("Profile"&amp;"!"&amp;ADDRESS(MATCH(N$2,Profile!$C$1:$C$20,0),MATCH($I80,Profile!$1:$1,0),4))="","",INDIRECT("Profile"&amp;"!"&amp;ADDRESS(MATCH(N$2,Profile!$C$1:$C$20,0),MATCH($I80,Profile!$1:$1,0)))))</f>
        <v/>
      </c>
      <c r="O80" s="3" t="str" cm="1">
        <f t="array" aca="1" ref="O80" ca="1">IFERROR(IF($J80="","",INDIRECT("Profile"&amp;"!"&amp;ADDRESS(MATCH(O$2,Profile!$C$1:$C$20,0),MATCH($I80,Profile!$1:$1,0),4))),"")</f>
        <v/>
      </c>
      <c r="P80" s="9" t="str" cm="1">
        <f t="array" aca="1" ref="P80" ca="1">IFERROR(IF($J80="","",INDIRECT("Profile"&amp;"!"&amp;ADDRESS(MATCH(P$2,Profile!$C$1:$C$20,0),MATCH($I80,Profile!$1:$1,0),4))),"")</f>
        <v/>
      </c>
      <c r="Q80" s="3" t="str" cm="1">
        <f t="array" aca="1" ref="Q80" ca="1">IFERROR(IF($J80="","",INDIRECT("Profile"&amp;"!"&amp;ADDRESS(MATCH(Q$2,Profile!$C$1:$C$20,0),MATCH($I80,Profile!$1:$1,0),4))),"")</f>
        <v/>
      </c>
      <c r="R80" s="3" t="str" cm="1">
        <f t="array" aca="1" ref="R80" ca="1">IFERROR(IF($J80="","",INDIRECT("Profile"&amp;"!"&amp;ADDRESS(MATCH(R$2,Profile!$C$1:$C$20,0),MATCH($I80,Profile!$1:$1,0),4))),"")</f>
        <v/>
      </c>
      <c r="S80" s="3" t="str" cm="1">
        <f t="array" aca="1" ref="S80" ca="1">IFERROR(IF($J80="","",INDIRECT("Profile"&amp;"!"&amp;ADDRESS(MATCH(S$2,Profile!$C$1:$C$20,0),MATCH($I80,Profile!$1:$1,0),4))),"")</f>
        <v/>
      </c>
      <c r="T80" s="3" t="str" cm="1">
        <f t="array" aca="1" ref="T80" ca="1">IFERROR(IF($J80="","",INDIRECT("Profile"&amp;"!"&amp;ADDRESS(MATCH(T$2,Profile!$C$1:$C$20,0),MATCH($I80,Profile!$1:$1,0),4))),"")</f>
        <v/>
      </c>
      <c r="U80" s="38" t="str" cm="1">
        <f t="array" aca="1" ref="U80" ca="1">IFERROR(IF(INDIRECT("ID"&amp;"!"&amp;ADDRESS(MATCH($J80,ID!$B:$B,0),MATCH($U$1,ID!$1:$1,0),4))="","",INDIRECT("ID"&amp;"!"&amp;ADDRESS(MATCH($J80,ID!$B:$B,0),MATCH($U$1,ID!$1:$1,0),4))),"")</f>
        <v/>
      </c>
    </row>
    <row r="81" spans="9:21" x14ac:dyDescent="0.25">
      <c r="I81" s="7">
        <v>78</v>
      </c>
      <c r="J81" s="7" t="str" cm="1">
        <f t="array" aca="1" ref="J81" ca="1">IFERROR(IF(INDIRECT("Profile"&amp;"!"&amp;ADDRESS(MATCH(J$1,Profile!$A$1:$A$20,0),MATCH($I81,Profile!$1:$1,0),4))="","",INDIRECT("Profile"&amp;"!"&amp;ADDRESS(MATCH(J$1,Profile!$A$1:$A$20,0),MATCH($I81,Profile!$1:$1,0),4))),"")</f>
        <v/>
      </c>
      <c r="K81" s="9" t="str" cm="1">
        <f t="array" aca="1" ref="K81" ca="1">IF($J81="","",IF(INDIRECT("Profile"&amp;"!"&amp;ADDRESS(MATCH(K$2,Profile!$C$1:$C$20,0),MATCH($I81,Profile!$1:$1,0),4))="","",INDIRECT("Profile"&amp;"!"&amp;ADDRESS(MATCH(K$2,Profile!$C$1:$C$20,0),MATCH($I81,Profile!$1:$1,0)))))</f>
        <v/>
      </c>
      <c r="L81" s="3" t="str" cm="1">
        <f t="array" aca="1" ref="L81" ca="1">IF($J81="","",IF(INDIRECT("Profile"&amp;"!"&amp;ADDRESS(MATCH(L$2,Profile!$C$1:$C$20,0),MATCH($I81,Profile!$1:$1,0),4))="","",INDIRECT("Profile"&amp;"!"&amp;ADDRESS(MATCH(L$2,Profile!$C$1:$C$20,0),MATCH($I81,Profile!$1:$1,0)))))</f>
        <v/>
      </c>
      <c r="M81" s="9" t="str" cm="1">
        <f t="array" aca="1" ref="M81" ca="1">IF($J81="","",IF(INDIRECT("Profile"&amp;"!"&amp;ADDRESS(MATCH(M$2,Profile!$C$1:$C$20,0),MATCH($I81,Profile!$1:$1,0),4))="","",INDIRECT("Profile"&amp;"!"&amp;ADDRESS(MATCH(M$2,Profile!$C$1:$C$20,0),MATCH($I81,Profile!$1:$1,0)))))</f>
        <v/>
      </c>
      <c r="N81" s="3" t="str" cm="1">
        <f t="array" aca="1" ref="N81" ca="1">IF($J81="","",IF(INDIRECT("Profile"&amp;"!"&amp;ADDRESS(MATCH(N$2,Profile!$C$1:$C$20,0),MATCH($I81,Profile!$1:$1,0),4))="","",INDIRECT("Profile"&amp;"!"&amp;ADDRESS(MATCH(N$2,Profile!$C$1:$C$20,0),MATCH($I81,Profile!$1:$1,0)))))</f>
        <v/>
      </c>
      <c r="O81" s="3" t="str" cm="1">
        <f t="array" aca="1" ref="O81" ca="1">IFERROR(IF($J81="","",INDIRECT("Profile"&amp;"!"&amp;ADDRESS(MATCH(O$2,Profile!$C$1:$C$20,0),MATCH($I81,Profile!$1:$1,0),4))),"")</f>
        <v/>
      </c>
      <c r="P81" s="9" t="str" cm="1">
        <f t="array" aca="1" ref="P81" ca="1">IFERROR(IF($J81="","",INDIRECT("Profile"&amp;"!"&amp;ADDRESS(MATCH(P$2,Profile!$C$1:$C$20,0),MATCH($I81,Profile!$1:$1,0),4))),"")</f>
        <v/>
      </c>
      <c r="Q81" s="3" t="str" cm="1">
        <f t="array" aca="1" ref="Q81" ca="1">IFERROR(IF($J81="","",INDIRECT("Profile"&amp;"!"&amp;ADDRESS(MATCH(Q$2,Profile!$C$1:$C$20,0),MATCH($I81,Profile!$1:$1,0),4))),"")</f>
        <v/>
      </c>
      <c r="R81" s="3" t="str" cm="1">
        <f t="array" aca="1" ref="R81" ca="1">IFERROR(IF($J81="","",INDIRECT("Profile"&amp;"!"&amp;ADDRESS(MATCH(R$2,Profile!$C$1:$C$20,0),MATCH($I81,Profile!$1:$1,0),4))),"")</f>
        <v/>
      </c>
      <c r="S81" s="3" t="str" cm="1">
        <f t="array" aca="1" ref="S81" ca="1">IFERROR(IF($J81="","",INDIRECT("Profile"&amp;"!"&amp;ADDRESS(MATCH(S$2,Profile!$C$1:$C$20,0),MATCH($I81,Profile!$1:$1,0),4))),"")</f>
        <v/>
      </c>
      <c r="T81" s="3" t="str" cm="1">
        <f t="array" aca="1" ref="T81" ca="1">IFERROR(IF($J81="","",INDIRECT("Profile"&amp;"!"&amp;ADDRESS(MATCH(T$2,Profile!$C$1:$C$20,0),MATCH($I81,Profile!$1:$1,0),4))),"")</f>
        <v/>
      </c>
      <c r="U81" s="38" t="str" cm="1">
        <f t="array" aca="1" ref="U81" ca="1">IFERROR(IF(INDIRECT("ID"&amp;"!"&amp;ADDRESS(MATCH($J81,ID!$B:$B,0),MATCH($U$1,ID!$1:$1,0),4))="","",INDIRECT("ID"&amp;"!"&amp;ADDRESS(MATCH($J81,ID!$B:$B,0),MATCH($U$1,ID!$1:$1,0),4))),"")</f>
        <v/>
      </c>
    </row>
    <row r="82" spans="9:21" x14ac:dyDescent="0.25">
      <c r="I82" s="7">
        <v>79</v>
      </c>
      <c r="J82" s="7" t="str" cm="1">
        <f t="array" aca="1" ref="J82" ca="1">IFERROR(IF(INDIRECT("Profile"&amp;"!"&amp;ADDRESS(MATCH(J$1,Profile!$A$1:$A$20,0),MATCH($I82,Profile!$1:$1,0),4))="","",INDIRECT("Profile"&amp;"!"&amp;ADDRESS(MATCH(J$1,Profile!$A$1:$A$20,0),MATCH($I82,Profile!$1:$1,0),4))),"")</f>
        <v/>
      </c>
      <c r="K82" s="9" t="str" cm="1">
        <f t="array" aca="1" ref="K82" ca="1">IF($J82="","",IF(INDIRECT("Profile"&amp;"!"&amp;ADDRESS(MATCH(K$2,Profile!$C$1:$C$20,0),MATCH($I82,Profile!$1:$1,0),4))="","",INDIRECT("Profile"&amp;"!"&amp;ADDRESS(MATCH(K$2,Profile!$C$1:$C$20,0),MATCH($I82,Profile!$1:$1,0)))))</f>
        <v/>
      </c>
      <c r="L82" s="3" t="str" cm="1">
        <f t="array" aca="1" ref="L82" ca="1">IF($J82="","",IF(INDIRECT("Profile"&amp;"!"&amp;ADDRESS(MATCH(L$2,Profile!$C$1:$C$20,0),MATCH($I82,Profile!$1:$1,0),4))="","",INDIRECT("Profile"&amp;"!"&amp;ADDRESS(MATCH(L$2,Profile!$C$1:$C$20,0),MATCH($I82,Profile!$1:$1,0)))))</f>
        <v/>
      </c>
      <c r="M82" s="9" t="str" cm="1">
        <f t="array" aca="1" ref="M82" ca="1">IF($J82="","",IF(INDIRECT("Profile"&amp;"!"&amp;ADDRESS(MATCH(M$2,Profile!$C$1:$C$20,0),MATCH($I82,Profile!$1:$1,0),4))="","",INDIRECT("Profile"&amp;"!"&amp;ADDRESS(MATCH(M$2,Profile!$C$1:$C$20,0),MATCH($I82,Profile!$1:$1,0)))))</f>
        <v/>
      </c>
      <c r="N82" s="3" t="str" cm="1">
        <f t="array" aca="1" ref="N82" ca="1">IF($J82="","",IF(INDIRECT("Profile"&amp;"!"&amp;ADDRESS(MATCH(N$2,Profile!$C$1:$C$20,0),MATCH($I82,Profile!$1:$1,0),4))="","",INDIRECT("Profile"&amp;"!"&amp;ADDRESS(MATCH(N$2,Profile!$C$1:$C$20,0),MATCH($I82,Profile!$1:$1,0)))))</f>
        <v/>
      </c>
      <c r="O82" s="3" t="str" cm="1">
        <f t="array" aca="1" ref="O82" ca="1">IFERROR(IF($J82="","",INDIRECT("Profile"&amp;"!"&amp;ADDRESS(MATCH(O$2,Profile!$C$1:$C$20,0),MATCH($I82,Profile!$1:$1,0),4))),"")</f>
        <v/>
      </c>
      <c r="P82" s="9" t="str" cm="1">
        <f t="array" aca="1" ref="P82" ca="1">IFERROR(IF($J82="","",INDIRECT("Profile"&amp;"!"&amp;ADDRESS(MATCH(P$2,Profile!$C$1:$C$20,0),MATCH($I82,Profile!$1:$1,0),4))),"")</f>
        <v/>
      </c>
      <c r="Q82" s="3" t="str" cm="1">
        <f t="array" aca="1" ref="Q82" ca="1">IFERROR(IF($J82="","",INDIRECT("Profile"&amp;"!"&amp;ADDRESS(MATCH(Q$2,Profile!$C$1:$C$20,0),MATCH($I82,Profile!$1:$1,0),4))),"")</f>
        <v/>
      </c>
      <c r="R82" s="3" t="str" cm="1">
        <f t="array" aca="1" ref="R82" ca="1">IFERROR(IF($J82="","",INDIRECT("Profile"&amp;"!"&amp;ADDRESS(MATCH(R$2,Profile!$C$1:$C$20,0),MATCH($I82,Profile!$1:$1,0),4))),"")</f>
        <v/>
      </c>
      <c r="S82" s="3" t="str" cm="1">
        <f t="array" aca="1" ref="S82" ca="1">IFERROR(IF($J82="","",INDIRECT("Profile"&amp;"!"&amp;ADDRESS(MATCH(S$2,Profile!$C$1:$C$20,0),MATCH($I82,Profile!$1:$1,0),4))),"")</f>
        <v/>
      </c>
      <c r="T82" s="3" t="str" cm="1">
        <f t="array" aca="1" ref="T82" ca="1">IFERROR(IF($J82="","",INDIRECT("Profile"&amp;"!"&amp;ADDRESS(MATCH(T$2,Profile!$C$1:$C$20,0),MATCH($I82,Profile!$1:$1,0),4))),"")</f>
        <v/>
      </c>
      <c r="U82" s="38" t="str" cm="1">
        <f t="array" aca="1" ref="U82" ca="1">IFERROR(IF(INDIRECT("ID"&amp;"!"&amp;ADDRESS(MATCH($J82,ID!$B:$B,0),MATCH($U$1,ID!$1:$1,0),4))="","",INDIRECT("ID"&amp;"!"&amp;ADDRESS(MATCH($J82,ID!$B:$B,0),MATCH($U$1,ID!$1:$1,0),4))),"")</f>
        <v/>
      </c>
    </row>
    <row r="83" spans="9:21" x14ac:dyDescent="0.25">
      <c r="I83" s="7">
        <v>80</v>
      </c>
      <c r="J83" s="7" t="str" cm="1">
        <f t="array" aca="1" ref="J83" ca="1">IFERROR(IF(INDIRECT("Profile"&amp;"!"&amp;ADDRESS(MATCH(J$1,Profile!$A$1:$A$20,0),MATCH($I83,Profile!$1:$1,0),4))="","",INDIRECT("Profile"&amp;"!"&amp;ADDRESS(MATCH(J$1,Profile!$A$1:$A$20,0),MATCH($I83,Profile!$1:$1,0),4))),"")</f>
        <v/>
      </c>
      <c r="K83" s="9" t="str" cm="1">
        <f t="array" aca="1" ref="K83" ca="1">IF($J83="","",IF(INDIRECT("Profile"&amp;"!"&amp;ADDRESS(MATCH(K$2,Profile!$C$1:$C$20,0),MATCH($I83,Profile!$1:$1,0),4))="","",INDIRECT("Profile"&amp;"!"&amp;ADDRESS(MATCH(K$2,Profile!$C$1:$C$20,0),MATCH($I83,Profile!$1:$1,0)))))</f>
        <v/>
      </c>
      <c r="L83" s="3" t="str" cm="1">
        <f t="array" aca="1" ref="L83" ca="1">IF($J83="","",IF(INDIRECT("Profile"&amp;"!"&amp;ADDRESS(MATCH(L$2,Profile!$C$1:$C$20,0),MATCH($I83,Profile!$1:$1,0),4))="","",INDIRECT("Profile"&amp;"!"&amp;ADDRESS(MATCH(L$2,Profile!$C$1:$C$20,0),MATCH($I83,Profile!$1:$1,0)))))</f>
        <v/>
      </c>
      <c r="M83" s="9" t="str" cm="1">
        <f t="array" aca="1" ref="M83" ca="1">IF($J83="","",IF(INDIRECT("Profile"&amp;"!"&amp;ADDRESS(MATCH(M$2,Profile!$C$1:$C$20,0),MATCH($I83,Profile!$1:$1,0),4))="","",INDIRECT("Profile"&amp;"!"&amp;ADDRESS(MATCH(M$2,Profile!$C$1:$C$20,0),MATCH($I83,Profile!$1:$1,0)))))</f>
        <v/>
      </c>
      <c r="N83" s="3" t="str" cm="1">
        <f t="array" aca="1" ref="N83" ca="1">IF($J83="","",IF(INDIRECT("Profile"&amp;"!"&amp;ADDRESS(MATCH(N$2,Profile!$C$1:$C$20,0),MATCH($I83,Profile!$1:$1,0),4))="","",INDIRECT("Profile"&amp;"!"&amp;ADDRESS(MATCH(N$2,Profile!$C$1:$C$20,0),MATCH($I83,Profile!$1:$1,0)))))</f>
        <v/>
      </c>
      <c r="O83" s="3" t="str" cm="1">
        <f t="array" aca="1" ref="O83" ca="1">IFERROR(IF($J83="","",INDIRECT("Profile"&amp;"!"&amp;ADDRESS(MATCH(O$2,Profile!$C$1:$C$20,0),MATCH($I83,Profile!$1:$1,0),4))),"")</f>
        <v/>
      </c>
      <c r="P83" s="9" t="str" cm="1">
        <f t="array" aca="1" ref="P83" ca="1">IFERROR(IF($J83="","",INDIRECT("Profile"&amp;"!"&amp;ADDRESS(MATCH(P$2,Profile!$C$1:$C$20,0),MATCH($I83,Profile!$1:$1,0),4))),"")</f>
        <v/>
      </c>
      <c r="Q83" s="3" t="str" cm="1">
        <f t="array" aca="1" ref="Q83" ca="1">IFERROR(IF($J83="","",INDIRECT("Profile"&amp;"!"&amp;ADDRESS(MATCH(Q$2,Profile!$C$1:$C$20,0),MATCH($I83,Profile!$1:$1,0),4))),"")</f>
        <v/>
      </c>
      <c r="R83" s="3" t="str" cm="1">
        <f t="array" aca="1" ref="R83" ca="1">IFERROR(IF($J83="","",INDIRECT("Profile"&amp;"!"&amp;ADDRESS(MATCH(R$2,Profile!$C$1:$C$20,0),MATCH($I83,Profile!$1:$1,0),4))),"")</f>
        <v/>
      </c>
      <c r="S83" s="3" t="str" cm="1">
        <f t="array" aca="1" ref="S83" ca="1">IFERROR(IF($J83="","",INDIRECT("Profile"&amp;"!"&amp;ADDRESS(MATCH(S$2,Profile!$C$1:$C$20,0),MATCH($I83,Profile!$1:$1,0),4))),"")</f>
        <v/>
      </c>
      <c r="T83" s="3" t="str" cm="1">
        <f t="array" aca="1" ref="T83" ca="1">IFERROR(IF($J83="","",INDIRECT("Profile"&amp;"!"&amp;ADDRESS(MATCH(T$2,Profile!$C$1:$C$20,0),MATCH($I83,Profile!$1:$1,0),4))),"")</f>
        <v/>
      </c>
      <c r="U83" s="38" t="str" cm="1">
        <f t="array" aca="1" ref="U83" ca="1">IFERROR(IF(INDIRECT("ID"&amp;"!"&amp;ADDRESS(MATCH($J83,ID!$B:$B,0),MATCH($U$1,ID!$1:$1,0),4))="","",INDIRECT("ID"&amp;"!"&amp;ADDRESS(MATCH($J83,ID!$B:$B,0),MATCH($U$1,ID!$1:$1,0),4))),"")</f>
        <v/>
      </c>
    </row>
    <row r="84" spans="9:21" x14ac:dyDescent="0.25">
      <c r="I84" s="7">
        <v>81</v>
      </c>
      <c r="J84" s="7" t="str" cm="1">
        <f t="array" aca="1" ref="J84" ca="1">IFERROR(IF(INDIRECT("Profile"&amp;"!"&amp;ADDRESS(MATCH(J$1,Profile!$A$1:$A$20,0),MATCH($I84,Profile!$1:$1,0),4))="","",INDIRECT("Profile"&amp;"!"&amp;ADDRESS(MATCH(J$1,Profile!$A$1:$A$20,0),MATCH($I84,Profile!$1:$1,0),4))),"")</f>
        <v/>
      </c>
      <c r="K84" s="9" t="str" cm="1">
        <f t="array" aca="1" ref="K84" ca="1">IF($J84="","",IF(INDIRECT("Profile"&amp;"!"&amp;ADDRESS(MATCH(K$2,Profile!$C$1:$C$20,0),MATCH($I84,Profile!$1:$1,0),4))="","",INDIRECT("Profile"&amp;"!"&amp;ADDRESS(MATCH(K$2,Profile!$C$1:$C$20,0),MATCH($I84,Profile!$1:$1,0)))))</f>
        <v/>
      </c>
      <c r="L84" s="3" t="str" cm="1">
        <f t="array" aca="1" ref="L84" ca="1">IF($J84="","",IF(INDIRECT("Profile"&amp;"!"&amp;ADDRESS(MATCH(L$2,Profile!$C$1:$C$20,0),MATCH($I84,Profile!$1:$1,0),4))="","",INDIRECT("Profile"&amp;"!"&amp;ADDRESS(MATCH(L$2,Profile!$C$1:$C$20,0),MATCH($I84,Profile!$1:$1,0)))))</f>
        <v/>
      </c>
      <c r="M84" s="9" t="str" cm="1">
        <f t="array" aca="1" ref="M84" ca="1">IF($J84="","",IF(INDIRECT("Profile"&amp;"!"&amp;ADDRESS(MATCH(M$2,Profile!$C$1:$C$20,0),MATCH($I84,Profile!$1:$1,0),4))="","",INDIRECT("Profile"&amp;"!"&amp;ADDRESS(MATCH(M$2,Profile!$C$1:$C$20,0),MATCH($I84,Profile!$1:$1,0)))))</f>
        <v/>
      </c>
      <c r="N84" s="3" t="str" cm="1">
        <f t="array" aca="1" ref="N84" ca="1">IF($J84="","",IF(INDIRECT("Profile"&amp;"!"&amp;ADDRESS(MATCH(N$2,Profile!$C$1:$C$20,0),MATCH($I84,Profile!$1:$1,0),4))="","",INDIRECT("Profile"&amp;"!"&amp;ADDRESS(MATCH(N$2,Profile!$C$1:$C$20,0),MATCH($I84,Profile!$1:$1,0)))))</f>
        <v/>
      </c>
      <c r="O84" s="3" t="str" cm="1">
        <f t="array" aca="1" ref="O84" ca="1">IFERROR(IF($J84="","",INDIRECT("Profile"&amp;"!"&amp;ADDRESS(MATCH(O$2,Profile!$C$1:$C$20,0),MATCH($I84,Profile!$1:$1,0),4))),"")</f>
        <v/>
      </c>
      <c r="P84" s="9" t="str" cm="1">
        <f t="array" aca="1" ref="P84" ca="1">IFERROR(IF($J84="","",INDIRECT("Profile"&amp;"!"&amp;ADDRESS(MATCH(P$2,Profile!$C$1:$C$20,0),MATCH($I84,Profile!$1:$1,0),4))),"")</f>
        <v/>
      </c>
      <c r="Q84" s="3" t="str" cm="1">
        <f t="array" aca="1" ref="Q84" ca="1">IFERROR(IF($J84="","",INDIRECT("Profile"&amp;"!"&amp;ADDRESS(MATCH(Q$2,Profile!$C$1:$C$20,0),MATCH($I84,Profile!$1:$1,0),4))),"")</f>
        <v/>
      </c>
      <c r="R84" s="3" t="str" cm="1">
        <f t="array" aca="1" ref="R84" ca="1">IFERROR(IF($J84="","",INDIRECT("Profile"&amp;"!"&amp;ADDRESS(MATCH(R$2,Profile!$C$1:$C$20,0),MATCH($I84,Profile!$1:$1,0),4))),"")</f>
        <v/>
      </c>
      <c r="S84" s="3" t="str" cm="1">
        <f t="array" aca="1" ref="S84" ca="1">IFERROR(IF($J84="","",INDIRECT("Profile"&amp;"!"&amp;ADDRESS(MATCH(S$2,Profile!$C$1:$C$20,0),MATCH($I84,Profile!$1:$1,0),4))),"")</f>
        <v/>
      </c>
      <c r="T84" s="3" t="str" cm="1">
        <f t="array" aca="1" ref="T84" ca="1">IFERROR(IF($J84="","",INDIRECT("Profile"&amp;"!"&amp;ADDRESS(MATCH(T$2,Profile!$C$1:$C$20,0),MATCH($I84,Profile!$1:$1,0),4))),"")</f>
        <v/>
      </c>
      <c r="U84" s="38" t="str" cm="1">
        <f t="array" aca="1" ref="U84" ca="1">IFERROR(IF(INDIRECT("ID"&amp;"!"&amp;ADDRESS(MATCH($J84,ID!$B:$B,0),MATCH($U$1,ID!$1:$1,0),4))="","",INDIRECT("ID"&amp;"!"&amp;ADDRESS(MATCH($J84,ID!$B:$B,0),MATCH($U$1,ID!$1:$1,0),4))),"")</f>
        <v/>
      </c>
    </row>
    <row r="85" spans="9:21" x14ac:dyDescent="0.25">
      <c r="I85" s="7">
        <v>82</v>
      </c>
      <c r="J85" s="7" t="str" cm="1">
        <f t="array" aca="1" ref="J85" ca="1">IFERROR(IF(INDIRECT("Profile"&amp;"!"&amp;ADDRESS(MATCH(J$1,Profile!$A$1:$A$20,0),MATCH($I85,Profile!$1:$1,0),4))="","",INDIRECT("Profile"&amp;"!"&amp;ADDRESS(MATCH(J$1,Profile!$A$1:$A$20,0),MATCH($I85,Profile!$1:$1,0),4))),"")</f>
        <v/>
      </c>
      <c r="K85" s="9" t="str" cm="1">
        <f t="array" aca="1" ref="K85" ca="1">IF($J85="","",IF(INDIRECT("Profile"&amp;"!"&amp;ADDRESS(MATCH(K$2,Profile!$C$1:$C$20,0),MATCH($I85,Profile!$1:$1,0),4))="","",INDIRECT("Profile"&amp;"!"&amp;ADDRESS(MATCH(K$2,Profile!$C$1:$C$20,0),MATCH($I85,Profile!$1:$1,0)))))</f>
        <v/>
      </c>
      <c r="L85" s="3" t="str" cm="1">
        <f t="array" aca="1" ref="L85" ca="1">IF($J85="","",IF(INDIRECT("Profile"&amp;"!"&amp;ADDRESS(MATCH(L$2,Profile!$C$1:$C$20,0),MATCH($I85,Profile!$1:$1,0),4))="","",INDIRECT("Profile"&amp;"!"&amp;ADDRESS(MATCH(L$2,Profile!$C$1:$C$20,0),MATCH($I85,Profile!$1:$1,0)))))</f>
        <v/>
      </c>
      <c r="M85" s="9" t="str" cm="1">
        <f t="array" aca="1" ref="M85" ca="1">IF($J85="","",IF(INDIRECT("Profile"&amp;"!"&amp;ADDRESS(MATCH(M$2,Profile!$C$1:$C$20,0),MATCH($I85,Profile!$1:$1,0),4))="","",INDIRECT("Profile"&amp;"!"&amp;ADDRESS(MATCH(M$2,Profile!$C$1:$C$20,0),MATCH($I85,Profile!$1:$1,0)))))</f>
        <v/>
      </c>
      <c r="N85" s="3" t="str" cm="1">
        <f t="array" aca="1" ref="N85" ca="1">IF($J85="","",IF(INDIRECT("Profile"&amp;"!"&amp;ADDRESS(MATCH(N$2,Profile!$C$1:$C$20,0),MATCH($I85,Profile!$1:$1,0),4))="","",INDIRECT("Profile"&amp;"!"&amp;ADDRESS(MATCH(N$2,Profile!$C$1:$C$20,0),MATCH($I85,Profile!$1:$1,0)))))</f>
        <v/>
      </c>
      <c r="O85" s="3" t="str" cm="1">
        <f t="array" aca="1" ref="O85" ca="1">IFERROR(IF($J85="","",INDIRECT("Profile"&amp;"!"&amp;ADDRESS(MATCH(O$2,Profile!$C$1:$C$20,0),MATCH($I85,Profile!$1:$1,0),4))),"")</f>
        <v/>
      </c>
      <c r="P85" s="9" t="str" cm="1">
        <f t="array" aca="1" ref="P85" ca="1">IFERROR(IF($J85="","",INDIRECT("Profile"&amp;"!"&amp;ADDRESS(MATCH(P$2,Profile!$C$1:$C$20,0),MATCH($I85,Profile!$1:$1,0),4))),"")</f>
        <v/>
      </c>
      <c r="Q85" s="3" t="str" cm="1">
        <f t="array" aca="1" ref="Q85" ca="1">IFERROR(IF($J85="","",INDIRECT("Profile"&amp;"!"&amp;ADDRESS(MATCH(Q$2,Profile!$C$1:$C$20,0),MATCH($I85,Profile!$1:$1,0),4))),"")</f>
        <v/>
      </c>
      <c r="R85" s="3" t="str" cm="1">
        <f t="array" aca="1" ref="R85" ca="1">IFERROR(IF($J85="","",INDIRECT("Profile"&amp;"!"&amp;ADDRESS(MATCH(R$2,Profile!$C$1:$C$20,0),MATCH($I85,Profile!$1:$1,0),4))),"")</f>
        <v/>
      </c>
      <c r="S85" s="3" t="str" cm="1">
        <f t="array" aca="1" ref="S85" ca="1">IFERROR(IF($J85="","",INDIRECT("Profile"&amp;"!"&amp;ADDRESS(MATCH(S$2,Profile!$C$1:$C$20,0),MATCH($I85,Profile!$1:$1,0),4))),"")</f>
        <v/>
      </c>
      <c r="T85" s="3" t="str" cm="1">
        <f t="array" aca="1" ref="T85" ca="1">IFERROR(IF($J85="","",INDIRECT("Profile"&amp;"!"&amp;ADDRESS(MATCH(T$2,Profile!$C$1:$C$20,0),MATCH($I85,Profile!$1:$1,0),4))),"")</f>
        <v/>
      </c>
      <c r="U85" s="38" t="str" cm="1">
        <f t="array" aca="1" ref="U85" ca="1">IFERROR(IF(INDIRECT("ID"&amp;"!"&amp;ADDRESS(MATCH($J85,ID!$B:$B,0),MATCH($U$1,ID!$1:$1,0),4))="","",INDIRECT("ID"&amp;"!"&amp;ADDRESS(MATCH($J85,ID!$B:$B,0),MATCH($U$1,ID!$1:$1,0),4))),"")</f>
        <v/>
      </c>
    </row>
    <row r="86" spans="9:21" x14ac:dyDescent="0.25">
      <c r="I86" s="7">
        <v>83</v>
      </c>
      <c r="J86" s="7" t="str" cm="1">
        <f t="array" aca="1" ref="J86" ca="1">IFERROR(IF(INDIRECT("Profile"&amp;"!"&amp;ADDRESS(MATCH(J$1,Profile!$A$1:$A$20,0),MATCH($I86,Profile!$1:$1,0),4))="","",INDIRECT("Profile"&amp;"!"&amp;ADDRESS(MATCH(J$1,Profile!$A$1:$A$20,0),MATCH($I86,Profile!$1:$1,0),4))),"")</f>
        <v/>
      </c>
      <c r="K86" s="9" t="str" cm="1">
        <f t="array" aca="1" ref="K86" ca="1">IF($J86="","",IF(INDIRECT("Profile"&amp;"!"&amp;ADDRESS(MATCH(K$2,Profile!$C$1:$C$20,0),MATCH($I86,Profile!$1:$1,0),4))="","",INDIRECT("Profile"&amp;"!"&amp;ADDRESS(MATCH(K$2,Profile!$C$1:$C$20,0),MATCH($I86,Profile!$1:$1,0)))))</f>
        <v/>
      </c>
      <c r="L86" s="3" t="str" cm="1">
        <f t="array" aca="1" ref="L86" ca="1">IF($J86="","",IF(INDIRECT("Profile"&amp;"!"&amp;ADDRESS(MATCH(L$2,Profile!$C$1:$C$20,0),MATCH($I86,Profile!$1:$1,0),4))="","",INDIRECT("Profile"&amp;"!"&amp;ADDRESS(MATCH(L$2,Profile!$C$1:$C$20,0),MATCH($I86,Profile!$1:$1,0)))))</f>
        <v/>
      </c>
      <c r="M86" s="9" t="str" cm="1">
        <f t="array" aca="1" ref="M86" ca="1">IF($J86="","",IF(INDIRECT("Profile"&amp;"!"&amp;ADDRESS(MATCH(M$2,Profile!$C$1:$C$20,0),MATCH($I86,Profile!$1:$1,0),4))="","",INDIRECT("Profile"&amp;"!"&amp;ADDRESS(MATCH(M$2,Profile!$C$1:$C$20,0),MATCH($I86,Profile!$1:$1,0)))))</f>
        <v/>
      </c>
      <c r="N86" s="3" t="str" cm="1">
        <f t="array" aca="1" ref="N86" ca="1">IF($J86="","",IF(INDIRECT("Profile"&amp;"!"&amp;ADDRESS(MATCH(N$2,Profile!$C$1:$C$20,0),MATCH($I86,Profile!$1:$1,0),4))="","",INDIRECT("Profile"&amp;"!"&amp;ADDRESS(MATCH(N$2,Profile!$C$1:$C$20,0),MATCH($I86,Profile!$1:$1,0)))))</f>
        <v/>
      </c>
      <c r="O86" s="3" t="str" cm="1">
        <f t="array" aca="1" ref="O86" ca="1">IFERROR(IF($J86="","",INDIRECT("Profile"&amp;"!"&amp;ADDRESS(MATCH(O$2,Profile!$C$1:$C$20,0),MATCH($I86,Profile!$1:$1,0),4))),"")</f>
        <v/>
      </c>
      <c r="P86" s="9" t="str" cm="1">
        <f t="array" aca="1" ref="P86" ca="1">IFERROR(IF($J86="","",INDIRECT("Profile"&amp;"!"&amp;ADDRESS(MATCH(P$2,Profile!$C$1:$C$20,0),MATCH($I86,Profile!$1:$1,0),4))),"")</f>
        <v/>
      </c>
      <c r="Q86" s="3" t="str" cm="1">
        <f t="array" aca="1" ref="Q86" ca="1">IFERROR(IF($J86="","",INDIRECT("Profile"&amp;"!"&amp;ADDRESS(MATCH(Q$2,Profile!$C$1:$C$20,0),MATCH($I86,Profile!$1:$1,0),4))),"")</f>
        <v/>
      </c>
      <c r="R86" s="3" t="str" cm="1">
        <f t="array" aca="1" ref="R86" ca="1">IFERROR(IF($J86="","",INDIRECT("Profile"&amp;"!"&amp;ADDRESS(MATCH(R$2,Profile!$C$1:$C$20,0),MATCH($I86,Profile!$1:$1,0),4))),"")</f>
        <v/>
      </c>
      <c r="S86" s="3" t="str" cm="1">
        <f t="array" aca="1" ref="S86" ca="1">IFERROR(IF($J86="","",INDIRECT("Profile"&amp;"!"&amp;ADDRESS(MATCH(S$2,Profile!$C$1:$C$20,0),MATCH($I86,Profile!$1:$1,0),4))),"")</f>
        <v/>
      </c>
      <c r="T86" s="3" t="str" cm="1">
        <f t="array" aca="1" ref="T86" ca="1">IFERROR(IF($J86="","",INDIRECT("Profile"&amp;"!"&amp;ADDRESS(MATCH(T$2,Profile!$C$1:$C$20,0),MATCH($I86,Profile!$1:$1,0),4))),"")</f>
        <v/>
      </c>
      <c r="U86" s="38" t="str" cm="1">
        <f t="array" aca="1" ref="U86" ca="1">IFERROR(IF(INDIRECT("ID"&amp;"!"&amp;ADDRESS(MATCH($J86,ID!$B:$B,0),MATCH($U$1,ID!$1:$1,0),4))="","",INDIRECT("ID"&amp;"!"&amp;ADDRESS(MATCH($J86,ID!$B:$B,0),MATCH($U$1,ID!$1:$1,0),4))),"")</f>
        <v/>
      </c>
    </row>
    <row r="87" spans="9:21" x14ac:dyDescent="0.25">
      <c r="I87" s="7">
        <v>84</v>
      </c>
      <c r="J87" s="7" t="str" cm="1">
        <f t="array" aca="1" ref="J87" ca="1">IFERROR(IF(INDIRECT("Profile"&amp;"!"&amp;ADDRESS(MATCH(J$1,Profile!$A$1:$A$20,0),MATCH($I87,Profile!$1:$1,0),4))="","",INDIRECT("Profile"&amp;"!"&amp;ADDRESS(MATCH(J$1,Profile!$A$1:$A$20,0),MATCH($I87,Profile!$1:$1,0),4))),"")</f>
        <v/>
      </c>
      <c r="K87" s="9" t="str" cm="1">
        <f t="array" aca="1" ref="K87" ca="1">IF($J87="","",IF(INDIRECT("Profile"&amp;"!"&amp;ADDRESS(MATCH(K$2,Profile!$C$1:$C$20,0),MATCH($I87,Profile!$1:$1,0),4))="","",INDIRECT("Profile"&amp;"!"&amp;ADDRESS(MATCH(K$2,Profile!$C$1:$C$20,0),MATCH($I87,Profile!$1:$1,0)))))</f>
        <v/>
      </c>
      <c r="L87" s="3" t="str" cm="1">
        <f t="array" aca="1" ref="L87" ca="1">IF($J87="","",IF(INDIRECT("Profile"&amp;"!"&amp;ADDRESS(MATCH(L$2,Profile!$C$1:$C$20,0),MATCH($I87,Profile!$1:$1,0),4))="","",INDIRECT("Profile"&amp;"!"&amp;ADDRESS(MATCH(L$2,Profile!$C$1:$C$20,0),MATCH($I87,Profile!$1:$1,0)))))</f>
        <v/>
      </c>
      <c r="M87" s="9" t="str" cm="1">
        <f t="array" aca="1" ref="M87" ca="1">IF($J87="","",IF(INDIRECT("Profile"&amp;"!"&amp;ADDRESS(MATCH(M$2,Profile!$C$1:$C$20,0),MATCH($I87,Profile!$1:$1,0),4))="","",INDIRECT("Profile"&amp;"!"&amp;ADDRESS(MATCH(M$2,Profile!$C$1:$C$20,0),MATCH($I87,Profile!$1:$1,0)))))</f>
        <v/>
      </c>
      <c r="N87" s="3" t="str" cm="1">
        <f t="array" aca="1" ref="N87" ca="1">IF($J87="","",IF(INDIRECT("Profile"&amp;"!"&amp;ADDRESS(MATCH(N$2,Profile!$C$1:$C$20,0),MATCH($I87,Profile!$1:$1,0),4))="","",INDIRECT("Profile"&amp;"!"&amp;ADDRESS(MATCH(N$2,Profile!$C$1:$C$20,0),MATCH($I87,Profile!$1:$1,0)))))</f>
        <v/>
      </c>
      <c r="O87" s="3" t="str" cm="1">
        <f t="array" aca="1" ref="O87" ca="1">IFERROR(IF($J87="","",INDIRECT("Profile"&amp;"!"&amp;ADDRESS(MATCH(O$2,Profile!$C$1:$C$20,0),MATCH($I87,Profile!$1:$1,0),4))),"")</f>
        <v/>
      </c>
      <c r="P87" s="9" t="str" cm="1">
        <f t="array" aca="1" ref="P87" ca="1">IFERROR(IF($J87="","",INDIRECT("Profile"&amp;"!"&amp;ADDRESS(MATCH(P$2,Profile!$C$1:$C$20,0),MATCH($I87,Profile!$1:$1,0),4))),"")</f>
        <v/>
      </c>
      <c r="Q87" s="3" t="str" cm="1">
        <f t="array" aca="1" ref="Q87" ca="1">IFERROR(IF($J87="","",INDIRECT("Profile"&amp;"!"&amp;ADDRESS(MATCH(Q$2,Profile!$C$1:$C$20,0),MATCH($I87,Profile!$1:$1,0),4))),"")</f>
        <v/>
      </c>
      <c r="R87" s="3" t="str" cm="1">
        <f t="array" aca="1" ref="R87" ca="1">IFERROR(IF($J87="","",INDIRECT("Profile"&amp;"!"&amp;ADDRESS(MATCH(R$2,Profile!$C$1:$C$20,0),MATCH($I87,Profile!$1:$1,0),4))),"")</f>
        <v/>
      </c>
      <c r="S87" s="3" t="str" cm="1">
        <f t="array" aca="1" ref="S87" ca="1">IFERROR(IF($J87="","",INDIRECT("Profile"&amp;"!"&amp;ADDRESS(MATCH(S$2,Profile!$C$1:$C$20,0),MATCH($I87,Profile!$1:$1,0),4))),"")</f>
        <v/>
      </c>
      <c r="T87" s="3" t="str" cm="1">
        <f t="array" aca="1" ref="T87" ca="1">IFERROR(IF($J87="","",INDIRECT("Profile"&amp;"!"&amp;ADDRESS(MATCH(T$2,Profile!$C$1:$C$20,0),MATCH($I87,Profile!$1:$1,0),4))),"")</f>
        <v/>
      </c>
      <c r="U87" s="38" t="str" cm="1">
        <f t="array" aca="1" ref="U87" ca="1">IFERROR(IF(INDIRECT("ID"&amp;"!"&amp;ADDRESS(MATCH($J87,ID!$B:$B,0),MATCH($U$1,ID!$1:$1,0),4))="","",INDIRECT("ID"&amp;"!"&amp;ADDRESS(MATCH($J87,ID!$B:$B,0),MATCH($U$1,ID!$1:$1,0),4))),"")</f>
        <v/>
      </c>
    </row>
    <row r="88" spans="9:21" x14ac:dyDescent="0.25">
      <c r="I88" s="7">
        <v>85</v>
      </c>
      <c r="J88" s="7" t="str" cm="1">
        <f t="array" aca="1" ref="J88" ca="1">IFERROR(IF(INDIRECT("Profile"&amp;"!"&amp;ADDRESS(MATCH(J$1,Profile!$A$1:$A$20,0),MATCH($I88,Profile!$1:$1,0),4))="","",INDIRECT("Profile"&amp;"!"&amp;ADDRESS(MATCH(J$1,Profile!$A$1:$A$20,0),MATCH($I88,Profile!$1:$1,0),4))),"")</f>
        <v/>
      </c>
      <c r="K88" s="9" t="str" cm="1">
        <f t="array" aca="1" ref="K88" ca="1">IF($J88="","",IF(INDIRECT("Profile"&amp;"!"&amp;ADDRESS(MATCH(K$2,Profile!$C$1:$C$20,0),MATCH($I88,Profile!$1:$1,0),4))="","",INDIRECT("Profile"&amp;"!"&amp;ADDRESS(MATCH(K$2,Profile!$C$1:$C$20,0),MATCH($I88,Profile!$1:$1,0)))))</f>
        <v/>
      </c>
      <c r="L88" s="3" t="str" cm="1">
        <f t="array" aca="1" ref="L88" ca="1">IF($J88="","",IF(INDIRECT("Profile"&amp;"!"&amp;ADDRESS(MATCH(L$2,Profile!$C$1:$C$20,0),MATCH($I88,Profile!$1:$1,0),4))="","",INDIRECT("Profile"&amp;"!"&amp;ADDRESS(MATCH(L$2,Profile!$C$1:$C$20,0),MATCH($I88,Profile!$1:$1,0)))))</f>
        <v/>
      </c>
      <c r="M88" s="9" t="str" cm="1">
        <f t="array" aca="1" ref="M88" ca="1">IF($J88="","",IF(INDIRECT("Profile"&amp;"!"&amp;ADDRESS(MATCH(M$2,Profile!$C$1:$C$20,0),MATCH($I88,Profile!$1:$1,0),4))="","",INDIRECT("Profile"&amp;"!"&amp;ADDRESS(MATCH(M$2,Profile!$C$1:$C$20,0),MATCH($I88,Profile!$1:$1,0)))))</f>
        <v/>
      </c>
      <c r="N88" s="3" t="str" cm="1">
        <f t="array" aca="1" ref="N88" ca="1">IF($J88="","",IF(INDIRECT("Profile"&amp;"!"&amp;ADDRESS(MATCH(N$2,Profile!$C$1:$C$20,0),MATCH($I88,Profile!$1:$1,0),4))="","",INDIRECT("Profile"&amp;"!"&amp;ADDRESS(MATCH(N$2,Profile!$C$1:$C$20,0),MATCH($I88,Profile!$1:$1,0)))))</f>
        <v/>
      </c>
      <c r="O88" s="3" t="str" cm="1">
        <f t="array" aca="1" ref="O88" ca="1">IFERROR(IF($J88="","",INDIRECT("Profile"&amp;"!"&amp;ADDRESS(MATCH(O$2,Profile!$C$1:$C$20,0),MATCH($I88,Profile!$1:$1,0),4))),"")</f>
        <v/>
      </c>
      <c r="P88" s="9" t="str" cm="1">
        <f t="array" aca="1" ref="P88" ca="1">IFERROR(IF($J88="","",INDIRECT("Profile"&amp;"!"&amp;ADDRESS(MATCH(P$2,Profile!$C$1:$C$20,0),MATCH($I88,Profile!$1:$1,0),4))),"")</f>
        <v/>
      </c>
      <c r="Q88" s="3" t="str" cm="1">
        <f t="array" aca="1" ref="Q88" ca="1">IFERROR(IF($J88="","",INDIRECT("Profile"&amp;"!"&amp;ADDRESS(MATCH(Q$2,Profile!$C$1:$C$20,0),MATCH($I88,Profile!$1:$1,0),4))),"")</f>
        <v/>
      </c>
      <c r="R88" s="3" t="str" cm="1">
        <f t="array" aca="1" ref="R88" ca="1">IFERROR(IF($J88="","",INDIRECT("Profile"&amp;"!"&amp;ADDRESS(MATCH(R$2,Profile!$C$1:$C$20,0),MATCH($I88,Profile!$1:$1,0),4))),"")</f>
        <v/>
      </c>
      <c r="S88" s="3" t="str" cm="1">
        <f t="array" aca="1" ref="S88" ca="1">IFERROR(IF($J88="","",INDIRECT("Profile"&amp;"!"&amp;ADDRESS(MATCH(S$2,Profile!$C$1:$C$20,0),MATCH($I88,Profile!$1:$1,0),4))),"")</f>
        <v/>
      </c>
      <c r="T88" s="3" t="str" cm="1">
        <f t="array" aca="1" ref="T88" ca="1">IFERROR(IF($J88="","",INDIRECT("Profile"&amp;"!"&amp;ADDRESS(MATCH(T$2,Profile!$C$1:$C$20,0),MATCH($I88,Profile!$1:$1,0),4))),"")</f>
        <v/>
      </c>
      <c r="U88" s="38" t="str" cm="1">
        <f t="array" aca="1" ref="U88" ca="1">IFERROR(IF(INDIRECT("ID"&amp;"!"&amp;ADDRESS(MATCH($J88,ID!$B:$B,0),MATCH($U$1,ID!$1:$1,0),4))="","",INDIRECT("ID"&amp;"!"&amp;ADDRESS(MATCH($J88,ID!$B:$B,0),MATCH($U$1,ID!$1:$1,0),4))),"")</f>
        <v/>
      </c>
    </row>
    <row r="89" spans="9:21" x14ac:dyDescent="0.25">
      <c r="I89" s="7">
        <v>86</v>
      </c>
      <c r="J89" s="7" t="str" cm="1">
        <f t="array" aca="1" ref="J89" ca="1">IFERROR(IF(INDIRECT("Profile"&amp;"!"&amp;ADDRESS(MATCH(J$1,Profile!$A$1:$A$20,0),MATCH($I89,Profile!$1:$1,0),4))="","",INDIRECT("Profile"&amp;"!"&amp;ADDRESS(MATCH(J$1,Profile!$A$1:$A$20,0),MATCH($I89,Profile!$1:$1,0),4))),"")</f>
        <v/>
      </c>
      <c r="K89" s="9" t="str" cm="1">
        <f t="array" aca="1" ref="K89" ca="1">IF($J89="","",IF(INDIRECT("Profile"&amp;"!"&amp;ADDRESS(MATCH(K$2,Profile!$C$1:$C$20,0),MATCH($I89,Profile!$1:$1,0),4))="","",INDIRECT("Profile"&amp;"!"&amp;ADDRESS(MATCH(K$2,Profile!$C$1:$C$20,0),MATCH($I89,Profile!$1:$1,0)))))</f>
        <v/>
      </c>
      <c r="L89" s="3" t="str" cm="1">
        <f t="array" aca="1" ref="L89" ca="1">IF($J89="","",IF(INDIRECT("Profile"&amp;"!"&amp;ADDRESS(MATCH(L$2,Profile!$C$1:$C$20,0),MATCH($I89,Profile!$1:$1,0),4))="","",INDIRECT("Profile"&amp;"!"&amp;ADDRESS(MATCH(L$2,Profile!$C$1:$C$20,0),MATCH($I89,Profile!$1:$1,0)))))</f>
        <v/>
      </c>
      <c r="M89" s="9" t="str" cm="1">
        <f t="array" aca="1" ref="M89" ca="1">IF($J89="","",IF(INDIRECT("Profile"&amp;"!"&amp;ADDRESS(MATCH(M$2,Profile!$C$1:$C$20,0),MATCH($I89,Profile!$1:$1,0),4))="","",INDIRECT("Profile"&amp;"!"&amp;ADDRESS(MATCH(M$2,Profile!$C$1:$C$20,0),MATCH($I89,Profile!$1:$1,0)))))</f>
        <v/>
      </c>
      <c r="N89" s="3" t="str" cm="1">
        <f t="array" aca="1" ref="N89" ca="1">IF($J89="","",IF(INDIRECT("Profile"&amp;"!"&amp;ADDRESS(MATCH(N$2,Profile!$C$1:$C$20,0),MATCH($I89,Profile!$1:$1,0),4))="","",INDIRECT("Profile"&amp;"!"&amp;ADDRESS(MATCH(N$2,Profile!$C$1:$C$20,0),MATCH($I89,Profile!$1:$1,0)))))</f>
        <v/>
      </c>
      <c r="O89" s="3" t="str" cm="1">
        <f t="array" aca="1" ref="O89" ca="1">IFERROR(IF($J89="","",INDIRECT("Profile"&amp;"!"&amp;ADDRESS(MATCH(O$2,Profile!$C$1:$C$20,0),MATCH($I89,Profile!$1:$1,0),4))),"")</f>
        <v/>
      </c>
      <c r="P89" s="9" t="str" cm="1">
        <f t="array" aca="1" ref="P89" ca="1">IFERROR(IF($J89="","",INDIRECT("Profile"&amp;"!"&amp;ADDRESS(MATCH(P$2,Profile!$C$1:$C$20,0),MATCH($I89,Profile!$1:$1,0),4))),"")</f>
        <v/>
      </c>
      <c r="Q89" s="3" t="str" cm="1">
        <f t="array" aca="1" ref="Q89" ca="1">IFERROR(IF($J89="","",INDIRECT("Profile"&amp;"!"&amp;ADDRESS(MATCH(Q$2,Profile!$C$1:$C$20,0),MATCH($I89,Profile!$1:$1,0),4))),"")</f>
        <v/>
      </c>
      <c r="R89" s="3" t="str" cm="1">
        <f t="array" aca="1" ref="R89" ca="1">IFERROR(IF($J89="","",INDIRECT("Profile"&amp;"!"&amp;ADDRESS(MATCH(R$2,Profile!$C$1:$C$20,0),MATCH($I89,Profile!$1:$1,0),4))),"")</f>
        <v/>
      </c>
      <c r="S89" s="3" t="str" cm="1">
        <f t="array" aca="1" ref="S89" ca="1">IFERROR(IF($J89="","",INDIRECT("Profile"&amp;"!"&amp;ADDRESS(MATCH(S$2,Profile!$C$1:$C$20,0),MATCH($I89,Profile!$1:$1,0),4))),"")</f>
        <v/>
      </c>
      <c r="T89" s="3" t="str" cm="1">
        <f t="array" aca="1" ref="T89" ca="1">IFERROR(IF($J89="","",INDIRECT("Profile"&amp;"!"&amp;ADDRESS(MATCH(T$2,Profile!$C$1:$C$20,0),MATCH($I89,Profile!$1:$1,0),4))),"")</f>
        <v/>
      </c>
      <c r="U89" s="38" t="str" cm="1">
        <f t="array" aca="1" ref="U89" ca="1">IFERROR(IF(INDIRECT("ID"&amp;"!"&amp;ADDRESS(MATCH($J89,ID!$B:$B,0),MATCH($U$1,ID!$1:$1,0),4))="","",INDIRECT("ID"&amp;"!"&amp;ADDRESS(MATCH($J89,ID!$B:$B,0),MATCH($U$1,ID!$1:$1,0),4))),"")</f>
        <v/>
      </c>
    </row>
    <row r="90" spans="9:21" x14ac:dyDescent="0.25">
      <c r="I90" s="7">
        <v>87</v>
      </c>
      <c r="J90" s="7" t="str" cm="1">
        <f t="array" aca="1" ref="J90" ca="1">IFERROR(IF(INDIRECT("Profile"&amp;"!"&amp;ADDRESS(MATCH(J$1,Profile!$A$1:$A$20,0),MATCH($I90,Profile!$1:$1,0),4))="","",INDIRECT("Profile"&amp;"!"&amp;ADDRESS(MATCH(J$1,Profile!$A$1:$A$20,0),MATCH($I90,Profile!$1:$1,0),4))),"")</f>
        <v/>
      </c>
      <c r="K90" s="9" t="str" cm="1">
        <f t="array" aca="1" ref="K90" ca="1">IF($J90="","",IF(INDIRECT("Profile"&amp;"!"&amp;ADDRESS(MATCH(K$2,Profile!$C$1:$C$20,0),MATCH($I90,Profile!$1:$1,0),4))="","",INDIRECT("Profile"&amp;"!"&amp;ADDRESS(MATCH(K$2,Profile!$C$1:$C$20,0),MATCH($I90,Profile!$1:$1,0)))))</f>
        <v/>
      </c>
      <c r="L90" s="3" t="str" cm="1">
        <f t="array" aca="1" ref="L90" ca="1">IF($J90="","",IF(INDIRECT("Profile"&amp;"!"&amp;ADDRESS(MATCH(L$2,Profile!$C$1:$C$20,0),MATCH($I90,Profile!$1:$1,0),4))="","",INDIRECT("Profile"&amp;"!"&amp;ADDRESS(MATCH(L$2,Profile!$C$1:$C$20,0),MATCH($I90,Profile!$1:$1,0)))))</f>
        <v/>
      </c>
      <c r="M90" s="9" t="str" cm="1">
        <f t="array" aca="1" ref="M90" ca="1">IF($J90="","",IF(INDIRECT("Profile"&amp;"!"&amp;ADDRESS(MATCH(M$2,Profile!$C$1:$C$20,0),MATCH($I90,Profile!$1:$1,0),4))="","",INDIRECT("Profile"&amp;"!"&amp;ADDRESS(MATCH(M$2,Profile!$C$1:$C$20,0),MATCH($I90,Profile!$1:$1,0)))))</f>
        <v/>
      </c>
      <c r="N90" s="3" t="str" cm="1">
        <f t="array" aca="1" ref="N90" ca="1">IF($J90="","",IF(INDIRECT("Profile"&amp;"!"&amp;ADDRESS(MATCH(N$2,Profile!$C$1:$C$20,0),MATCH($I90,Profile!$1:$1,0),4))="","",INDIRECT("Profile"&amp;"!"&amp;ADDRESS(MATCH(N$2,Profile!$C$1:$C$20,0),MATCH($I90,Profile!$1:$1,0)))))</f>
        <v/>
      </c>
      <c r="O90" s="3" t="str" cm="1">
        <f t="array" aca="1" ref="O90" ca="1">IFERROR(IF($J90="","",INDIRECT("Profile"&amp;"!"&amp;ADDRESS(MATCH(O$2,Profile!$C$1:$C$20,0),MATCH($I90,Profile!$1:$1,0),4))),"")</f>
        <v/>
      </c>
      <c r="P90" s="9" t="str" cm="1">
        <f t="array" aca="1" ref="P90" ca="1">IFERROR(IF($J90="","",INDIRECT("Profile"&amp;"!"&amp;ADDRESS(MATCH(P$2,Profile!$C$1:$C$20,0),MATCH($I90,Profile!$1:$1,0),4))),"")</f>
        <v/>
      </c>
      <c r="Q90" s="3" t="str" cm="1">
        <f t="array" aca="1" ref="Q90" ca="1">IFERROR(IF($J90="","",INDIRECT("Profile"&amp;"!"&amp;ADDRESS(MATCH(Q$2,Profile!$C$1:$C$20,0),MATCH($I90,Profile!$1:$1,0),4))),"")</f>
        <v/>
      </c>
      <c r="R90" s="3" t="str" cm="1">
        <f t="array" aca="1" ref="R90" ca="1">IFERROR(IF($J90="","",INDIRECT("Profile"&amp;"!"&amp;ADDRESS(MATCH(R$2,Profile!$C$1:$C$20,0),MATCH($I90,Profile!$1:$1,0),4))),"")</f>
        <v/>
      </c>
      <c r="S90" s="3" t="str" cm="1">
        <f t="array" aca="1" ref="S90" ca="1">IFERROR(IF($J90="","",INDIRECT("Profile"&amp;"!"&amp;ADDRESS(MATCH(S$2,Profile!$C$1:$C$20,0),MATCH($I90,Profile!$1:$1,0),4))),"")</f>
        <v/>
      </c>
      <c r="T90" s="3" t="str" cm="1">
        <f t="array" aca="1" ref="T90" ca="1">IFERROR(IF($J90="","",INDIRECT("Profile"&amp;"!"&amp;ADDRESS(MATCH(T$2,Profile!$C$1:$C$20,0),MATCH($I90,Profile!$1:$1,0),4))),"")</f>
        <v/>
      </c>
      <c r="U90" s="38" t="str" cm="1">
        <f t="array" aca="1" ref="U90" ca="1">IFERROR(IF(INDIRECT("ID"&amp;"!"&amp;ADDRESS(MATCH($J90,ID!$B:$B,0),MATCH($U$1,ID!$1:$1,0),4))="","",INDIRECT("ID"&amp;"!"&amp;ADDRESS(MATCH($J90,ID!$B:$B,0),MATCH($U$1,ID!$1:$1,0),4))),"")</f>
        <v/>
      </c>
    </row>
    <row r="91" spans="9:21" x14ac:dyDescent="0.25">
      <c r="I91" s="7">
        <v>88</v>
      </c>
      <c r="J91" s="7" t="str" cm="1">
        <f t="array" aca="1" ref="J91" ca="1">IFERROR(IF(INDIRECT("Profile"&amp;"!"&amp;ADDRESS(MATCH(J$1,Profile!$A$1:$A$20,0),MATCH($I91,Profile!$1:$1,0),4))="","",INDIRECT("Profile"&amp;"!"&amp;ADDRESS(MATCH(J$1,Profile!$A$1:$A$20,0),MATCH($I91,Profile!$1:$1,0),4))),"")</f>
        <v/>
      </c>
      <c r="K91" s="9" t="str" cm="1">
        <f t="array" aca="1" ref="K91" ca="1">IF($J91="","",IF(INDIRECT("Profile"&amp;"!"&amp;ADDRESS(MATCH(K$2,Profile!$C$1:$C$20,0),MATCH($I91,Profile!$1:$1,0),4))="","",INDIRECT("Profile"&amp;"!"&amp;ADDRESS(MATCH(K$2,Profile!$C$1:$C$20,0),MATCH($I91,Profile!$1:$1,0)))))</f>
        <v/>
      </c>
      <c r="L91" s="3" t="str" cm="1">
        <f t="array" aca="1" ref="L91" ca="1">IF($J91="","",IF(INDIRECT("Profile"&amp;"!"&amp;ADDRESS(MATCH(L$2,Profile!$C$1:$C$20,0),MATCH($I91,Profile!$1:$1,0),4))="","",INDIRECT("Profile"&amp;"!"&amp;ADDRESS(MATCH(L$2,Profile!$C$1:$C$20,0),MATCH($I91,Profile!$1:$1,0)))))</f>
        <v/>
      </c>
      <c r="M91" s="9" t="str" cm="1">
        <f t="array" aca="1" ref="M91" ca="1">IF($J91="","",IF(INDIRECT("Profile"&amp;"!"&amp;ADDRESS(MATCH(M$2,Profile!$C$1:$C$20,0),MATCH($I91,Profile!$1:$1,0),4))="","",INDIRECT("Profile"&amp;"!"&amp;ADDRESS(MATCH(M$2,Profile!$C$1:$C$20,0),MATCH($I91,Profile!$1:$1,0)))))</f>
        <v/>
      </c>
      <c r="N91" s="3" t="str" cm="1">
        <f t="array" aca="1" ref="N91" ca="1">IF($J91="","",IF(INDIRECT("Profile"&amp;"!"&amp;ADDRESS(MATCH(N$2,Profile!$C$1:$C$20,0),MATCH($I91,Profile!$1:$1,0),4))="","",INDIRECT("Profile"&amp;"!"&amp;ADDRESS(MATCH(N$2,Profile!$C$1:$C$20,0),MATCH($I91,Profile!$1:$1,0)))))</f>
        <v/>
      </c>
      <c r="O91" s="3" t="str" cm="1">
        <f t="array" aca="1" ref="O91" ca="1">IFERROR(IF($J91="","",INDIRECT("Profile"&amp;"!"&amp;ADDRESS(MATCH(O$2,Profile!$C$1:$C$20,0),MATCH($I91,Profile!$1:$1,0),4))),"")</f>
        <v/>
      </c>
      <c r="P91" s="9" t="str" cm="1">
        <f t="array" aca="1" ref="P91" ca="1">IFERROR(IF($J91="","",INDIRECT("Profile"&amp;"!"&amp;ADDRESS(MATCH(P$2,Profile!$C$1:$C$20,0),MATCH($I91,Profile!$1:$1,0),4))),"")</f>
        <v/>
      </c>
      <c r="Q91" s="3" t="str" cm="1">
        <f t="array" aca="1" ref="Q91" ca="1">IFERROR(IF($J91="","",INDIRECT("Profile"&amp;"!"&amp;ADDRESS(MATCH(Q$2,Profile!$C$1:$C$20,0),MATCH($I91,Profile!$1:$1,0),4))),"")</f>
        <v/>
      </c>
      <c r="R91" s="3" t="str" cm="1">
        <f t="array" aca="1" ref="R91" ca="1">IFERROR(IF($J91="","",INDIRECT("Profile"&amp;"!"&amp;ADDRESS(MATCH(R$2,Profile!$C$1:$C$20,0),MATCH($I91,Profile!$1:$1,0),4))),"")</f>
        <v/>
      </c>
      <c r="S91" s="3" t="str" cm="1">
        <f t="array" aca="1" ref="S91" ca="1">IFERROR(IF($J91="","",INDIRECT("Profile"&amp;"!"&amp;ADDRESS(MATCH(S$2,Profile!$C$1:$C$20,0),MATCH($I91,Profile!$1:$1,0),4))),"")</f>
        <v/>
      </c>
      <c r="T91" s="3" t="str" cm="1">
        <f t="array" aca="1" ref="T91" ca="1">IFERROR(IF($J91="","",INDIRECT("Profile"&amp;"!"&amp;ADDRESS(MATCH(T$2,Profile!$C$1:$C$20,0),MATCH($I91,Profile!$1:$1,0),4))),"")</f>
        <v/>
      </c>
      <c r="U91" s="38" t="str" cm="1">
        <f t="array" aca="1" ref="U91" ca="1">IFERROR(IF(INDIRECT("ID"&amp;"!"&amp;ADDRESS(MATCH($J91,ID!$B:$B,0),MATCH($U$1,ID!$1:$1,0),4))="","",INDIRECT("ID"&amp;"!"&amp;ADDRESS(MATCH($J91,ID!$B:$B,0),MATCH($U$1,ID!$1:$1,0),4))),"")</f>
        <v/>
      </c>
    </row>
    <row r="92" spans="9:21" x14ac:dyDescent="0.25">
      <c r="I92" s="7">
        <v>89</v>
      </c>
      <c r="J92" s="7" t="str" cm="1">
        <f t="array" aca="1" ref="J92" ca="1">IFERROR(IF(INDIRECT("Profile"&amp;"!"&amp;ADDRESS(MATCH(J$1,Profile!$A$1:$A$20,0),MATCH($I92,Profile!$1:$1,0),4))="","",INDIRECT("Profile"&amp;"!"&amp;ADDRESS(MATCH(J$1,Profile!$A$1:$A$20,0),MATCH($I92,Profile!$1:$1,0),4))),"")</f>
        <v/>
      </c>
      <c r="K92" s="9" t="str" cm="1">
        <f t="array" aca="1" ref="K92" ca="1">IF($J92="","",IF(INDIRECT("Profile"&amp;"!"&amp;ADDRESS(MATCH(K$2,Profile!$C$1:$C$20,0),MATCH($I92,Profile!$1:$1,0),4))="","",INDIRECT("Profile"&amp;"!"&amp;ADDRESS(MATCH(K$2,Profile!$C$1:$C$20,0),MATCH($I92,Profile!$1:$1,0)))))</f>
        <v/>
      </c>
      <c r="L92" s="3" t="str" cm="1">
        <f t="array" aca="1" ref="L92" ca="1">IF($J92="","",IF(INDIRECT("Profile"&amp;"!"&amp;ADDRESS(MATCH(L$2,Profile!$C$1:$C$20,0),MATCH($I92,Profile!$1:$1,0),4))="","",INDIRECT("Profile"&amp;"!"&amp;ADDRESS(MATCH(L$2,Profile!$C$1:$C$20,0),MATCH($I92,Profile!$1:$1,0)))))</f>
        <v/>
      </c>
      <c r="M92" s="9" t="str" cm="1">
        <f t="array" aca="1" ref="M92" ca="1">IF($J92="","",IF(INDIRECT("Profile"&amp;"!"&amp;ADDRESS(MATCH(M$2,Profile!$C$1:$C$20,0),MATCH($I92,Profile!$1:$1,0),4))="","",INDIRECT("Profile"&amp;"!"&amp;ADDRESS(MATCH(M$2,Profile!$C$1:$C$20,0),MATCH($I92,Profile!$1:$1,0)))))</f>
        <v/>
      </c>
      <c r="N92" s="3" t="str" cm="1">
        <f t="array" aca="1" ref="N92" ca="1">IF($J92="","",IF(INDIRECT("Profile"&amp;"!"&amp;ADDRESS(MATCH(N$2,Profile!$C$1:$C$20,0),MATCH($I92,Profile!$1:$1,0),4))="","",INDIRECT("Profile"&amp;"!"&amp;ADDRESS(MATCH(N$2,Profile!$C$1:$C$20,0),MATCH($I92,Profile!$1:$1,0)))))</f>
        <v/>
      </c>
      <c r="O92" s="3" t="str" cm="1">
        <f t="array" aca="1" ref="O92" ca="1">IFERROR(IF($J92="","",INDIRECT("Profile"&amp;"!"&amp;ADDRESS(MATCH(O$2,Profile!$C$1:$C$20,0),MATCH($I92,Profile!$1:$1,0),4))),"")</f>
        <v/>
      </c>
      <c r="P92" s="9" t="str" cm="1">
        <f t="array" aca="1" ref="P92" ca="1">IFERROR(IF($J92="","",INDIRECT("Profile"&amp;"!"&amp;ADDRESS(MATCH(P$2,Profile!$C$1:$C$20,0),MATCH($I92,Profile!$1:$1,0),4))),"")</f>
        <v/>
      </c>
      <c r="Q92" s="3" t="str" cm="1">
        <f t="array" aca="1" ref="Q92" ca="1">IFERROR(IF($J92="","",INDIRECT("Profile"&amp;"!"&amp;ADDRESS(MATCH(Q$2,Profile!$C$1:$C$20,0),MATCH($I92,Profile!$1:$1,0),4))),"")</f>
        <v/>
      </c>
      <c r="R92" s="3" t="str" cm="1">
        <f t="array" aca="1" ref="R92" ca="1">IFERROR(IF($J92="","",INDIRECT("Profile"&amp;"!"&amp;ADDRESS(MATCH(R$2,Profile!$C$1:$C$20,0),MATCH($I92,Profile!$1:$1,0),4))),"")</f>
        <v/>
      </c>
      <c r="S92" s="3" t="str" cm="1">
        <f t="array" aca="1" ref="S92" ca="1">IFERROR(IF($J92="","",INDIRECT("Profile"&amp;"!"&amp;ADDRESS(MATCH(S$2,Profile!$C$1:$C$20,0),MATCH($I92,Profile!$1:$1,0),4))),"")</f>
        <v/>
      </c>
      <c r="T92" s="3" t="str" cm="1">
        <f t="array" aca="1" ref="T92" ca="1">IFERROR(IF($J92="","",INDIRECT("Profile"&amp;"!"&amp;ADDRESS(MATCH(T$2,Profile!$C$1:$C$20,0),MATCH($I92,Profile!$1:$1,0),4))),"")</f>
        <v/>
      </c>
      <c r="U92" s="38" t="str" cm="1">
        <f t="array" aca="1" ref="U92" ca="1">IFERROR(IF(INDIRECT("ID"&amp;"!"&amp;ADDRESS(MATCH($J92,ID!$B:$B,0),MATCH($U$1,ID!$1:$1,0),4))="","",INDIRECT("ID"&amp;"!"&amp;ADDRESS(MATCH($J92,ID!$B:$B,0),MATCH($U$1,ID!$1:$1,0),4))),"")</f>
        <v/>
      </c>
    </row>
    <row r="93" spans="9:21" x14ac:dyDescent="0.25">
      <c r="I93" s="7">
        <v>90</v>
      </c>
      <c r="J93" s="7" t="str" cm="1">
        <f t="array" aca="1" ref="J93" ca="1">IFERROR(IF(INDIRECT("Profile"&amp;"!"&amp;ADDRESS(MATCH(J$1,Profile!$A$1:$A$20,0),MATCH($I93,Profile!$1:$1,0),4))="","",INDIRECT("Profile"&amp;"!"&amp;ADDRESS(MATCH(J$1,Profile!$A$1:$A$20,0),MATCH($I93,Profile!$1:$1,0),4))),"")</f>
        <v/>
      </c>
      <c r="K93" s="9" t="str" cm="1">
        <f t="array" aca="1" ref="K93" ca="1">IF($J93="","",IF(INDIRECT("Profile"&amp;"!"&amp;ADDRESS(MATCH(K$2,Profile!$C$1:$C$20,0),MATCH($I93,Profile!$1:$1,0),4))="","",INDIRECT("Profile"&amp;"!"&amp;ADDRESS(MATCH(K$2,Profile!$C$1:$C$20,0),MATCH($I93,Profile!$1:$1,0)))))</f>
        <v/>
      </c>
      <c r="L93" s="3" t="str" cm="1">
        <f t="array" aca="1" ref="L93" ca="1">IF($J93="","",IF(INDIRECT("Profile"&amp;"!"&amp;ADDRESS(MATCH(L$2,Profile!$C$1:$C$20,0),MATCH($I93,Profile!$1:$1,0),4))="","",INDIRECT("Profile"&amp;"!"&amp;ADDRESS(MATCH(L$2,Profile!$C$1:$C$20,0),MATCH($I93,Profile!$1:$1,0)))))</f>
        <v/>
      </c>
      <c r="M93" s="9" t="str" cm="1">
        <f t="array" aca="1" ref="M93" ca="1">IF($J93="","",IF(INDIRECT("Profile"&amp;"!"&amp;ADDRESS(MATCH(M$2,Profile!$C$1:$C$20,0),MATCH($I93,Profile!$1:$1,0),4))="","",INDIRECT("Profile"&amp;"!"&amp;ADDRESS(MATCH(M$2,Profile!$C$1:$C$20,0),MATCH($I93,Profile!$1:$1,0)))))</f>
        <v/>
      </c>
      <c r="N93" s="3" t="str" cm="1">
        <f t="array" aca="1" ref="N93" ca="1">IF($J93="","",IF(INDIRECT("Profile"&amp;"!"&amp;ADDRESS(MATCH(N$2,Profile!$C$1:$C$20,0),MATCH($I93,Profile!$1:$1,0),4))="","",INDIRECT("Profile"&amp;"!"&amp;ADDRESS(MATCH(N$2,Profile!$C$1:$C$20,0),MATCH($I93,Profile!$1:$1,0)))))</f>
        <v/>
      </c>
      <c r="O93" s="3" t="str" cm="1">
        <f t="array" aca="1" ref="O93" ca="1">IFERROR(IF($J93="","",INDIRECT("Profile"&amp;"!"&amp;ADDRESS(MATCH(O$2,Profile!$C$1:$C$20,0),MATCH($I93,Profile!$1:$1,0),4))),"")</f>
        <v/>
      </c>
      <c r="P93" s="9" t="str" cm="1">
        <f t="array" aca="1" ref="P93" ca="1">IFERROR(IF($J93="","",INDIRECT("Profile"&amp;"!"&amp;ADDRESS(MATCH(P$2,Profile!$C$1:$C$20,0),MATCH($I93,Profile!$1:$1,0),4))),"")</f>
        <v/>
      </c>
      <c r="Q93" s="3" t="str" cm="1">
        <f t="array" aca="1" ref="Q93" ca="1">IFERROR(IF($J93="","",INDIRECT("Profile"&amp;"!"&amp;ADDRESS(MATCH(Q$2,Profile!$C$1:$C$20,0),MATCH($I93,Profile!$1:$1,0),4))),"")</f>
        <v/>
      </c>
      <c r="R93" s="3" t="str" cm="1">
        <f t="array" aca="1" ref="R93" ca="1">IFERROR(IF($J93="","",INDIRECT("Profile"&amp;"!"&amp;ADDRESS(MATCH(R$2,Profile!$C$1:$C$20,0),MATCH($I93,Profile!$1:$1,0),4))),"")</f>
        <v/>
      </c>
      <c r="S93" s="3" t="str" cm="1">
        <f t="array" aca="1" ref="S93" ca="1">IFERROR(IF($J93="","",INDIRECT("Profile"&amp;"!"&amp;ADDRESS(MATCH(S$2,Profile!$C$1:$C$20,0),MATCH($I93,Profile!$1:$1,0),4))),"")</f>
        <v/>
      </c>
      <c r="T93" s="3" t="str" cm="1">
        <f t="array" aca="1" ref="T93" ca="1">IFERROR(IF($J93="","",INDIRECT("Profile"&amp;"!"&amp;ADDRESS(MATCH(T$2,Profile!$C$1:$C$20,0),MATCH($I93,Profile!$1:$1,0),4))),"")</f>
        <v/>
      </c>
      <c r="U93" s="38" t="str" cm="1">
        <f t="array" aca="1" ref="U93" ca="1">IFERROR(IF(INDIRECT("ID"&amp;"!"&amp;ADDRESS(MATCH($J93,ID!$B:$B,0),MATCH($U$1,ID!$1:$1,0),4))="","",INDIRECT("ID"&amp;"!"&amp;ADDRESS(MATCH($J93,ID!$B:$B,0),MATCH($U$1,ID!$1:$1,0),4))),"")</f>
        <v/>
      </c>
    </row>
    <row r="94" spans="9:21" x14ac:dyDescent="0.25">
      <c r="I94" s="7">
        <v>91</v>
      </c>
      <c r="J94" s="7" t="str" cm="1">
        <f t="array" aca="1" ref="J94" ca="1">IFERROR(IF(INDIRECT("Profile"&amp;"!"&amp;ADDRESS(MATCH(J$1,Profile!$A$1:$A$20,0),MATCH($I94,Profile!$1:$1,0),4))="","",INDIRECT("Profile"&amp;"!"&amp;ADDRESS(MATCH(J$1,Profile!$A$1:$A$20,0),MATCH($I94,Profile!$1:$1,0),4))),"")</f>
        <v/>
      </c>
      <c r="K94" s="9" t="str" cm="1">
        <f t="array" aca="1" ref="K94" ca="1">IF($J94="","",IF(INDIRECT("Profile"&amp;"!"&amp;ADDRESS(MATCH(K$2,Profile!$C$1:$C$20,0),MATCH($I94,Profile!$1:$1,0),4))="","",INDIRECT("Profile"&amp;"!"&amp;ADDRESS(MATCH(K$2,Profile!$C$1:$C$20,0),MATCH($I94,Profile!$1:$1,0)))))</f>
        <v/>
      </c>
      <c r="L94" s="3" t="str" cm="1">
        <f t="array" aca="1" ref="L94" ca="1">IF($J94="","",IF(INDIRECT("Profile"&amp;"!"&amp;ADDRESS(MATCH(L$2,Profile!$C$1:$C$20,0),MATCH($I94,Profile!$1:$1,0),4))="","",INDIRECT("Profile"&amp;"!"&amp;ADDRESS(MATCH(L$2,Profile!$C$1:$C$20,0),MATCH($I94,Profile!$1:$1,0)))))</f>
        <v/>
      </c>
      <c r="M94" s="9" t="str" cm="1">
        <f t="array" aca="1" ref="M94" ca="1">IF($J94="","",IF(INDIRECT("Profile"&amp;"!"&amp;ADDRESS(MATCH(M$2,Profile!$C$1:$C$20,0),MATCH($I94,Profile!$1:$1,0),4))="","",INDIRECT("Profile"&amp;"!"&amp;ADDRESS(MATCH(M$2,Profile!$C$1:$C$20,0),MATCH($I94,Profile!$1:$1,0)))))</f>
        <v/>
      </c>
      <c r="N94" s="3" t="str" cm="1">
        <f t="array" aca="1" ref="N94" ca="1">IF($J94="","",IF(INDIRECT("Profile"&amp;"!"&amp;ADDRESS(MATCH(N$2,Profile!$C$1:$C$20,0),MATCH($I94,Profile!$1:$1,0),4))="","",INDIRECT("Profile"&amp;"!"&amp;ADDRESS(MATCH(N$2,Profile!$C$1:$C$20,0),MATCH($I94,Profile!$1:$1,0)))))</f>
        <v/>
      </c>
      <c r="O94" s="3" t="str" cm="1">
        <f t="array" aca="1" ref="O94" ca="1">IFERROR(IF($J94="","",INDIRECT("Profile"&amp;"!"&amp;ADDRESS(MATCH(O$2,Profile!$C$1:$C$20,0),MATCH($I94,Profile!$1:$1,0),4))),"")</f>
        <v/>
      </c>
      <c r="P94" s="9" t="str" cm="1">
        <f t="array" aca="1" ref="P94" ca="1">IFERROR(IF($J94="","",INDIRECT("Profile"&amp;"!"&amp;ADDRESS(MATCH(P$2,Profile!$C$1:$C$20,0),MATCH($I94,Profile!$1:$1,0),4))),"")</f>
        <v/>
      </c>
      <c r="Q94" s="3" t="str" cm="1">
        <f t="array" aca="1" ref="Q94" ca="1">IFERROR(IF($J94="","",INDIRECT("Profile"&amp;"!"&amp;ADDRESS(MATCH(Q$2,Profile!$C$1:$C$20,0),MATCH($I94,Profile!$1:$1,0),4))),"")</f>
        <v/>
      </c>
      <c r="R94" s="3" t="str" cm="1">
        <f t="array" aca="1" ref="R94" ca="1">IFERROR(IF($J94="","",INDIRECT("Profile"&amp;"!"&amp;ADDRESS(MATCH(R$2,Profile!$C$1:$C$20,0),MATCH($I94,Profile!$1:$1,0),4))),"")</f>
        <v/>
      </c>
      <c r="S94" s="3" t="str" cm="1">
        <f t="array" aca="1" ref="S94" ca="1">IFERROR(IF($J94="","",INDIRECT("Profile"&amp;"!"&amp;ADDRESS(MATCH(S$2,Profile!$C$1:$C$20,0),MATCH($I94,Profile!$1:$1,0),4))),"")</f>
        <v/>
      </c>
      <c r="T94" s="3" t="str" cm="1">
        <f t="array" aca="1" ref="T94" ca="1">IFERROR(IF($J94="","",INDIRECT("Profile"&amp;"!"&amp;ADDRESS(MATCH(T$2,Profile!$C$1:$C$20,0),MATCH($I94,Profile!$1:$1,0),4))),"")</f>
        <v/>
      </c>
      <c r="U94" s="38" t="str" cm="1">
        <f t="array" aca="1" ref="U94" ca="1">IFERROR(IF(INDIRECT("ID"&amp;"!"&amp;ADDRESS(MATCH($J94,ID!$B:$B,0),MATCH($U$1,ID!$1:$1,0),4))="","",INDIRECT("ID"&amp;"!"&amp;ADDRESS(MATCH($J94,ID!$B:$B,0),MATCH($U$1,ID!$1:$1,0),4))),"")</f>
        <v/>
      </c>
    </row>
    <row r="95" spans="9:21" x14ac:dyDescent="0.25">
      <c r="I95" s="7">
        <v>92</v>
      </c>
      <c r="J95" s="7" t="str" cm="1">
        <f t="array" aca="1" ref="J95" ca="1">IFERROR(IF(INDIRECT("Profile"&amp;"!"&amp;ADDRESS(MATCH(J$1,Profile!$A$1:$A$20,0),MATCH($I95,Profile!$1:$1,0),4))="","",INDIRECT("Profile"&amp;"!"&amp;ADDRESS(MATCH(J$1,Profile!$A$1:$A$20,0),MATCH($I95,Profile!$1:$1,0),4))),"")</f>
        <v/>
      </c>
      <c r="K95" s="9" t="str" cm="1">
        <f t="array" aca="1" ref="K95" ca="1">IF($J95="","",IF(INDIRECT("Profile"&amp;"!"&amp;ADDRESS(MATCH(K$2,Profile!$C$1:$C$20,0),MATCH($I95,Profile!$1:$1,0),4))="","",INDIRECT("Profile"&amp;"!"&amp;ADDRESS(MATCH(K$2,Profile!$C$1:$C$20,0),MATCH($I95,Profile!$1:$1,0)))))</f>
        <v/>
      </c>
      <c r="L95" s="3" t="str" cm="1">
        <f t="array" aca="1" ref="L95" ca="1">IF($J95="","",IF(INDIRECT("Profile"&amp;"!"&amp;ADDRESS(MATCH(L$2,Profile!$C$1:$C$20,0),MATCH($I95,Profile!$1:$1,0),4))="","",INDIRECT("Profile"&amp;"!"&amp;ADDRESS(MATCH(L$2,Profile!$C$1:$C$20,0),MATCH($I95,Profile!$1:$1,0)))))</f>
        <v/>
      </c>
      <c r="M95" s="9" t="str" cm="1">
        <f t="array" aca="1" ref="M95" ca="1">IF($J95="","",IF(INDIRECT("Profile"&amp;"!"&amp;ADDRESS(MATCH(M$2,Profile!$C$1:$C$20,0),MATCH($I95,Profile!$1:$1,0),4))="","",INDIRECT("Profile"&amp;"!"&amp;ADDRESS(MATCH(M$2,Profile!$C$1:$C$20,0),MATCH($I95,Profile!$1:$1,0)))))</f>
        <v/>
      </c>
      <c r="N95" s="3" t="str" cm="1">
        <f t="array" aca="1" ref="N95" ca="1">IF($J95="","",IF(INDIRECT("Profile"&amp;"!"&amp;ADDRESS(MATCH(N$2,Profile!$C$1:$C$20,0),MATCH($I95,Profile!$1:$1,0),4))="","",INDIRECT("Profile"&amp;"!"&amp;ADDRESS(MATCH(N$2,Profile!$C$1:$C$20,0),MATCH($I95,Profile!$1:$1,0)))))</f>
        <v/>
      </c>
      <c r="O95" s="3" t="str" cm="1">
        <f t="array" aca="1" ref="O95" ca="1">IFERROR(IF($J95="","",INDIRECT("Profile"&amp;"!"&amp;ADDRESS(MATCH(O$2,Profile!$C$1:$C$20,0),MATCH($I95,Profile!$1:$1,0),4))),"")</f>
        <v/>
      </c>
      <c r="P95" s="9" t="str" cm="1">
        <f t="array" aca="1" ref="P95" ca="1">IFERROR(IF($J95="","",INDIRECT("Profile"&amp;"!"&amp;ADDRESS(MATCH(P$2,Profile!$C$1:$C$20,0),MATCH($I95,Profile!$1:$1,0),4))),"")</f>
        <v/>
      </c>
      <c r="Q95" s="3" t="str" cm="1">
        <f t="array" aca="1" ref="Q95" ca="1">IFERROR(IF($J95="","",INDIRECT("Profile"&amp;"!"&amp;ADDRESS(MATCH(Q$2,Profile!$C$1:$C$20,0),MATCH($I95,Profile!$1:$1,0),4))),"")</f>
        <v/>
      </c>
      <c r="R95" s="3" t="str" cm="1">
        <f t="array" aca="1" ref="R95" ca="1">IFERROR(IF($J95="","",INDIRECT("Profile"&amp;"!"&amp;ADDRESS(MATCH(R$2,Profile!$C$1:$C$20,0),MATCH($I95,Profile!$1:$1,0),4))),"")</f>
        <v/>
      </c>
      <c r="S95" s="3" t="str" cm="1">
        <f t="array" aca="1" ref="S95" ca="1">IFERROR(IF($J95="","",INDIRECT("Profile"&amp;"!"&amp;ADDRESS(MATCH(S$2,Profile!$C$1:$C$20,0),MATCH($I95,Profile!$1:$1,0),4))),"")</f>
        <v/>
      </c>
      <c r="T95" s="3" t="str" cm="1">
        <f t="array" aca="1" ref="T95" ca="1">IFERROR(IF($J95="","",INDIRECT("Profile"&amp;"!"&amp;ADDRESS(MATCH(T$2,Profile!$C$1:$C$20,0),MATCH($I95,Profile!$1:$1,0),4))),"")</f>
        <v/>
      </c>
      <c r="U95" s="38" t="str" cm="1">
        <f t="array" aca="1" ref="U95" ca="1">IFERROR(IF(INDIRECT("ID"&amp;"!"&amp;ADDRESS(MATCH($J95,ID!$B:$B,0),MATCH($U$1,ID!$1:$1,0),4))="","",INDIRECT("ID"&amp;"!"&amp;ADDRESS(MATCH($J95,ID!$B:$B,0),MATCH($U$1,ID!$1:$1,0),4))),"")</f>
        <v/>
      </c>
    </row>
    <row r="96" spans="9:21" x14ac:dyDescent="0.25">
      <c r="I96" s="7">
        <v>93</v>
      </c>
      <c r="J96" s="7" t="str" cm="1">
        <f t="array" aca="1" ref="J96" ca="1">IFERROR(IF(INDIRECT("Profile"&amp;"!"&amp;ADDRESS(MATCH(J$1,Profile!$A$1:$A$20,0),MATCH($I96,Profile!$1:$1,0),4))="","",INDIRECT("Profile"&amp;"!"&amp;ADDRESS(MATCH(J$1,Profile!$A$1:$A$20,0),MATCH($I96,Profile!$1:$1,0),4))),"")</f>
        <v/>
      </c>
      <c r="K96" s="9" t="str" cm="1">
        <f t="array" aca="1" ref="K96" ca="1">IF($J96="","",IF(INDIRECT("Profile"&amp;"!"&amp;ADDRESS(MATCH(K$2,Profile!$C$1:$C$20,0),MATCH($I96,Profile!$1:$1,0),4))="","",INDIRECT("Profile"&amp;"!"&amp;ADDRESS(MATCH(K$2,Profile!$C$1:$C$20,0),MATCH($I96,Profile!$1:$1,0)))))</f>
        <v/>
      </c>
      <c r="L96" s="3" t="str" cm="1">
        <f t="array" aca="1" ref="L96" ca="1">IF($J96="","",IF(INDIRECT("Profile"&amp;"!"&amp;ADDRESS(MATCH(L$2,Profile!$C$1:$C$20,0),MATCH($I96,Profile!$1:$1,0),4))="","",INDIRECT("Profile"&amp;"!"&amp;ADDRESS(MATCH(L$2,Profile!$C$1:$C$20,0),MATCH($I96,Profile!$1:$1,0)))))</f>
        <v/>
      </c>
      <c r="M96" s="9" t="str" cm="1">
        <f t="array" aca="1" ref="M96" ca="1">IF($J96="","",IF(INDIRECT("Profile"&amp;"!"&amp;ADDRESS(MATCH(M$2,Profile!$C$1:$C$20,0),MATCH($I96,Profile!$1:$1,0),4))="","",INDIRECT("Profile"&amp;"!"&amp;ADDRESS(MATCH(M$2,Profile!$C$1:$C$20,0),MATCH($I96,Profile!$1:$1,0)))))</f>
        <v/>
      </c>
      <c r="N96" s="3" t="str" cm="1">
        <f t="array" aca="1" ref="N96" ca="1">IF($J96="","",IF(INDIRECT("Profile"&amp;"!"&amp;ADDRESS(MATCH(N$2,Profile!$C$1:$C$20,0),MATCH($I96,Profile!$1:$1,0),4))="","",INDIRECT("Profile"&amp;"!"&amp;ADDRESS(MATCH(N$2,Profile!$C$1:$C$20,0),MATCH($I96,Profile!$1:$1,0)))))</f>
        <v/>
      </c>
      <c r="O96" s="3" t="str" cm="1">
        <f t="array" aca="1" ref="O96" ca="1">IFERROR(IF($J96="","",INDIRECT("Profile"&amp;"!"&amp;ADDRESS(MATCH(O$2,Profile!$C$1:$C$20,0),MATCH($I96,Profile!$1:$1,0),4))),"")</f>
        <v/>
      </c>
      <c r="P96" s="9" t="str" cm="1">
        <f t="array" aca="1" ref="P96" ca="1">IFERROR(IF($J96="","",INDIRECT("Profile"&amp;"!"&amp;ADDRESS(MATCH(P$2,Profile!$C$1:$C$20,0),MATCH($I96,Profile!$1:$1,0),4))),"")</f>
        <v/>
      </c>
      <c r="Q96" s="3" t="str" cm="1">
        <f t="array" aca="1" ref="Q96" ca="1">IFERROR(IF($J96="","",INDIRECT("Profile"&amp;"!"&amp;ADDRESS(MATCH(Q$2,Profile!$C$1:$C$20,0),MATCH($I96,Profile!$1:$1,0),4))),"")</f>
        <v/>
      </c>
      <c r="R96" s="3" t="str" cm="1">
        <f t="array" aca="1" ref="R96" ca="1">IFERROR(IF($J96="","",INDIRECT("Profile"&amp;"!"&amp;ADDRESS(MATCH(R$2,Profile!$C$1:$C$20,0),MATCH($I96,Profile!$1:$1,0),4))),"")</f>
        <v/>
      </c>
      <c r="S96" s="3" t="str" cm="1">
        <f t="array" aca="1" ref="S96" ca="1">IFERROR(IF($J96="","",INDIRECT("Profile"&amp;"!"&amp;ADDRESS(MATCH(S$2,Profile!$C$1:$C$20,0),MATCH($I96,Profile!$1:$1,0),4))),"")</f>
        <v/>
      </c>
      <c r="T96" s="3" t="str" cm="1">
        <f t="array" aca="1" ref="T96" ca="1">IFERROR(IF($J96="","",INDIRECT("Profile"&amp;"!"&amp;ADDRESS(MATCH(T$2,Profile!$C$1:$C$20,0),MATCH($I96,Profile!$1:$1,0),4))),"")</f>
        <v/>
      </c>
      <c r="U96" s="38" t="str" cm="1">
        <f t="array" aca="1" ref="U96" ca="1">IFERROR(IF(INDIRECT("ID"&amp;"!"&amp;ADDRESS(MATCH($J96,ID!$B:$B,0),MATCH($U$1,ID!$1:$1,0),4))="","",INDIRECT("ID"&amp;"!"&amp;ADDRESS(MATCH($J96,ID!$B:$B,0),MATCH($U$1,ID!$1:$1,0),4))),"")</f>
        <v/>
      </c>
    </row>
    <row r="97" spans="9:21" x14ac:dyDescent="0.25">
      <c r="I97" s="7">
        <v>94</v>
      </c>
      <c r="J97" s="7" t="str" cm="1">
        <f t="array" aca="1" ref="J97" ca="1">IFERROR(IF(INDIRECT("Profile"&amp;"!"&amp;ADDRESS(MATCH(J$1,Profile!$A$1:$A$20,0),MATCH($I97,Profile!$1:$1,0),4))="","",INDIRECT("Profile"&amp;"!"&amp;ADDRESS(MATCH(J$1,Profile!$A$1:$A$20,0),MATCH($I97,Profile!$1:$1,0),4))),"")</f>
        <v/>
      </c>
      <c r="K97" s="9" t="str" cm="1">
        <f t="array" aca="1" ref="K97" ca="1">IF($J97="","",IF(INDIRECT("Profile"&amp;"!"&amp;ADDRESS(MATCH(K$2,Profile!$C$1:$C$20,0),MATCH($I97,Profile!$1:$1,0),4))="","",INDIRECT("Profile"&amp;"!"&amp;ADDRESS(MATCH(K$2,Profile!$C$1:$C$20,0),MATCH($I97,Profile!$1:$1,0)))))</f>
        <v/>
      </c>
      <c r="L97" s="3" t="str" cm="1">
        <f t="array" aca="1" ref="L97" ca="1">IF($J97="","",IF(INDIRECT("Profile"&amp;"!"&amp;ADDRESS(MATCH(L$2,Profile!$C$1:$C$20,0),MATCH($I97,Profile!$1:$1,0),4))="","",INDIRECT("Profile"&amp;"!"&amp;ADDRESS(MATCH(L$2,Profile!$C$1:$C$20,0),MATCH($I97,Profile!$1:$1,0)))))</f>
        <v/>
      </c>
      <c r="M97" s="9" t="str" cm="1">
        <f t="array" aca="1" ref="M97" ca="1">IF($J97="","",IF(INDIRECT("Profile"&amp;"!"&amp;ADDRESS(MATCH(M$2,Profile!$C$1:$C$20,0),MATCH($I97,Profile!$1:$1,0),4))="","",INDIRECT("Profile"&amp;"!"&amp;ADDRESS(MATCH(M$2,Profile!$C$1:$C$20,0),MATCH($I97,Profile!$1:$1,0)))))</f>
        <v/>
      </c>
      <c r="N97" s="3" t="str" cm="1">
        <f t="array" aca="1" ref="N97" ca="1">IF($J97="","",IF(INDIRECT("Profile"&amp;"!"&amp;ADDRESS(MATCH(N$2,Profile!$C$1:$C$20,0),MATCH($I97,Profile!$1:$1,0),4))="","",INDIRECT("Profile"&amp;"!"&amp;ADDRESS(MATCH(N$2,Profile!$C$1:$C$20,0),MATCH($I97,Profile!$1:$1,0)))))</f>
        <v/>
      </c>
      <c r="O97" s="3" t="str" cm="1">
        <f t="array" aca="1" ref="O97" ca="1">IFERROR(IF($J97="","",INDIRECT("Profile"&amp;"!"&amp;ADDRESS(MATCH(O$2,Profile!$C$1:$C$20,0),MATCH($I97,Profile!$1:$1,0),4))),"")</f>
        <v/>
      </c>
      <c r="P97" s="9" t="str" cm="1">
        <f t="array" aca="1" ref="P97" ca="1">IFERROR(IF($J97="","",INDIRECT("Profile"&amp;"!"&amp;ADDRESS(MATCH(P$2,Profile!$C$1:$C$20,0),MATCH($I97,Profile!$1:$1,0),4))),"")</f>
        <v/>
      </c>
      <c r="Q97" s="3" t="str" cm="1">
        <f t="array" aca="1" ref="Q97" ca="1">IFERROR(IF($J97="","",INDIRECT("Profile"&amp;"!"&amp;ADDRESS(MATCH(Q$2,Profile!$C$1:$C$20,0),MATCH($I97,Profile!$1:$1,0),4))),"")</f>
        <v/>
      </c>
      <c r="R97" s="3" t="str" cm="1">
        <f t="array" aca="1" ref="R97" ca="1">IFERROR(IF($J97="","",INDIRECT("Profile"&amp;"!"&amp;ADDRESS(MATCH(R$2,Profile!$C$1:$C$20,0),MATCH($I97,Profile!$1:$1,0),4))),"")</f>
        <v/>
      </c>
      <c r="S97" s="3" t="str" cm="1">
        <f t="array" aca="1" ref="S97" ca="1">IFERROR(IF($J97="","",INDIRECT("Profile"&amp;"!"&amp;ADDRESS(MATCH(S$2,Profile!$C$1:$C$20,0),MATCH($I97,Profile!$1:$1,0),4))),"")</f>
        <v/>
      </c>
      <c r="T97" s="3" t="str" cm="1">
        <f t="array" aca="1" ref="T97" ca="1">IFERROR(IF($J97="","",INDIRECT("Profile"&amp;"!"&amp;ADDRESS(MATCH(T$2,Profile!$C$1:$C$20,0),MATCH($I97,Profile!$1:$1,0),4))),"")</f>
        <v/>
      </c>
      <c r="U97" s="38" t="str" cm="1">
        <f t="array" aca="1" ref="U97" ca="1">IFERROR(IF(INDIRECT("ID"&amp;"!"&amp;ADDRESS(MATCH($J97,ID!$B:$B,0),MATCH($U$1,ID!$1:$1,0),4))="","",INDIRECT("ID"&amp;"!"&amp;ADDRESS(MATCH($J97,ID!$B:$B,0),MATCH($U$1,ID!$1:$1,0),4))),"")</f>
        <v/>
      </c>
    </row>
    <row r="98" spans="9:21" x14ac:dyDescent="0.25">
      <c r="I98" s="7">
        <v>95</v>
      </c>
      <c r="J98" s="7" t="str" cm="1">
        <f t="array" aca="1" ref="J98" ca="1">IFERROR(IF(INDIRECT("Profile"&amp;"!"&amp;ADDRESS(MATCH(J$1,Profile!$A$1:$A$20,0),MATCH($I98,Profile!$1:$1,0),4))="","",INDIRECT("Profile"&amp;"!"&amp;ADDRESS(MATCH(J$1,Profile!$A$1:$A$20,0),MATCH($I98,Profile!$1:$1,0),4))),"")</f>
        <v/>
      </c>
      <c r="K98" s="9" t="str" cm="1">
        <f t="array" aca="1" ref="K98" ca="1">IF($J98="","",IF(INDIRECT("Profile"&amp;"!"&amp;ADDRESS(MATCH(K$2,Profile!$C$1:$C$20,0),MATCH($I98,Profile!$1:$1,0),4))="","",INDIRECT("Profile"&amp;"!"&amp;ADDRESS(MATCH(K$2,Profile!$C$1:$C$20,0),MATCH($I98,Profile!$1:$1,0)))))</f>
        <v/>
      </c>
      <c r="L98" s="3" t="str" cm="1">
        <f t="array" aca="1" ref="L98" ca="1">IF($J98="","",IF(INDIRECT("Profile"&amp;"!"&amp;ADDRESS(MATCH(L$2,Profile!$C$1:$C$20,0),MATCH($I98,Profile!$1:$1,0),4))="","",INDIRECT("Profile"&amp;"!"&amp;ADDRESS(MATCH(L$2,Profile!$C$1:$C$20,0),MATCH($I98,Profile!$1:$1,0)))))</f>
        <v/>
      </c>
      <c r="M98" s="9" t="str" cm="1">
        <f t="array" aca="1" ref="M98" ca="1">IF($J98="","",IF(INDIRECT("Profile"&amp;"!"&amp;ADDRESS(MATCH(M$2,Profile!$C$1:$C$20,0),MATCH($I98,Profile!$1:$1,0),4))="","",INDIRECT("Profile"&amp;"!"&amp;ADDRESS(MATCH(M$2,Profile!$C$1:$C$20,0),MATCH($I98,Profile!$1:$1,0)))))</f>
        <v/>
      </c>
      <c r="N98" s="3" t="str" cm="1">
        <f t="array" aca="1" ref="N98" ca="1">IF($J98="","",IF(INDIRECT("Profile"&amp;"!"&amp;ADDRESS(MATCH(N$2,Profile!$C$1:$C$20,0),MATCH($I98,Profile!$1:$1,0),4))="","",INDIRECT("Profile"&amp;"!"&amp;ADDRESS(MATCH(N$2,Profile!$C$1:$C$20,0),MATCH($I98,Profile!$1:$1,0)))))</f>
        <v/>
      </c>
      <c r="O98" s="3" t="str" cm="1">
        <f t="array" aca="1" ref="O98" ca="1">IFERROR(IF($J98="","",INDIRECT("Profile"&amp;"!"&amp;ADDRESS(MATCH(O$2,Profile!$C$1:$C$20,0),MATCH($I98,Profile!$1:$1,0),4))),"")</f>
        <v/>
      </c>
      <c r="P98" s="9" t="str" cm="1">
        <f t="array" aca="1" ref="P98" ca="1">IFERROR(IF($J98="","",INDIRECT("Profile"&amp;"!"&amp;ADDRESS(MATCH(P$2,Profile!$C$1:$C$20,0),MATCH($I98,Profile!$1:$1,0),4))),"")</f>
        <v/>
      </c>
      <c r="Q98" s="3" t="str" cm="1">
        <f t="array" aca="1" ref="Q98" ca="1">IFERROR(IF($J98="","",INDIRECT("Profile"&amp;"!"&amp;ADDRESS(MATCH(Q$2,Profile!$C$1:$C$20,0),MATCH($I98,Profile!$1:$1,0),4))),"")</f>
        <v/>
      </c>
      <c r="R98" s="3" t="str" cm="1">
        <f t="array" aca="1" ref="R98" ca="1">IFERROR(IF($J98="","",INDIRECT("Profile"&amp;"!"&amp;ADDRESS(MATCH(R$2,Profile!$C$1:$C$20,0),MATCH($I98,Profile!$1:$1,0),4))),"")</f>
        <v/>
      </c>
      <c r="S98" s="3" t="str" cm="1">
        <f t="array" aca="1" ref="S98" ca="1">IFERROR(IF($J98="","",INDIRECT("Profile"&amp;"!"&amp;ADDRESS(MATCH(S$2,Profile!$C$1:$C$20,0),MATCH($I98,Profile!$1:$1,0),4))),"")</f>
        <v/>
      </c>
      <c r="T98" s="3" t="str" cm="1">
        <f t="array" aca="1" ref="T98" ca="1">IFERROR(IF($J98="","",INDIRECT("Profile"&amp;"!"&amp;ADDRESS(MATCH(T$2,Profile!$C$1:$C$20,0),MATCH($I98,Profile!$1:$1,0),4))),"")</f>
        <v/>
      </c>
      <c r="U98" s="38" t="str" cm="1">
        <f t="array" aca="1" ref="U98" ca="1">IFERROR(IF(INDIRECT("ID"&amp;"!"&amp;ADDRESS(MATCH($J98,ID!$B:$B,0),MATCH($U$1,ID!$1:$1,0),4))="","",INDIRECT("ID"&amp;"!"&amp;ADDRESS(MATCH($J98,ID!$B:$B,0),MATCH($U$1,ID!$1:$1,0),4))),"")</f>
        <v/>
      </c>
    </row>
    <row r="99" spans="9:21" x14ac:dyDescent="0.25">
      <c r="I99" s="7">
        <v>96</v>
      </c>
      <c r="J99" s="7" t="str" cm="1">
        <f t="array" aca="1" ref="J99" ca="1">IFERROR(IF(INDIRECT("Profile"&amp;"!"&amp;ADDRESS(MATCH(J$1,Profile!$A$1:$A$20,0),MATCH($I99,Profile!$1:$1,0),4))="","",INDIRECT("Profile"&amp;"!"&amp;ADDRESS(MATCH(J$1,Profile!$A$1:$A$20,0),MATCH($I99,Profile!$1:$1,0),4))),"")</f>
        <v/>
      </c>
      <c r="K99" s="9" t="str" cm="1">
        <f t="array" aca="1" ref="K99" ca="1">IF($J99="","",IF(INDIRECT("Profile"&amp;"!"&amp;ADDRESS(MATCH(K$2,Profile!$C$1:$C$20,0),MATCH($I99,Profile!$1:$1,0),4))="","",INDIRECT("Profile"&amp;"!"&amp;ADDRESS(MATCH(K$2,Profile!$C$1:$C$20,0),MATCH($I99,Profile!$1:$1,0)))))</f>
        <v/>
      </c>
      <c r="L99" s="3" t="str" cm="1">
        <f t="array" aca="1" ref="L99" ca="1">IF($J99="","",IF(INDIRECT("Profile"&amp;"!"&amp;ADDRESS(MATCH(L$2,Profile!$C$1:$C$20,0),MATCH($I99,Profile!$1:$1,0),4))="","",INDIRECT("Profile"&amp;"!"&amp;ADDRESS(MATCH(L$2,Profile!$C$1:$C$20,0),MATCH($I99,Profile!$1:$1,0)))))</f>
        <v/>
      </c>
      <c r="M99" s="9" t="str" cm="1">
        <f t="array" aca="1" ref="M99" ca="1">IF($J99="","",IF(INDIRECT("Profile"&amp;"!"&amp;ADDRESS(MATCH(M$2,Profile!$C$1:$C$20,0),MATCH($I99,Profile!$1:$1,0),4))="","",INDIRECT("Profile"&amp;"!"&amp;ADDRESS(MATCH(M$2,Profile!$C$1:$C$20,0),MATCH($I99,Profile!$1:$1,0)))))</f>
        <v/>
      </c>
      <c r="N99" s="3" t="str" cm="1">
        <f t="array" aca="1" ref="N99" ca="1">IF($J99="","",IF(INDIRECT("Profile"&amp;"!"&amp;ADDRESS(MATCH(N$2,Profile!$C$1:$C$20,0),MATCH($I99,Profile!$1:$1,0),4))="","",INDIRECT("Profile"&amp;"!"&amp;ADDRESS(MATCH(N$2,Profile!$C$1:$C$20,0),MATCH($I99,Profile!$1:$1,0)))))</f>
        <v/>
      </c>
      <c r="O99" s="3" t="str" cm="1">
        <f t="array" aca="1" ref="O99" ca="1">IFERROR(IF($J99="","",INDIRECT("Profile"&amp;"!"&amp;ADDRESS(MATCH(O$2,Profile!$C$1:$C$20,0),MATCH($I99,Profile!$1:$1,0),4))),"")</f>
        <v/>
      </c>
      <c r="P99" s="9" t="str" cm="1">
        <f t="array" aca="1" ref="P99" ca="1">IFERROR(IF($J99="","",INDIRECT("Profile"&amp;"!"&amp;ADDRESS(MATCH(P$2,Profile!$C$1:$C$20,0),MATCH($I99,Profile!$1:$1,0),4))),"")</f>
        <v/>
      </c>
      <c r="Q99" s="3" t="str" cm="1">
        <f t="array" aca="1" ref="Q99" ca="1">IFERROR(IF($J99="","",INDIRECT("Profile"&amp;"!"&amp;ADDRESS(MATCH(Q$2,Profile!$C$1:$C$20,0),MATCH($I99,Profile!$1:$1,0),4))),"")</f>
        <v/>
      </c>
      <c r="R99" s="3" t="str" cm="1">
        <f t="array" aca="1" ref="R99" ca="1">IFERROR(IF($J99="","",INDIRECT("Profile"&amp;"!"&amp;ADDRESS(MATCH(R$2,Profile!$C$1:$C$20,0),MATCH($I99,Profile!$1:$1,0),4))),"")</f>
        <v/>
      </c>
      <c r="S99" s="3" t="str" cm="1">
        <f t="array" aca="1" ref="S99" ca="1">IFERROR(IF($J99="","",INDIRECT("Profile"&amp;"!"&amp;ADDRESS(MATCH(S$2,Profile!$C$1:$C$20,0),MATCH($I99,Profile!$1:$1,0),4))),"")</f>
        <v/>
      </c>
      <c r="T99" s="3" t="str" cm="1">
        <f t="array" aca="1" ref="T99" ca="1">IFERROR(IF($J99="","",INDIRECT("Profile"&amp;"!"&amp;ADDRESS(MATCH(T$2,Profile!$C$1:$C$20,0),MATCH($I99,Profile!$1:$1,0),4))),"")</f>
        <v/>
      </c>
      <c r="U99" s="38" t="str" cm="1">
        <f t="array" aca="1" ref="U99" ca="1">IFERROR(IF(INDIRECT("ID"&amp;"!"&amp;ADDRESS(MATCH($J99,ID!$B:$B,0),MATCH($U$1,ID!$1:$1,0),4))="","",INDIRECT("ID"&amp;"!"&amp;ADDRESS(MATCH($J99,ID!$B:$B,0),MATCH($U$1,ID!$1:$1,0),4))),"")</f>
        <v/>
      </c>
    </row>
    <row r="100" spans="9:21" x14ac:dyDescent="0.25">
      <c r="I100" s="7">
        <v>97</v>
      </c>
      <c r="J100" s="7" t="str" cm="1">
        <f t="array" aca="1" ref="J100" ca="1">IFERROR(IF(INDIRECT("Profile"&amp;"!"&amp;ADDRESS(MATCH(J$1,Profile!$A$1:$A$20,0),MATCH($I100,Profile!$1:$1,0),4))="","",INDIRECT("Profile"&amp;"!"&amp;ADDRESS(MATCH(J$1,Profile!$A$1:$A$20,0),MATCH($I100,Profile!$1:$1,0),4))),"")</f>
        <v/>
      </c>
      <c r="K100" s="9" t="str" cm="1">
        <f t="array" aca="1" ref="K100" ca="1">IF($J100="","",IF(INDIRECT("Profile"&amp;"!"&amp;ADDRESS(MATCH(K$2,Profile!$C$1:$C$20,0),MATCH($I100,Profile!$1:$1,0),4))="","",INDIRECT("Profile"&amp;"!"&amp;ADDRESS(MATCH(K$2,Profile!$C$1:$C$20,0),MATCH($I100,Profile!$1:$1,0)))))</f>
        <v/>
      </c>
      <c r="L100" s="3" t="str" cm="1">
        <f t="array" aca="1" ref="L100" ca="1">IF($J100="","",IF(INDIRECT("Profile"&amp;"!"&amp;ADDRESS(MATCH(L$2,Profile!$C$1:$C$20,0),MATCH($I100,Profile!$1:$1,0),4))="","",INDIRECT("Profile"&amp;"!"&amp;ADDRESS(MATCH(L$2,Profile!$C$1:$C$20,0),MATCH($I100,Profile!$1:$1,0)))))</f>
        <v/>
      </c>
      <c r="M100" s="9" t="str" cm="1">
        <f t="array" aca="1" ref="M100" ca="1">IF($J100="","",IF(INDIRECT("Profile"&amp;"!"&amp;ADDRESS(MATCH(M$2,Profile!$C$1:$C$20,0),MATCH($I100,Profile!$1:$1,0),4))="","",INDIRECT("Profile"&amp;"!"&amp;ADDRESS(MATCH(M$2,Profile!$C$1:$C$20,0),MATCH($I100,Profile!$1:$1,0)))))</f>
        <v/>
      </c>
      <c r="N100" s="3" t="str" cm="1">
        <f t="array" aca="1" ref="N100" ca="1">IF($J100="","",IF(INDIRECT("Profile"&amp;"!"&amp;ADDRESS(MATCH(N$2,Profile!$C$1:$C$20,0),MATCH($I100,Profile!$1:$1,0),4))="","",INDIRECT("Profile"&amp;"!"&amp;ADDRESS(MATCH(N$2,Profile!$C$1:$C$20,0),MATCH($I100,Profile!$1:$1,0)))))</f>
        <v/>
      </c>
      <c r="O100" s="3" t="str" cm="1">
        <f t="array" aca="1" ref="O100" ca="1">IFERROR(IF($J100="","",INDIRECT("Profile"&amp;"!"&amp;ADDRESS(MATCH(O$2,Profile!$C$1:$C$20,0),MATCH($I100,Profile!$1:$1,0),4))),"")</f>
        <v/>
      </c>
      <c r="P100" s="9" t="str" cm="1">
        <f t="array" aca="1" ref="P100" ca="1">IFERROR(IF($J100="","",INDIRECT("Profile"&amp;"!"&amp;ADDRESS(MATCH(P$2,Profile!$C$1:$C$20,0),MATCH($I100,Profile!$1:$1,0),4))),"")</f>
        <v/>
      </c>
      <c r="Q100" s="3" t="str" cm="1">
        <f t="array" aca="1" ref="Q100" ca="1">IFERROR(IF($J100="","",INDIRECT("Profile"&amp;"!"&amp;ADDRESS(MATCH(Q$2,Profile!$C$1:$C$20,0),MATCH($I100,Profile!$1:$1,0),4))),"")</f>
        <v/>
      </c>
      <c r="R100" s="3" t="str" cm="1">
        <f t="array" aca="1" ref="R100" ca="1">IFERROR(IF($J100="","",INDIRECT("Profile"&amp;"!"&amp;ADDRESS(MATCH(R$2,Profile!$C$1:$C$20,0),MATCH($I100,Profile!$1:$1,0),4))),"")</f>
        <v/>
      </c>
      <c r="S100" s="3" t="str" cm="1">
        <f t="array" aca="1" ref="S100" ca="1">IFERROR(IF($J100="","",INDIRECT("Profile"&amp;"!"&amp;ADDRESS(MATCH(S$2,Profile!$C$1:$C$20,0),MATCH($I100,Profile!$1:$1,0),4))),"")</f>
        <v/>
      </c>
      <c r="T100" s="3" t="str" cm="1">
        <f t="array" aca="1" ref="T100" ca="1">IFERROR(IF($J100="","",INDIRECT("Profile"&amp;"!"&amp;ADDRESS(MATCH(T$2,Profile!$C$1:$C$20,0),MATCH($I100,Profile!$1:$1,0),4))),"")</f>
        <v/>
      </c>
      <c r="U100" s="38" t="str" cm="1">
        <f t="array" aca="1" ref="U100" ca="1">IFERROR(IF(INDIRECT("ID"&amp;"!"&amp;ADDRESS(MATCH($J100,ID!$B:$B,0),MATCH($U$1,ID!$1:$1,0),4))="","",INDIRECT("ID"&amp;"!"&amp;ADDRESS(MATCH($J100,ID!$B:$B,0),MATCH($U$1,ID!$1:$1,0),4))),"")</f>
        <v/>
      </c>
    </row>
    <row r="101" spans="9:21" x14ac:dyDescent="0.25">
      <c r="I101" s="7">
        <v>98</v>
      </c>
      <c r="J101" s="7" t="str" cm="1">
        <f t="array" aca="1" ref="J101" ca="1">IFERROR(IF(INDIRECT("Profile"&amp;"!"&amp;ADDRESS(MATCH(J$1,Profile!$A$1:$A$20,0),MATCH($I101,Profile!$1:$1,0),4))="","",INDIRECT("Profile"&amp;"!"&amp;ADDRESS(MATCH(J$1,Profile!$A$1:$A$20,0),MATCH($I101,Profile!$1:$1,0),4))),"")</f>
        <v/>
      </c>
      <c r="K101" s="9" t="str" cm="1">
        <f t="array" aca="1" ref="K101" ca="1">IF($J101="","",IF(INDIRECT("Profile"&amp;"!"&amp;ADDRESS(MATCH(K$2,Profile!$C$1:$C$20,0),MATCH($I101,Profile!$1:$1,0),4))="","",INDIRECT("Profile"&amp;"!"&amp;ADDRESS(MATCH(K$2,Profile!$C$1:$C$20,0),MATCH($I101,Profile!$1:$1,0)))))</f>
        <v/>
      </c>
      <c r="L101" s="3" t="str" cm="1">
        <f t="array" aca="1" ref="L101" ca="1">IF($J101="","",IF(INDIRECT("Profile"&amp;"!"&amp;ADDRESS(MATCH(L$2,Profile!$C$1:$C$20,0),MATCH($I101,Profile!$1:$1,0),4))="","",INDIRECT("Profile"&amp;"!"&amp;ADDRESS(MATCH(L$2,Profile!$C$1:$C$20,0),MATCH($I101,Profile!$1:$1,0)))))</f>
        <v/>
      </c>
      <c r="M101" s="9" t="str" cm="1">
        <f t="array" aca="1" ref="M101" ca="1">IF($J101="","",IF(INDIRECT("Profile"&amp;"!"&amp;ADDRESS(MATCH(M$2,Profile!$C$1:$C$20,0),MATCH($I101,Profile!$1:$1,0),4))="","",INDIRECT("Profile"&amp;"!"&amp;ADDRESS(MATCH(M$2,Profile!$C$1:$C$20,0),MATCH($I101,Profile!$1:$1,0)))))</f>
        <v/>
      </c>
      <c r="N101" s="3" t="str" cm="1">
        <f t="array" aca="1" ref="N101" ca="1">IF($J101="","",IF(INDIRECT("Profile"&amp;"!"&amp;ADDRESS(MATCH(N$2,Profile!$C$1:$C$20,0),MATCH($I101,Profile!$1:$1,0),4))="","",INDIRECT("Profile"&amp;"!"&amp;ADDRESS(MATCH(N$2,Profile!$C$1:$C$20,0),MATCH($I101,Profile!$1:$1,0)))))</f>
        <v/>
      </c>
      <c r="O101" s="3" t="str" cm="1">
        <f t="array" aca="1" ref="O101" ca="1">IFERROR(IF($J101="","",INDIRECT("Profile"&amp;"!"&amp;ADDRESS(MATCH(O$2,Profile!$C$1:$C$20,0),MATCH($I101,Profile!$1:$1,0),4))),"")</f>
        <v/>
      </c>
      <c r="P101" s="9" t="str" cm="1">
        <f t="array" aca="1" ref="P101" ca="1">IFERROR(IF($J101="","",INDIRECT("Profile"&amp;"!"&amp;ADDRESS(MATCH(P$2,Profile!$C$1:$C$20,0),MATCH($I101,Profile!$1:$1,0),4))),"")</f>
        <v/>
      </c>
      <c r="Q101" s="3" t="str" cm="1">
        <f t="array" aca="1" ref="Q101" ca="1">IFERROR(IF($J101="","",INDIRECT("Profile"&amp;"!"&amp;ADDRESS(MATCH(Q$2,Profile!$C$1:$C$20,0),MATCH($I101,Profile!$1:$1,0),4))),"")</f>
        <v/>
      </c>
      <c r="R101" s="3" t="str" cm="1">
        <f t="array" aca="1" ref="R101" ca="1">IFERROR(IF($J101="","",INDIRECT("Profile"&amp;"!"&amp;ADDRESS(MATCH(R$2,Profile!$C$1:$C$20,0),MATCH($I101,Profile!$1:$1,0),4))),"")</f>
        <v/>
      </c>
      <c r="S101" s="3" t="str" cm="1">
        <f t="array" aca="1" ref="S101" ca="1">IFERROR(IF($J101="","",INDIRECT("Profile"&amp;"!"&amp;ADDRESS(MATCH(S$2,Profile!$C$1:$C$20,0),MATCH($I101,Profile!$1:$1,0),4))),"")</f>
        <v/>
      </c>
      <c r="T101" s="3" t="str" cm="1">
        <f t="array" aca="1" ref="T101" ca="1">IFERROR(IF($J101="","",INDIRECT("Profile"&amp;"!"&amp;ADDRESS(MATCH(T$2,Profile!$C$1:$C$20,0),MATCH($I101,Profile!$1:$1,0),4))),"")</f>
        <v/>
      </c>
      <c r="U101" s="38" t="str" cm="1">
        <f t="array" aca="1" ref="U101" ca="1">IFERROR(IF(INDIRECT("ID"&amp;"!"&amp;ADDRESS(MATCH($J101,ID!$B:$B,0),MATCH($U$1,ID!$1:$1,0),4))="","",INDIRECT("ID"&amp;"!"&amp;ADDRESS(MATCH($J101,ID!$B:$B,0),MATCH($U$1,ID!$1:$1,0),4))),"")</f>
        <v/>
      </c>
    </row>
    <row r="102" spans="9:21" x14ac:dyDescent="0.25">
      <c r="I102" s="7">
        <v>99</v>
      </c>
      <c r="J102" s="7" t="str" cm="1">
        <f t="array" aca="1" ref="J102" ca="1">IFERROR(IF(INDIRECT("Profile"&amp;"!"&amp;ADDRESS(MATCH(J$1,Profile!$A$1:$A$20,0),MATCH($I102,Profile!$1:$1,0),4))="","",INDIRECT("Profile"&amp;"!"&amp;ADDRESS(MATCH(J$1,Profile!$A$1:$A$20,0),MATCH($I102,Profile!$1:$1,0),4))),"")</f>
        <v/>
      </c>
      <c r="K102" s="9" t="str" cm="1">
        <f t="array" aca="1" ref="K102" ca="1">IF($J102="","",IF(INDIRECT("Profile"&amp;"!"&amp;ADDRESS(MATCH(K$2,Profile!$C$1:$C$20,0),MATCH($I102,Profile!$1:$1,0),4))="","",INDIRECT("Profile"&amp;"!"&amp;ADDRESS(MATCH(K$2,Profile!$C$1:$C$20,0),MATCH($I102,Profile!$1:$1,0)))))</f>
        <v/>
      </c>
      <c r="L102" s="3" t="str" cm="1">
        <f t="array" aca="1" ref="L102" ca="1">IF($J102="","",IF(INDIRECT("Profile"&amp;"!"&amp;ADDRESS(MATCH(L$2,Profile!$C$1:$C$20,0),MATCH($I102,Profile!$1:$1,0),4))="","",INDIRECT("Profile"&amp;"!"&amp;ADDRESS(MATCH(L$2,Profile!$C$1:$C$20,0),MATCH($I102,Profile!$1:$1,0)))))</f>
        <v/>
      </c>
      <c r="M102" s="9" t="str" cm="1">
        <f t="array" aca="1" ref="M102" ca="1">IF($J102="","",IF(INDIRECT("Profile"&amp;"!"&amp;ADDRESS(MATCH(M$2,Profile!$C$1:$C$20,0),MATCH($I102,Profile!$1:$1,0),4))="","",INDIRECT("Profile"&amp;"!"&amp;ADDRESS(MATCH(M$2,Profile!$C$1:$C$20,0),MATCH($I102,Profile!$1:$1,0)))))</f>
        <v/>
      </c>
      <c r="N102" s="3" t="str" cm="1">
        <f t="array" aca="1" ref="N102" ca="1">IF($J102="","",IF(INDIRECT("Profile"&amp;"!"&amp;ADDRESS(MATCH(N$2,Profile!$C$1:$C$20,0),MATCH($I102,Profile!$1:$1,0),4))="","",INDIRECT("Profile"&amp;"!"&amp;ADDRESS(MATCH(N$2,Profile!$C$1:$C$20,0),MATCH($I102,Profile!$1:$1,0)))))</f>
        <v/>
      </c>
      <c r="O102" s="3" t="str" cm="1">
        <f t="array" aca="1" ref="O102" ca="1">IFERROR(IF($J102="","",INDIRECT("Profile"&amp;"!"&amp;ADDRESS(MATCH(O$2,Profile!$C$1:$C$20,0),MATCH($I102,Profile!$1:$1,0),4))),"")</f>
        <v/>
      </c>
      <c r="P102" s="9" t="str" cm="1">
        <f t="array" aca="1" ref="P102" ca="1">IFERROR(IF($J102="","",INDIRECT("Profile"&amp;"!"&amp;ADDRESS(MATCH(P$2,Profile!$C$1:$C$20,0),MATCH($I102,Profile!$1:$1,0),4))),"")</f>
        <v/>
      </c>
      <c r="Q102" s="3" t="str" cm="1">
        <f t="array" aca="1" ref="Q102" ca="1">IFERROR(IF($J102="","",INDIRECT("Profile"&amp;"!"&amp;ADDRESS(MATCH(Q$2,Profile!$C$1:$C$20,0),MATCH($I102,Profile!$1:$1,0),4))),"")</f>
        <v/>
      </c>
      <c r="R102" s="3" t="str" cm="1">
        <f t="array" aca="1" ref="R102" ca="1">IFERROR(IF($J102="","",INDIRECT("Profile"&amp;"!"&amp;ADDRESS(MATCH(R$2,Profile!$C$1:$C$20,0),MATCH($I102,Profile!$1:$1,0),4))),"")</f>
        <v/>
      </c>
      <c r="S102" s="3" t="str" cm="1">
        <f t="array" aca="1" ref="S102" ca="1">IFERROR(IF($J102="","",INDIRECT("Profile"&amp;"!"&amp;ADDRESS(MATCH(S$2,Profile!$C$1:$C$20,0),MATCH($I102,Profile!$1:$1,0),4))),"")</f>
        <v/>
      </c>
      <c r="T102" s="3" t="str" cm="1">
        <f t="array" aca="1" ref="T102" ca="1">IFERROR(IF($J102="","",INDIRECT("Profile"&amp;"!"&amp;ADDRESS(MATCH(T$2,Profile!$C$1:$C$20,0),MATCH($I102,Profile!$1:$1,0),4))),"")</f>
        <v/>
      </c>
      <c r="U102" s="38" t="str" cm="1">
        <f t="array" aca="1" ref="U102" ca="1">IFERROR(IF(INDIRECT("ID"&amp;"!"&amp;ADDRESS(MATCH($J102,ID!$B:$B,0),MATCH($U$1,ID!$1:$1,0),4))="","",INDIRECT("ID"&amp;"!"&amp;ADDRESS(MATCH($J102,ID!$B:$B,0),MATCH($U$1,ID!$1:$1,0),4))),"")</f>
        <v/>
      </c>
    </row>
    <row r="103" spans="9:21" x14ac:dyDescent="0.25">
      <c r="I103" s="7">
        <v>100</v>
      </c>
      <c r="J103" s="7" t="str" cm="1">
        <f t="array" aca="1" ref="J103" ca="1">IFERROR(IF(INDIRECT("Profile"&amp;"!"&amp;ADDRESS(MATCH(J$1,Profile!$A$1:$A$20,0),MATCH($I103,Profile!$1:$1,0),4))="","",INDIRECT("Profile"&amp;"!"&amp;ADDRESS(MATCH(J$1,Profile!$A$1:$A$20,0),MATCH($I103,Profile!$1:$1,0),4))),"")</f>
        <v/>
      </c>
      <c r="K103" s="9" t="str" cm="1">
        <f t="array" aca="1" ref="K103" ca="1">IF($J103="","",IF(INDIRECT("Profile"&amp;"!"&amp;ADDRESS(MATCH(K$2,Profile!$C$1:$C$20,0),MATCH($I103,Profile!$1:$1,0),4))="","",INDIRECT("Profile"&amp;"!"&amp;ADDRESS(MATCH(K$2,Profile!$C$1:$C$20,0),MATCH($I103,Profile!$1:$1,0)))))</f>
        <v/>
      </c>
      <c r="L103" s="3" t="str" cm="1">
        <f t="array" aca="1" ref="L103" ca="1">IF($J103="","",IF(INDIRECT("Profile"&amp;"!"&amp;ADDRESS(MATCH(L$2,Profile!$C$1:$C$20,0),MATCH($I103,Profile!$1:$1,0),4))="","",INDIRECT("Profile"&amp;"!"&amp;ADDRESS(MATCH(L$2,Profile!$C$1:$C$20,0),MATCH($I103,Profile!$1:$1,0)))))</f>
        <v/>
      </c>
      <c r="M103" s="9" t="str" cm="1">
        <f t="array" aca="1" ref="M103" ca="1">IF($J103="","",IF(INDIRECT("Profile"&amp;"!"&amp;ADDRESS(MATCH(M$2,Profile!$C$1:$C$20,0),MATCH($I103,Profile!$1:$1,0),4))="","",INDIRECT("Profile"&amp;"!"&amp;ADDRESS(MATCH(M$2,Profile!$C$1:$C$20,0),MATCH($I103,Profile!$1:$1,0)))))</f>
        <v/>
      </c>
      <c r="N103" s="3" t="str" cm="1">
        <f t="array" aca="1" ref="N103" ca="1">IF($J103="","",IF(INDIRECT("Profile"&amp;"!"&amp;ADDRESS(MATCH(N$2,Profile!$C$1:$C$20,0),MATCH($I103,Profile!$1:$1,0),4))="","",INDIRECT("Profile"&amp;"!"&amp;ADDRESS(MATCH(N$2,Profile!$C$1:$C$20,0),MATCH($I103,Profile!$1:$1,0)))))</f>
        <v/>
      </c>
      <c r="O103" s="3" t="str" cm="1">
        <f t="array" aca="1" ref="O103" ca="1">IFERROR(IF($J103="","",INDIRECT("Profile"&amp;"!"&amp;ADDRESS(MATCH(O$2,Profile!$C$1:$C$20,0),MATCH($I103,Profile!$1:$1,0),4))),"")</f>
        <v/>
      </c>
      <c r="P103" s="9" t="str" cm="1">
        <f t="array" aca="1" ref="P103" ca="1">IFERROR(IF($J103="","",INDIRECT("Profile"&amp;"!"&amp;ADDRESS(MATCH(P$2,Profile!$C$1:$C$20,0),MATCH($I103,Profile!$1:$1,0),4))),"")</f>
        <v/>
      </c>
      <c r="Q103" s="3" t="str" cm="1">
        <f t="array" aca="1" ref="Q103" ca="1">IFERROR(IF($J103="","",INDIRECT("Profile"&amp;"!"&amp;ADDRESS(MATCH(Q$2,Profile!$C$1:$C$20,0),MATCH($I103,Profile!$1:$1,0),4))),"")</f>
        <v/>
      </c>
      <c r="R103" s="3" t="str" cm="1">
        <f t="array" aca="1" ref="R103" ca="1">IFERROR(IF($J103="","",INDIRECT("Profile"&amp;"!"&amp;ADDRESS(MATCH(R$2,Profile!$C$1:$C$20,0),MATCH($I103,Profile!$1:$1,0),4))),"")</f>
        <v/>
      </c>
      <c r="S103" s="3" t="str" cm="1">
        <f t="array" aca="1" ref="S103" ca="1">IFERROR(IF($J103="","",INDIRECT("Profile"&amp;"!"&amp;ADDRESS(MATCH(S$2,Profile!$C$1:$C$20,0),MATCH($I103,Profile!$1:$1,0),4))),"")</f>
        <v/>
      </c>
      <c r="T103" s="3" t="str" cm="1">
        <f t="array" aca="1" ref="T103" ca="1">IFERROR(IF($J103="","",INDIRECT("Profile"&amp;"!"&amp;ADDRESS(MATCH(T$2,Profile!$C$1:$C$20,0),MATCH($I103,Profile!$1:$1,0),4))),"")</f>
        <v/>
      </c>
      <c r="U103" s="38" t="str" cm="1">
        <f t="array" aca="1" ref="U103" ca="1">IFERROR(IF(INDIRECT("ID"&amp;"!"&amp;ADDRESS(MATCH($J103,ID!$B:$B,0),MATCH($U$1,ID!$1:$1,0),4))="","",INDIRECT("ID"&amp;"!"&amp;ADDRESS(MATCH($J103,ID!$B:$B,0),MATCH($U$1,ID!$1:$1,0),4))),"")</f>
        <v/>
      </c>
    </row>
  </sheetData>
  <mergeCells count="6">
    <mergeCell ref="U1:U3"/>
    <mergeCell ref="K1:L1"/>
    <mergeCell ref="M1:O1"/>
    <mergeCell ref="P1:T1"/>
    <mergeCell ref="I1:I3"/>
    <mergeCell ref="J1:J3"/>
  </mergeCells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64674-FDDD-4D9F-81F5-D81EA8B51016}">
  <sheetPr codeName="Sheet4"/>
  <dimension ref="A1:I72"/>
  <sheetViews>
    <sheetView workbookViewId="0"/>
  </sheetViews>
  <sheetFormatPr defaultRowHeight="13.3" x14ac:dyDescent="0.25"/>
  <cols>
    <col min="7" max="7" width="15.07421875" customWidth="1"/>
    <col min="8" max="8" width="3.84375" customWidth="1"/>
  </cols>
  <sheetData>
    <row r="1" spans="1:9" ht="26.6" x14ac:dyDescent="0.25">
      <c r="A1" s="53" t="s">
        <v>41</v>
      </c>
      <c r="B1" s="54" t="s">
        <v>37</v>
      </c>
      <c r="C1" s="54" t="s">
        <v>40</v>
      </c>
      <c r="D1" s="54" t="s">
        <v>38</v>
      </c>
      <c r="E1" s="54" t="s">
        <v>39</v>
      </c>
      <c r="F1" s="54" t="s">
        <v>42</v>
      </c>
      <c r="G1" s="54" t="s">
        <v>43</v>
      </c>
      <c r="I1" s="53" t="s">
        <v>44</v>
      </c>
    </row>
    <row r="2" spans="1:9" x14ac:dyDescent="0.25">
      <c r="A2">
        <v>70</v>
      </c>
      <c r="B2">
        <f>RADIANS($A2)</f>
        <v>1.2217304763960306</v>
      </c>
      <c r="C2">
        <f>TAN(RADIANS($A2))</f>
        <v>2.7474774194546216</v>
      </c>
      <c r="D2">
        <v>2</v>
      </c>
      <c r="E2">
        <f>$D2/$C2</f>
        <v>0.72794046853240491</v>
      </c>
      <c r="F2">
        <f>(($D2^2)+($E2^2))^(1/2)</f>
        <v>2.1283555449518241</v>
      </c>
      <c r="G2">
        <f>$I$2-($E2*2)</f>
        <v>-0.15588093706480977</v>
      </c>
      <c r="I2">
        <v>1.3</v>
      </c>
    </row>
    <row r="3" spans="1:9" x14ac:dyDescent="0.25">
      <c r="A3">
        <v>71</v>
      </c>
      <c r="B3">
        <f t="shared" ref="B3:B22" si="0">RADIANS($A3)</f>
        <v>1.2391837689159739</v>
      </c>
      <c r="C3">
        <f t="shared" ref="C3:C22" si="1">TAN(RADIANS($A3))</f>
        <v>2.9042108776758222</v>
      </c>
      <c r="D3">
        <v>2</v>
      </c>
      <c r="E3">
        <f t="shared" ref="E3:E22" si="2">$D3/$C3</f>
        <v>0.68865522657933065</v>
      </c>
      <c r="F3">
        <f t="shared" ref="F3:F22" si="3">(($D3^2)+($E3^2))^(1/2)</f>
        <v>2.1152413623733413</v>
      </c>
      <c r="G3">
        <f t="shared" ref="G3:G22" si="4">$I$2-($E3*2)</f>
        <v>-7.7310453158661252E-2</v>
      </c>
    </row>
    <row r="4" spans="1:9" x14ac:dyDescent="0.25">
      <c r="A4">
        <v>72</v>
      </c>
      <c r="B4">
        <f t="shared" si="0"/>
        <v>1.2566370614359172</v>
      </c>
      <c r="C4">
        <f t="shared" si="1"/>
        <v>3.0776835371752527</v>
      </c>
      <c r="D4">
        <v>2</v>
      </c>
      <c r="E4">
        <f t="shared" si="2"/>
        <v>0.64983939246581279</v>
      </c>
      <c r="F4">
        <f t="shared" si="3"/>
        <v>2.1029244484765344</v>
      </c>
      <c r="G4">
        <f t="shared" si="4"/>
        <v>3.2121506837445857E-4</v>
      </c>
    </row>
    <row r="5" spans="1:9" x14ac:dyDescent="0.25">
      <c r="A5">
        <v>73</v>
      </c>
      <c r="B5">
        <f t="shared" si="0"/>
        <v>1.2740903539558606</v>
      </c>
      <c r="C5">
        <f t="shared" si="1"/>
        <v>3.2708526184841404</v>
      </c>
      <c r="D5">
        <v>2</v>
      </c>
      <c r="E5">
        <f t="shared" si="2"/>
        <v>0.61146136291732078</v>
      </c>
      <c r="F5">
        <f t="shared" si="3"/>
        <v>2.0913835129742959</v>
      </c>
      <c r="G5">
        <f t="shared" si="4"/>
        <v>7.7077274165358478E-2</v>
      </c>
    </row>
    <row r="6" spans="1:9" x14ac:dyDescent="0.25">
      <c r="A6">
        <v>74</v>
      </c>
      <c r="B6">
        <f t="shared" si="0"/>
        <v>1.2915436464758039</v>
      </c>
      <c r="C6">
        <f t="shared" si="1"/>
        <v>3.4874144438409087</v>
      </c>
      <c r="D6">
        <v>2</v>
      </c>
      <c r="E6">
        <f t="shared" si="2"/>
        <v>0.57349077151761585</v>
      </c>
      <c r="F6">
        <f t="shared" si="3"/>
        <v>2.080598871723204</v>
      </c>
      <c r="G6">
        <f t="shared" si="4"/>
        <v>0.15301845696476835</v>
      </c>
    </row>
    <row r="7" spans="1:9" x14ac:dyDescent="0.25">
      <c r="A7">
        <v>75</v>
      </c>
      <c r="B7">
        <f t="shared" si="0"/>
        <v>1.3089969389957472</v>
      </c>
      <c r="C7">
        <f t="shared" si="1"/>
        <v>3.7320508075688776</v>
      </c>
      <c r="D7">
        <v>2</v>
      </c>
      <c r="E7">
        <f t="shared" si="2"/>
        <v>0.53589838486224539</v>
      </c>
      <c r="F7">
        <f t="shared" si="3"/>
        <v>2.0705523608201659</v>
      </c>
      <c r="G7">
        <f t="shared" si="4"/>
        <v>0.22820323027550926</v>
      </c>
    </row>
    <row r="8" spans="1:9" x14ac:dyDescent="0.25">
      <c r="A8">
        <v>76</v>
      </c>
      <c r="B8">
        <f t="shared" si="0"/>
        <v>1.3264502315156905</v>
      </c>
      <c r="C8">
        <f t="shared" si="1"/>
        <v>4.0107809335358455</v>
      </c>
      <c r="D8">
        <v>2</v>
      </c>
      <c r="E8">
        <f t="shared" si="2"/>
        <v>0.49865600568636126</v>
      </c>
      <c r="F8">
        <f t="shared" si="3"/>
        <v>2.061227258699796</v>
      </c>
      <c r="G8">
        <f t="shared" si="4"/>
        <v>0.30268798862727753</v>
      </c>
    </row>
    <row r="9" spans="1:9" x14ac:dyDescent="0.25">
      <c r="A9">
        <v>77</v>
      </c>
      <c r="B9">
        <f t="shared" si="0"/>
        <v>1.3439035240356338</v>
      </c>
      <c r="C9">
        <f t="shared" si="1"/>
        <v>4.3314758742841573</v>
      </c>
      <c r="D9">
        <v>2</v>
      </c>
      <c r="E9">
        <f t="shared" si="2"/>
        <v>0.46173638225112607</v>
      </c>
      <c r="F9">
        <f t="shared" si="3"/>
        <v>2.0526082155867833</v>
      </c>
      <c r="G9">
        <f t="shared" si="4"/>
        <v>0.37652723549774791</v>
      </c>
    </row>
    <row r="10" spans="1:9" x14ac:dyDescent="0.25">
      <c r="A10">
        <v>78</v>
      </c>
      <c r="B10">
        <f t="shared" si="0"/>
        <v>1.3613568165555769</v>
      </c>
      <c r="C10">
        <f t="shared" si="1"/>
        <v>4.7046301094784511</v>
      </c>
      <c r="D10">
        <v>2</v>
      </c>
      <c r="E10">
        <f t="shared" si="2"/>
        <v>0.42511312334004453</v>
      </c>
      <c r="F10">
        <f t="shared" si="3"/>
        <v>2.0446811897300585</v>
      </c>
      <c r="G10">
        <f t="shared" si="4"/>
        <v>0.44977375331991098</v>
      </c>
    </row>
    <row r="11" spans="1:9" x14ac:dyDescent="0.25">
      <c r="A11">
        <v>79</v>
      </c>
      <c r="B11">
        <f t="shared" si="0"/>
        <v>1.3788101090755203</v>
      </c>
      <c r="C11">
        <f t="shared" si="1"/>
        <v>5.1445540159703071</v>
      </c>
      <c r="D11">
        <v>2</v>
      </c>
      <c r="E11">
        <f t="shared" si="2"/>
        <v>0.38876061827543718</v>
      </c>
      <c r="F11">
        <f t="shared" si="3"/>
        <v>2.0374333899104284</v>
      </c>
      <c r="G11">
        <f t="shared" si="4"/>
        <v>0.52247876344912569</v>
      </c>
    </row>
    <row r="12" spans="1:9" x14ac:dyDescent="0.25">
      <c r="A12">
        <v>80</v>
      </c>
      <c r="B12">
        <f t="shared" si="0"/>
        <v>1.3962634015954636</v>
      </c>
      <c r="C12">
        <f t="shared" si="1"/>
        <v>5.6712818196177066</v>
      </c>
      <c r="D12">
        <v>2</v>
      </c>
      <c r="E12">
        <f t="shared" si="2"/>
        <v>0.35265396141693012</v>
      </c>
      <c r="F12">
        <f t="shared" si="3"/>
        <v>2.0308532237714898</v>
      </c>
      <c r="G12">
        <f t="shared" si="4"/>
        <v>0.59469207716613981</v>
      </c>
    </row>
    <row r="13" spans="1:9" x14ac:dyDescent="0.25">
      <c r="A13">
        <v>81</v>
      </c>
      <c r="B13">
        <f t="shared" si="0"/>
        <v>1.4137166941154069</v>
      </c>
      <c r="C13">
        <f t="shared" si="1"/>
        <v>6.3137515146750411</v>
      </c>
      <c r="D13">
        <v>2</v>
      </c>
      <c r="E13">
        <f t="shared" si="2"/>
        <v>0.31676888064907266</v>
      </c>
      <c r="F13">
        <f t="shared" si="3"/>
        <v>2.0249302515760057</v>
      </c>
      <c r="G13">
        <f t="shared" si="4"/>
        <v>0.66646223870185473</v>
      </c>
    </row>
    <row r="14" spans="1:9" x14ac:dyDescent="0.25">
      <c r="A14">
        <v>82</v>
      </c>
      <c r="B14">
        <f t="shared" si="0"/>
        <v>1.4311699866353502</v>
      </c>
      <c r="C14">
        <f t="shared" si="1"/>
        <v>7.115369722384207</v>
      </c>
      <c r="D14">
        <v>2</v>
      </c>
      <c r="E14">
        <f t="shared" si="2"/>
        <v>0.28108166940478296</v>
      </c>
      <c r="F14">
        <f t="shared" si="3"/>
        <v>2.0196551450372362</v>
      </c>
      <c r="G14">
        <f t="shared" si="4"/>
        <v>0.73783666119043412</v>
      </c>
    </row>
    <row r="15" spans="1:9" x14ac:dyDescent="0.25">
      <c r="A15">
        <v>83</v>
      </c>
      <c r="B15">
        <f t="shared" si="0"/>
        <v>1.4486232791552935</v>
      </c>
      <c r="C15">
        <f t="shared" si="1"/>
        <v>8.1443464279745932</v>
      </c>
      <c r="D15">
        <v>2</v>
      </c>
      <c r="E15">
        <f t="shared" si="2"/>
        <v>0.2455691218058092</v>
      </c>
      <c r="F15">
        <f t="shared" si="3"/>
        <v>2.0150196509176967</v>
      </c>
      <c r="G15">
        <f t="shared" si="4"/>
        <v>0.80886175638838165</v>
      </c>
    </row>
    <row r="16" spans="1:9" x14ac:dyDescent="0.25">
      <c r="A16">
        <v>84</v>
      </c>
      <c r="B16">
        <f t="shared" si="0"/>
        <v>1.4660765716752369</v>
      </c>
      <c r="C16">
        <f t="shared" si="1"/>
        <v>9.5143644542225871</v>
      </c>
      <c r="D16">
        <v>2</v>
      </c>
      <c r="E16">
        <f t="shared" si="2"/>
        <v>0.21020847053135289</v>
      </c>
      <c r="F16">
        <f t="shared" si="3"/>
        <v>2.0110165591270328</v>
      </c>
      <c r="G16">
        <f t="shared" si="4"/>
        <v>0.87958305893729427</v>
      </c>
    </row>
    <row r="17" spans="1:9" x14ac:dyDescent="0.25">
      <c r="A17">
        <v>85</v>
      </c>
      <c r="B17">
        <f t="shared" si="0"/>
        <v>1.4835298641951802</v>
      </c>
      <c r="C17">
        <f t="shared" si="1"/>
        <v>11.430052302761348</v>
      </c>
      <c r="D17">
        <v>2</v>
      </c>
      <c r="E17">
        <f t="shared" si="2"/>
        <v>0.17497732705184793</v>
      </c>
      <c r="F17">
        <f t="shared" si="3"/>
        <v>2.0076396750866947</v>
      </c>
      <c r="G17">
        <f t="shared" si="4"/>
        <v>0.95004534589630418</v>
      </c>
    </row>
    <row r="18" spans="1:9" x14ac:dyDescent="0.25">
      <c r="A18">
        <v>86</v>
      </c>
      <c r="B18">
        <f t="shared" si="0"/>
        <v>1.5009831567151235</v>
      </c>
      <c r="C18">
        <f t="shared" si="1"/>
        <v>14.300666256711942</v>
      </c>
      <c r="D18">
        <v>2</v>
      </c>
      <c r="E18">
        <f t="shared" si="2"/>
        <v>0.13985362388702069</v>
      </c>
      <c r="F18">
        <f t="shared" si="3"/>
        <v>2.004883796162344</v>
      </c>
      <c r="G18">
        <f t="shared" si="4"/>
        <v>1.0202927522259586</v>
      </c>
    </row>
    <row r="19" spans="1:9" x14ac:dyDescent="0.25">
      <c r="A19">
        <v>87</v>
      </c>
      <c r="B19">
        <f t="shared" si="0"/>
        <v>1.5184364492350666</v>
      </c>
      <c r="C19">
        <f t="shared" si="1"/>
        <v>19.081136687728161</v>
      </c>
      <c r="D19">
        <v>2</v>
      </c>
      <c r="E19">
        <f t="shared" si="2"/>
        <v>0.10481555856608268</v>
      </c>
      <c r="F19">
        <f t="shared" si="3"/>
        <v>2.0027446919958423</v>
      </c>
      <c r="G19">
        <f t="shared" si="4"/>
        <v>1.0903688828678346</v>
      </c>
    </row>
    <row r="20" spans="1:9" x14ac:dyDescent="0.25">
      <c r="A20">
        <v>88</v>
      </c>
      <c r="B20">
        <f t="shared" si="0"/>
        <v>1.5358897417550099</v>
      </c>
      <c r="C20">
        <f t="shared" si="1"/>
        <v>28.636253282915515</v>
      </c>
      <c r="D20">
        <v>2</v>
      </c>
      <c r="E20">
        <f t="shared" si="2"/>
        <v>6.9841538983495682E-2</v>
      </c>
      <c r="F20">
        <f t="shared" si="3"/>
        <v>2.0012190885976437</v>
      </c>
      <c r="G20">
        <f t="shared" si="4"/>
        <v>1.1603169220330087</v>
      </c>
    </row>
    <row r="21" spans="1:9" x14ac:dyDescent="0.25">
      <c r="A21">
        <v>89</v>
      </c>
      <c r="B21">
        <f t="shared" si="0"/>
        <v>1.5533430342749532</v>
      </c>
      <c r="C21">
        <f t="shared" si="1"/>
        <v>57.289961630759144</v>
      </c>
      <c r="D21">
        <v>2</v>
      </c>
      <c r="E21">
        <f t="shared" si="2"/>
        <v>3.4910129856435344E-2</v>
      </c>
      <c r="F21">
        <f t="shared" si="3"/>
        <v>2.0003046560878155</v>
      </c>
      <c r="G21">
        <f t="shared" si="4"/>
        <v>1.2301797402871293</v>
      </c>
    </row>
    <row r="22" spans="1:9" x14ac:dyDescent="0.25">
      <c r="A22">
        <v>90</v>
      </c>
      <c r="B22">
        <f t="shared" si="0"/>
        <v>1.5707963267948966</v>
      </c>
      <c r="C22">
        <f t="shared" si="1"/>
        <v>1.6324552277619072E+16</v>
      </c>
      <c r="D22">
        <v>2</v>
      </c>
      <c r="E22">
        <f t="shared" si="2"/>
        <v>1.22514845490862E-16</v>
      </c>
      <c r="F22">
        <f t="shared" si="3"/>
        <v>2</v>
      </c>
      <c r="G22">
        <f t="shared" si="4"/>
        <v>1.2999999999999998</v>
      </c>
    </row>
    <row r="26" spans="1:9" ht="26.6" x14ac:dyDescent="0.25">
      <c r="A26" s="53" t="s">
        <v>41</v>
      </c>
      <c r="B26" s="54" t="s">
        <v>37</v>
      </c>
      <c r="C26" s="54" t="s">
        <v>40</v>
      </c>
      <c r="D26" s="54" t="s">
        <v>38</v>
      </c>
      <c r="E26" s="54" t="s">
        <v>39</v>
      </c>
      <c r="F26" s="54" t="s">
        <v>42</v>
      </c>
      <c r="G26" s="54" t="s">
        <v>43</v>
      </c>
      <c r="I26" s="53" t="s">
        <v>44</v>
      </c>
    </row>
    <row r="27" spans="1:9" x14ac:dyDescent="0.25">
      <c r="A27">
        <v>70</v>
      </c>
      <c r="B27">
        <f>RADIANS($A27)</f>
        <v>1.2217304763960306</v>
      </c>
      <c r="C27">
        <f>TAN(RADIANS($A27))</f>
        <v>2.7474774194546216</v>
      </c>
      <c r="D27">
        <v>4</v>
      </c>
      <c r="E27">
        <f>$D27/$C27</f>
        <v>1.4558809370648098</v>
      </c>
      <c r="F27">
        <f>(($D27^2)+($E27^2))^(1/2)</f>
        <v>4.2567110899036482</v>
      </c>
      <c r="G27">
        <f>$I$27-($E27*2)</f>
        <v>-1.6117618741296196</v>
      </c>
      <c r="I27">
        <v>1.3</v>
      </c>
    </row>
    <row r="28" spans="1:9" x14ac:dyDescent="0.25">
      <c r="A28">
        <v>71</v>
      </c>
      <c r="B28">
        <f t="shared" ref="B28:B47" si="5">RADIANS($A28)</f>
        <v>1.2391837689159739</v>
      </c>
      <c r="C28">
        <f t="shared" ref="C28:C47" si="6">TAN(RADIANS($A28))</f>
        <v>2.9042108776758222</v>
      </c>
      <c r="D28">
        <v>4</v>
      </c>
      <c r="E28">
        <f t="shared" ref="E28:E47" si="7">$D28/$C28</f>
        <v>1.3773104531586613</v>
      </c>
      <c r="F28">
        <f t="shared" ref="F28:F47" si="8">(($D28^2)+($E28^2))^(1/2)</f>
        <v>4.2304827247466825</v>
      </c>
      <c r="G28">
        <f t="shared" ref="G28:G47" si="9">$I$27-($E28*2)</f>
        <v>-1.4546209063173225</v>
      </c>
    </row>
    <row r="29" spans="1:9" x14ac:dyDescent="0.25">
      <c r="A29">
        <v>72</v>
      </c>
      <c r="B29">
        <f t="shared" si="5"/>
        <v>1.2566370614359172</v>
      </c>
      <c r="C29">
        <f t="shared" si="6"/>
        <v>3.0776835371752527</v>
      </c>
      <c r="D29">
        <v>4</v>
      </c>
      <c r="E29">
        <f t="shared" si="7"/>
        <v>1.2996787849316256</v>
      </c>
      <c r="F29">
        <f t="shared" si="8"/>
        <v>4.2058488969530687</v>
      </c>
      <c r="G29">
        <f t="shared" si="9"/>
        <v>-1.2993575698632511</v>
      </c>
    </row>
    <row r="30" spans="1:9" x14ac:dyDescent="0.25">
      <c r="A30">
        <v>73</v>
      </c>
      <c r="B30">
        <f t="shared" si="5"/>
        <v>1.2740903539558606</v>
      </c>
      <c r="C30">
        <f t="shared" si="6"/>
        <v>3.2708526184841404</v>
      </c>
      <c r="D30">
        <v>4</v>
      </c>
      <c r="E30">
        <f t="shared" si="7"/>
        <v>1.2229227258346416</v>
      </c>
      <c r="F30">
        <f t="shared" si="8"/>
        <v>4.1827670259485918</v>
      </c>
      <c r="G30">
        <f t="shared" si="9"/>
        <v>-1.1458454516692831</v>
      </c>
    </row>
    <row r="31" spans="1:9" x14ac:dyDescent="0.25">
      <c r="A31">
        <v>74</v>
      </c>
      <c r="B31">
        <f t="shared" si="5"/>
        <v>1.2915436464758039</v>
      </c>
      <c r="C31">
        <f t="shared" si="6"/>
        <v>3.4874144438409087</v>
      </c>
      <c r="D31">
        <v>4</v>
      </c>
      <c r="E31">
        <f t="shared" si="7"/>
        <v>1.1469815430352317</v>
      </c>
      <c r="F31">
        <f t="shared" si="8"/>
        <v>4.161197743446408</v>
      </c>
      <c r="G31">
        <f t="shared" si="9"/>
        <v>-0.99396308607046335</v>
      </c>
    </row>
    <row r="32" spans="1:9" x14ac:dyDescent="0.25">
      <c r="A32">
        <v>75</v>
      </c>
      <c r="B32">
        <f t="shared" si="5"/>
        <v>1.3089969389957472</v>
      </c>
      <c r="C32">
        <f t="shared" si="6"/>
        <v>3.7320508075688776</v>
      </c>
      <c r="D32">
        <v>4</v>
      </c>
      <c r="E32">
        <f t="shared" si="7"/>
        <v>1.0717967697244908</v>
      </c>
      <c r="F32">
        <f t="shared" si="8"/>
        <v>4.1411047216403318</v>
      </c>
      <c r="G32">
        <f t="shared" si="9"/>
        <v>-0.84359353944898152</v>
      </c>
    </row>
    <row r="33" spans="1:7" x14ac:dyDescent="0.25">
      <c r="A33">
        <v>76</v>
      </c>
      <c r="B33">
        <f t="shared" si="5"/>
        <v>1.3264502315156905</v>
      </c>
      <c r="C33">
        <f t="shared" si="6"/>
        <v>4.0107809335358455</v>
      </c>
      <c r="D33">
        <v>4</v>
      </c>
      <c r="E33">
        <f t="shared" si="7"/>
        <v>0.99731201137272252</v>
      </c>
      <c r="F33">
        <f t="shared" si="8"/>
        <v>4.1224545173995919</v>
      </c>
      <c r="G33">
        <f t="shared" si="9"/>
        <v>-0.69462402274544499</v>
      </c>
    </row>
    <row r="34" spans="1:7" x14ac:dyDescent="0.25">
      <c r="A34">
        <v>77</v>
      </c>
      <c r="B34">
        <f t="shared" si="5"/>
        <v>1.3439035240356338</v>
      </c>
      <c r="C34">
        <f t="shared" si="6"/>
        <v>4.3314758742841573</v>
      </c>
      <c r="D34">
        <v>4</v>
      </c>
      <c r="E34">
        <f t="shared" si="7"/>
        <v>0.92347276450225213</v>
      </c>
      <c r="F34">
        <f t="shared" si="8"/>
        <v>4.1052164311735666</v>
      </c>
      <c r="G34">
        <f t="shared" si="9"/>
        <v>-0.54694552900450422</v>
      </c>
    </row>
    <row r="35" spans="1:7" x14ac:dyDescent="0.25">
      <c r="A35">
        <v>78</v>
      </c>
      <c r="B35">
        <f t="shared" si="5"/>
        <v>1.3613568165555769</v>
      </c>
      <c r="C35">
        <f t="shared" si="6"/>
        <v>4.7046301094784511</v>
      </c>
      <c r="D35">
        <v>4</v>
      </c>
      <c r="E35">
        <f t="shared" si="7"/>
        <v>0.85022624668008906</v>
      </c>
      <c r="F35">
        <f t="shared" si="8"/>
        <v>4.089362379460117</v>
      </c>
      <c r="G35">
        <f t="shared" si="9"/>
        <v>-0.40045249336017807</v>
      </c>
    </row>
    <row r="36" spans="1:7" x14ac:dyDescent="0.25">
      <c r="A36">
        <v>79</v>
      </c>
      <c r="B36">
        <f t="shared" si="5"/>
        <v>1.3788101090755203</v>
      </c>
      <c r="C36">
        <f t="shared" si="6"/>
        <v>5.1445540159703071</v>
      </c>
      <c r="D36">
        <v>4</v>
      </c>
      <c r="E36">
        <f t="shared" si="7"/>
        <v>0.77752123655087435</v>
      </c>
      <c r="F36">
        <f t="shared" si="8"/>
        <v>4.0748667798208569</v>
      </c>
      <c r="G36">
        <f t="shared" si="9"/>
        <v>-0.25504247310174866</v>
      </c>
    </row>
    <row r="37" spans="1:7" x14ac:dyDescent="0.25">
      <c r="A37">
        <v>80</v>
      </c>
      <c r="B37">
        <f t="shared" si="5"/>
        <v>1.3962634015954636</v>
      </c>
      <c r="C37">
        <f t="shared" si="6"/>
        <v>5.6712818196177066</v>
      </c>
      <c r="D37">
        <v>4</v>
      </c>
      <c r="E37">
        <f t="shared" si="7"/>
        <v>0.70530792283386023</v>
      </c>
      <c r="F37">
        <f t="shared" si="8"/>
        <v>4.0617064475429796</v>
      </c>
      <c r="G37">
        <f t="shared" si="9"/>
        <v>-0.11061584566772042</v>
      </c>
    </row>
    <row r="38" spans="1:7" x14ac:dyDescent="0.25">
      <c r="A38">
        <v>81</v>
      </c>
      <c r="B38">
        <f t="shared" si="5"/>
        <v>1.4137166941154069</v>
      </c>
      <c r="C38">
        <f t="shared" si="6"/>
        <v>6.3137515146750411</v>
      </c>
      <c r="D38">
        <v>4</v>
      </c>
      <c r="E38">
        <f t="shared" si="7"/>
        <v>0.63353776129814532</v>
      </c>
      <c r="F38">
        <f t="shared" si="8"/>
        <v>4.0498605031520114</v>
      </c>
      <c r="G38">
        <f t="shared" si="9"/>
        <v>3.2924477403709407E-2</v>
      </c>
    </row>
    <row r="39" spans="1:7" x14ac:dyDescent="0.25">
      <c r="A39">
        <v>82</v>
      </c>
      <c r="B39">
        <f t="shared" si="5"/>
        <v>1.4311699866353502</v>
      </c>
      <c r="C39">
        <f t="shared" si="6"/>
        <v>7.115369722384207</v>
      </c>
      <c r="D39">
        <v>4</v>
      </c>
      <c r="E39">
        <f t="shared" si="7"/>
        <v>0.56216333880956593</v>
      </c>
      <c r="F39">
        <f t="shared" si="8"/>
        <v>4.0393102900744724</v>
      </c>
      <c r="G39">
        <f t="shared" si="9"/>
        <v>0.17567332238086819</v>
      </c>
    </row>
    <row r="40" spans="1:7" x14ac:dyDescent="0.25">
      <c r="A40">
        <v>83</v>
      </c>
      <c r="B40">
        <f t="shared" si="5"/>
        <v>1.4486232791552935</v>
      </c>
      <c r="C40">
        <f t="shared" si="6"/>
        <v>8.1443464279745932</v>
      </c>
      <c r="D40">
        <v>4</v>
      </c>
      <c r="E40">
        <f t="shared" si="7"/>
        <v>0.4911382436116184</v>
      </c>
      <c r="F40">
        <f t="shared" si="8"/>
        <v>4.0300393018353935</v>
      </c>
      <c r="G40">
        <f t="shared" si="9"/>
        <v>0.31772351277676325</v>
      </c>
    </row>
    <row r="41" spans="1:7" x14ac:dyDescent="0.25">
      <c r="A41">
        <v>84</v>
      </c>
      <c r="B41">
        <f t="shared" si="5"/>
        <v>1.4660765716752369</v>
      </c>
      <c r="C41">
        <f t="shared" si="6"/>
        <v>9.5143644542225871</v>
      </c>
      <c r="D41">
        <v>4</v>
      </c>
      <c r="E41">
        <f t="shared" si="7"/>
        <v>0.42041694106270577</v>
      </c>
      <c r="F41">
        <f t="shared" si="8"/>
        <v>4.0220331182540656</v>
      </c>
      <c r="G41">
        <f t="shared" si="9"/>
        <v>0.4591661178745885</v>
      </c>
    </row>
    <row r="42" spans="1:7" x14ac:dyDescent="0.25">
      <c r="A42">
        <v>85</v>
      </c>
      <c r="B42">
        <f t="shared" si="5"/>
        <v>1.4835298641951802</v>
      </c>
      <c r="C42">
        <f t="shared" si="6"/>
        <v>11.430052302761348</v>
      </c>
      <c r="D42">
        <v>4</v>
      </c>
      <c r="E42">
        <f t="shared" si="7"/>
        <v>0.34995465410369586</v>
      </c>
      <c r="F42">
        <f t="shared" si="8"/>
        <v>4.0152793501733894</v>
      </c>
      <c r="G42">
        <f t="shared" si="9"/>
        <v>0.60009069179260832</v>
      </c>
    </row>
    <row r="43" spans="1:7" x14ac:dyDescent="0.25">
      <c r="A43">
        <v>86</v>
      </c>
      <c r="B43">
        <f t="shared" si="5"/>
        <v>1.5009831567151235</v>
      </c>
      <c r="C43">
        <f t="shared" si="6"/>
        <v>14.300666256711942</v>
      </c>
      <c r="D43">
        <v>4</v>
      </c>
      <c r="E43">
        <f t="shared" si="7"/>
        <v>0.27970724777404138</v>
      </c>
      <c r="F43">
        <f t="shared" si="8"/>
        <v>4.009767592324688</v>
      </c>
      <c r="G43">
        <f t="shared" si="9"/>
        <v>0.74058550445191729</v>
      </c>
    </row>
    <row r="44" spans="1:7" x14ac:dyDescent="0.25">
      <c r="A44">
        <v>87</v>
      </c>
      <c r="B44">
        <f t="shared" si="5"/>
        <v>1.5184364492350666</v>
      </c>
      <c r="C44">
        <f t="shared" si="6"/>
        <v>19.081136687728161</v>
      </c>
      <c r="D44">
        <v>4</v>
      </c>
      <c r="E44">
        <f t="shared" si="7"/>
        <v>0.20963111713216537</v>
      </c>
      <c r="F44">
        <f t="shared" si="8"/>
        <v>4.0054893839916845</v>
      </c>
      <c r="G44">
        <f t="shared" si="9"/>
        <v>0.88073776573566931</v>
      </c>
    </row>
    <row r="45" spans="1:7" x14ac:dyDescent="0.25">
      <c r="A45">
        <v>88</v>
      </c>
      <c r="B45">
        <f t="shared" si="5"/>
        <v>1.5358897417550099</v>
      </c>
      <c r="C45">
        <f t="shared" si="6"/>
        <v>28.636253282915515</v>
      </c>
      <c r="D45">
        <v>4</v>
      </c>
      <c r="E45">
        <f t="shared" si="7"/>
        <v>0.13968307796699136</v>
      </c>
      <c r="F45">
        <f t="shared" si="8"/>
        <v>4.0024381771952875</v>
      </c>
      <c r="G45">
        <f t="shared" si="9"/>
        <v>1.0206338440660172</v>
      </c>
    </row>
    <row r="46" spans="1:7" x14ac:dyDescent="0.25">
      <c r="A46">
        <v>89</v>
      </c>
      <c r="B46">
        <f t="shared" si="5"/>
        <v>1.5533430342749532</v>
      </c>
      <c r="C46">
        <f t="shared" si="6"/>
        <v>57.289961630759144</v>
      </c>
      <c r="D46">
        <v>4</v>
      </c>
      <c r="E46">
        <f t="shared" si="7"/>
        <v>6.9820259712870689E-2</v>
      </c>
      <c r="F46">
        <f t="shared" si="8"/>
        <v>4.000609312175631</v>
      </c>
      <c r="G46">
        <f t="shared" si="9"/>
        <v>1.1603594805742588</v>
      </c>
    </row>
    <row r="47" spans="1:7" x14ac:dyDescent="0.25">
      <c r="A47">
        <v>90</v>
      </c>
      <c r="B47">
        <f t="shared" si="5"/>
        <v>1.5707963267948966</v>
      </c>
      <c r="C47">
        <f t="shared" si="6"/>
        <v>1.6324552277619072E+16</v>
      </c>
      <c r="D47">
        <v>4</v>
      </c>
      <c r="E47">
        <f t="shared" si="7"/>
        <v>2.45029690981724E-16</v>
      </c>
      <c r="F47">
        <f t="shared" si="8"/>
        <v>4</v>
      </c>
      <c r="G47">
        <f t="shared" si="9"/>
        <v>1.2999999999999996</v>
      </c>
    </row>
    <row r="51" spans="1:9" ht="26.6" x14ac:dyDescent="0.25">
      <c r="A51" s="53" t="s">
        <v>41</v>
      </c>
      <c r="B51" s="54" t="s">
        <v>37</v>
      </c>
      <c r="C51" s="54" t="s">
        <v>40</v>
      </c>
      <c r="D51" s="54" t="s">
        <v>38</v>
      </c>
      <c r="E51" s="54" t="s">
        <v>39</v>
      </c>
      <c r="F51" s="54" t="s">
        <v>42</v>
      </c>
      <c r="G51" s="54" t="s">
        <v>43</v>
      </c>
      <c r="I51" s="53" t="s">
        <v>44</v>
      </c>
    </row>
    <row r="52" spans="1:9" x14ac:dyDescent="0.25">
      <c r="A52">
        <v>70</v>
      </c>
      <c r="B52">
        <f>RADIANS($A52)</f>
        <v>1.2217304763960306</v>
      </c>
      <c r="C52">
        <f>TAN(RADIANS($A52))</f>
        <v>2.7474774194546216</v>
      </c>
      <c r="D52">
        <v>6</v>
      </c>
      <c r="E52">
        <f>$D52/$C52</f>
        <v>2.1838214055972145</v>
      </c>
      <c r="F52">
        <f>(($D52^2)+($E52^2))^(1/2)</f>
        <v>6.3850666348554732</v>
      </c>
      <c r="G52">
        <f>$I$52-($E52*2)</f>
        <v>-3.0676428111944292</v>
      </c>
      <c r="I52">
        <v>1.3</v>
      </c>
    </row>
    <row r="53" spans="1:9" x14ac:dyDescent="0.25">
      <c r="A53">
        <v>71</v>
      </c>
      <c r="B53">
        <f t="shared" ref="B53:B72" si="10">RADIANS($A53)</f>
        <v>1.2391837689159739</v>
      </c>
      <c r="C53">
        <f t="shared" ref="C53:C72" si="11">TAN(RADIANS($A53))</f>
        <v>2.9042108776758222</v>
      </c>
      <c r="D53">
        <v>6</v>
      </c>
      <c r="E53">
        <f t="shared" ref="E53:E72" si="12">$D53/$C53</f>
        <v>2.0659656797379919</v>
      </c>
      <c r="F53">
        <f t="shared" ref="F53:F72" si="13">(($D53^2)+($E53^2))^(1/2)</f>
        <v>6.3457240871200238</v>
      </c>
      <c r="G53">
        <f t="shared" ref="G53:G72" si="14">$I$52-($E53*2)</f>
        <v>-2.8319313594759841</v>
      </c>
    </row>
    <row r="54" spans="1:9" x14ac:dyDescent="0.25">
      <c r="A54">
        <v>72</v>
      </c>
      <c r="B54">
        <f t="shared" si="10"/>
        <v>1.2566370614359172</v>
      </c>
      <c r="C54">
        <f t="shared" si="11"/>
        <v>3.0776835371752527</v>
      </c>
      <c r="D54">
        <v>6</v>
      </c>
      <c r="E54">
        <f t="shared" si="12"/>
        <v>1.9495181773974384</v>
      </c>
      <c r="F54">
        <f t="shared" si="13"/>
        <v>6.3087733454296036</v>
      </c>
      <c r="G54">
        <f t="shared" si="14"/>
        <v>-2.5990363547948769</v>
      </c>
    </row>
    <row r="55" spans="1:9" x14ac:dyDescent="0.25">
      <c r="A55">
        <v>73</v>
      </c>
      <c r="B55">
        <f t="shared" si="10"/>
        <v>1.2740903539558606</v>
      </c>
      <c r="C55">
        <f t="shared" si="11"/>
        <v>3.2708526184841404</v>
      </c>
      <c r="D55">
        <v>6</v>
      </c>
      <c r="E55">
        <f t="shared" si="12"/>
        <v>1.8343840887519625</v>
      </c>
      <c r="F55">
        <f t="shared" si="13"/>
        <v>6.2741505389228882</v>
      </c>
      <c r="G55">
        <f t="shared" si="14"/>
        <v>-2.3687681775039247</v>
      </c>
    </row>
    <row r="56" spans="1:9" x14ac:dyDescent="0.25">
      <c r="A56">
        <v>74</v>
      </c>
      <c r="B56">
        <f t="shared" si="10"/>
        <v>1.2915436464758039</v>
      </c>
      <c r="C56">
        <f t="shared" si="11"/>
        <v>3.4874144438409087</v>
      </c>
      <c r="D56">
        <v>6</v>
      </c>
      <c r="E56">
        <f t="shared" si="12"/>
        <v>1.7204723145528475</v>
      </c>
      <c r="F56">
        <f t="shared" si="13"/>
        <v>6.241796615169612</v>
      </c>
      <c r="G56">
        <f t="shared" si="14"/>
        <v>-2.1409446291056948</v>
      </c>
    </row>
    <row r="57" spans="1:9" x14ac:dyDescent="0.25">
      <c r="A57">
        <v>75</v>
      </c>
      <c r="B57">
        <f t="shared" si="10"/>
        <v>1.3089969389957472</v>
      </c>
      <c r="C57">
        <f t="shared" si="11"/>
        <v>3.7320508075688776</v>
      </c>
      <c r="D57">
        <v>6</v>
      </c>
      <c r="E57">
        <f t="shared" si="12"/>
        <v>1.6076951545867362</v>
      </c>
      <c r="F57">
        <f t="shared" si="13"/>
        <v>6.2116570824604986</v>
      </c>
      <c r="G57">
        <f t="shared" si="14"/>
        <v>-1.9153903091734723</v>
      </c>
    </row>
    <row r="58" spans="1:9" x14ac:dyDescent="0.25">
      <c r="A58">
        <v>76</v>
      </c>
      <c r="B58">
        <f t="shared" si="10"/>
        <v>1.3264502315156905</v>
      </c>
      <c r="C58">
        <f t="shared" si="11"/>
        <v>4.0107809335358455</v>
      </c>
      <c r="D58">
        <v>6</v>
      </c>
      <c r="E58">
        <f t="shared" si="12"/>
        <v>1.4959680170590839</v>
      </c>
      <c r="F58">
        <f t="shared" si="13"/>
        <v>6.1836817760993883</v>
      </c>
      <c r="G58">
        <f t="shared" si="14"/>
        <v>-1.6919360341181677</v>
      </c>
    </row>
    <row r="59" spans="1:9" x14ac:dyDescent="0.25">
      <c r="A59">
        <v>77</v>
      </c>
      <c r="B59">
        <f t="shared" si="10"/>
        <v>1.3439035240356338</v>
      </c>
      <c r="C59">
        <f t="shared" si="11"/>
        <v>4.3314758742841573</v>
      </c>
      <c r="D59">
        <v>6</v>
      </c>
      <c r="E59">
        <f t="shared" si="12"/>
        <v>1.385209146753378</v>
      </c>
      <c r="F59">
        <f t="shared" si="13"/>
        <v>6.157824646760349</v>
      </c>
      <c r="G59">
        <f t="shared" si="14"/>
        <v>-1.470418293506756</v>
      </c>
    </row>
    <row r="60" spans="1:9" x14ac:dyDescent="0.25">
      <c r="A60">
        <v>78</v>
      </c>
      <c r="B60">
        <f t="shared" si="10"/>
        <v>1.3613568165555769</v>
      </c>
      <c r="C60">
        <f t="shared" si="11"/>
        <v>4.7046301094784511</v>
      </c>
      <c r="D60">
        <v>6</v>
      </c>
      <c r="E60">
        <f t="shared" si="12"/>
        <v>1.2753393700201336</v>
      </c>
      <c r="F60">
        <f t="shared" si="13"/>
        <v>6.134043569190176</v>
      </c>
      <c r="G60">
        <f t="shared" si="14"/>
        <v>-1.2506787400402672</v>
      </c>
    </row>
    <row r="61" spans="1:9" x14ac:dyDescent="0.25">
      <c r="A61">
        <v>79</v>
      </c>
      <c r="B61">
        <f t="shared" si="10"/>
        <v>1.3788101090755203</v>
      </c>
      <c r="C61">
        <f t="shared" si="11"/>
        <v>5.1445540159703071</v>
      </c>
      <c r="D61">
        <v>6</v>
      </c>
      <c r="E61">
        <f t="shared" si="12"/>
        <v>1.1662818548263116</v>
      </c>
      <c r="F61">
        <f t="shared" si="13"/>
        <v>6.1123001697312853</v>
      </c>
      <c r="G61">
        <f t="shared" si="14"/>
        <v>-1.0325637096526232</v>
      </c>
    </row>
    <row r="62" spans="1:9" x14ac:dyDescent="0.25">
      <c r="A62">
        <v>80</v>
      </c>
      <c r="B62">
        <f t="shared" si="10"/>
        <v>1.3962634015954636</v>
      </c>
      <c r="C62">
        <f t="shared" si="11"/>
        <v>5.6712818196177066</v>
      </c>
      <c r="D62">
        <v>6</v>
      </c>
      <c r="E62">
        <f t="shared" si="12"/>
        <v>1.0579618842507903</v>
      </c>
      <c r="F62">
        <f t="shared" si="13"/>
        <v>6.0925596713144703</v>
      </c>
      <c r="G62">
        <f t="shared" si="14"/>
        <v>-0.81592376850158055</v>
      </c>
    </row>
    <row r="63" spans="1:9" x14ac:dyDescent="0.25">
      <c r="A63">
        <v>81</v>
      </c>
      <c r="B63">
        <f t="shared" si="10"/>
        <v>1.4137166941154069</v>
      </c>
      <c r="C63">
        <f t="shared" si="11"/>
        <v>6.3137515146750411</v>
      </c>
      <c r="D63">
        <v>6</v>
      </c>
      <c r="E63">
        <f t="shared" si="12"/>
        <v>0.95030664194721803</v>
      </c>
      <c r="F63">
        <f t="shared" si="13"/>
        <v>6.074790754728018</v>
      </c>
      <c r="G63">
        <f t="shared" si="14"/>
        <v>-0.60061328389443602</v>
      </c>
    </row>
    <row r="64" spans="1:9" x14ac:dyDescent="0.25">
      <c r="A64">
        <v>82</v>
      </c>
      <c r="B64">
        <f t="shared" si="10"/>
        <v>1.4311699866353502</v>
      </c>
      <c r="C64">
        <f t="shared" si="11"/>
        <v>7.115369722384207</v>
      </c>
      <c r="D64">
        <v>6</v>
      </c>
      <c r="E64">
        <f t="shared" si="12"/>
        <v>0.84324500821434889</v>
      </c>
      <c r="F64">
        <f t="shared" si="13"/>
        <v>6.0589654351117082</v>
      </c>
      <c r="G64">
        <f t="shared" si="14"/>
        <v>-0.38649001642869774</v>
      </c>
    </row>
    <row r="65" spans="1:7" x14ac:dyDescent="0.25">
      <c r="A65">
        <v>83</v>
      </c>
      <c r="B65">
        <f t="shared" si="10"/>
        <v>1.4486232791552935</v>
      </c>
      <c r="C65">
        <f t="shared" si="11"/>
        <v>8.1443464279745932</v>
      </c>
      <c r="D65">
        <v>6</v>
      </c>
      <c r="E65">
        <f t="shared" si="12"/>
        <v>0.73670736541742765</v>
      </c>
      <c r="F65">
        <f t="shared" si="13"/>
        <v>6.0450589527530898</v>
      </c>
      <c r="G65">
        <f t="shared" si="14"/>
        <v>-0.17341473083485526</v>
      </c>
    </row>
    <row r="66" spans="1:7" x14ac:dyDescent="0.25">
      <c r="A66">
        <v>84</v>
      </c>
      <c r="B66">
        <f t="shared" si="10"/>
        <v>1.4660765716752369</v>
      </c>
      <c r="C66">
        <f t="shared" si="11"/>
        <v>9.5143644542225871</v>
      </c>
      <c r="D66">
        <v>6</v>
      </c>
      <c r="E66">
        <f t="shared" si="12"/>
        <v>0.6306254115940586</v>
      </c>
      <c r="F66">
        <f t="shared" si="13"/>
        <v>6.0330496773810989</v>
      </c>
      <c r="G66">
        <f t="shared" si="14"/>
        <v>3.8749176811882835E-2</v>
      </c>
    </row>
    <row r="67" spans="1:7" x14ac:dyDescent="0.25">
      <c r="A67">
        <v>85</v>
      </c>
      <c r="B67">
        <f t="shared" si="10"/>
        <v>1.4835298641951802</v>
      </c>
      <c r="C67">
        <f t="shared" si="11"/>
        <v>11.430052302761348</v>
      </c>
      <c r="D67">
        <v>6</v>
      </c>
      <c r="E67">
        <f t="shared" si="12"/>
        <v>0.52493198115554374</v>
      </c>
      <c r="F67">
        <f t="shared" si="13"/>
        <v>6.0229190252600846</v>
      </c>
      <c r="G67">
        <f t="shared" si="14"/>
        <v>0.25013603768891257</v>
      </c>
    </row>
    <row r="68" spans="1:7" x14ac:dyDescent="0.25">
      <c r="A68">
        <v>86</v>
      </c>
      <c r="B68">
        <f t="shared" si="10"/>
        <v>1.5009831567151235</v>
      </c>
      <c r="C68">
        <f t="shared" si="11"/>
        <v>14.300666256711942</v>
      </c>
      <c r="D68">
        <v>6</v>
      </c>
      <c r="E68">
        <f t="shared" si="12"/>
        <v>0.41956087166106204</v>
      </c>
      <c r="F68">
        <f t="shared" si="13"/>
        <v>6.0146513884870325</v>
      </c>
      <c r="G68">
        <f t="shared" si="14"/>
        <v>0.46087825667787596</v>
      </c>
    </row>
    <row r="69" spans="1:7" x14ac:dyDescent="0.25">
      <c r="A69">
        <v>87</v>
      </c>
      <c r="B69">
        <f t="shared" si="10"/>
        <v>1.5184364492350666</v>
      </c>
      <c r="C69">
        <f t="shared" si="11"/>
        <v>19.081136687728161</v>
      </c>
      <c r="D69">
        <v>6</v>
      </c>
      <c r="E69">
        <f t="shared" si="12"/>
        <v>0.31444667569824802</v>
      </c>
      <c r="F69">
        <f t="shared" si="13"/>
        <v>6.0082340759875255</v>
      </c>
      <c r="G69">
        <f t="shared" si="14"/>
        <v>0.671106648603504</v>
      </c>
    </row>
    <row r="70" spans="1:7" x14ac:dyDescent="0.25">
      <c r="A70">
        <v>88</v>
      </c>
      <c r="B70">
        <f t="shared" si="10"/>
        <v>1.5358897417550099</v>
      </c>
      <c r="C70">
        <f t="shared" si="11"/>
        <v>28.636253282915515</v>
      </c>
      <c r="D70">
        <v>6</v>
      </c>
      <c r="E70">
        <f t="shared" si="12"/>
        <v>0.20952461695048702</v>
      </c>
      <c r="F70">
        <f t="shared" si="13"/>
        <v>6.0036572657929304</v>
      </c>
      <c r="G70">
        <f t="shared" si="14"/>
        <v>0.88095076609902601</v>
      </c>
    </row>
    <row r="71" spans="1:7" x14ac:dyDescent="0.25">
      <c r="A71">
        <v>89</v>
      </c>
      <c r="B71">
        <f t="shared" si="10"/>
        <v>1.5533430342749532</v>
      </c>
      <c r="C71">
        <f t="shared" si="11"/>
        <v>57.289961630759144</v>
      </c>
      <c r="D71">
        <v>6</v>
      </c>
      <c r="E71">
        <f t="shared" si="12"/>
        <v>0.10473038956930603</v>
      </c>
      <c r="F71">
        <f t="shared" si="13"/>
        <v>6.000913968263446</v>
      </c>
      <c r="G71">
        <f t="shared" si="14"/>
        <v>1.090539220861388</v>
      </c>
    </row>
    <row r="72" spans="1:7" x14ac:dyDescent="0.25">
      <c r="A72">
        <v>90</v>
      </c>
      <c r="B72">
        <f t="shared" si="10"/>
        <v>1.5707963267948966</v>
      </c>
      <c r="C72">
        <f t="shared" si="11"/>
        <v>1.6324552277619072E+16</v>
      </c>
      <c r="D72">
        <v>6</v>
      </c>
      <c r="E72">
        <f t="shared" si="12"/>
        <v>3.67544536472586E-16</v>
      </c>
      <c r="F72">
        <f t="shared" si="13"/>
        <v>6</v>
      </c>
      <c r="G72">
        <f t="shared" si="14"/>
        <v>1.2999999999999994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ID</vt:lpstr>
      <vt:lpstr>Profile</vt:lpstr>
      <vt:lpstr>List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上野 康正(熊本 プロ技)</dc:creator>
  <cp:lastModifiedBy>上野 康正(熊本 プロ技)</cp:lastModifiedBy>
  <cp:lastPrinted>2018-11-26T09:46:12Z</cp:lastPrinted>
  <dcterms:created xsi:type="dcterms:W3CDTF">2018-11-26T09:41:22Z</dcterms:created>
  <dcterms:modified xsi:type="dcterms:W3CDTF">2023-11-20T02:27:12Z</dcterms:modified>
</cp:coreProperties>
</file>
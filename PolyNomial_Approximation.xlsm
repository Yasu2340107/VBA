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Q26871\Desktop\"/>
    </mc:Choice>
  </mc:AlternateContent>
  <xr:revisionPtr revIDLastSave="0" documentId="13_ncr:1_{C79BB5B2-03D8-42C6-BF03-7F570CF7F2E1}" xr6:coauthVersionLast="47" xr6:coauthVersionMax="47" xr10:uidLastSave="{00000000-0000-0000-0000-000000000000}"/>
  <bookViews>
    <workbookView xWindow="-108" yWindow="-108" windowWidth="23256" windowHeight="12456" xr2:uid="{743CBCD9-A037-429A-A743-C84FD6CF3A53}"/>
  </bookViews>
  <sheets>
    <sheet name="Sheet1" sheetId="1" r:id="rId1"/>
  </sheets>
  <externalReferences>
    <externalReference r:id="rId2"/>
  </externalReference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" l="1" a="1"/>
  <c r="AA3" i="1" s="1"/>
  <c r="AB3" i="1" a="1"/>
  <c r="AB3" i="1" s="1"/>
  <c r="AC3" i="1" a="1"/>
  <c r="AC3" i="1" s="1"/>
  <c r="AD3" i="1" a="1"/>
  <c r="AD3" i="1"/>
  <c r="AE3" i="1" a="1"/>
  <c r="AE3" i="1" s="1"/>
  <c r="AF3" i="1" a="1"/>
  <c r="AF3" i="1" s="1"/>
  <c r="AG3" i="1" a="1"/>
  <c r="AG3" i="1" s="1"/>
  <c r="AH3" i="1" a="1"/>
  <c r="AH3" i="1" s="1"/>
  <c r="AI3" i="1" a="1"/>
  <c r="AI3" i="1" s="1"/>
  <c r="AJ3" i="1" a="1"/>
  <c r="AJ3" i="1" s="1"/>
  <c r="AK3" i="1" a="1"/>
  <c r="AK3" i="1" s="1"/>
  <c r="AL3" i="1" a="1"/>
  <c r="AL3" i="1" s="1"/>
  <c r="AM3" i="1" a="1"/>
  <c r="AM3" i="1" s="1"/>
  <c r="AN3" i="1" a="1"/>
  <c r="AN3" i="1" s="1"/>
  <c r="AO3" i="1" a="1"/>
  <c r="AO3" i="1" s="1"/>
  <c r="AP3" i="1" a="1"/>
  <c r="AP3" i="1" s="1"/>
  <c r="Z3" i="1" a="1"/>
  <c r="Z3" i="1" s="1"/>
  <c r="Z4" i="1" a="1"/>
  <c r="Z4" i="1" s="1"/>
  <c r="U3" i="1" a="1"/>
  <c r="U9" i="1" a="1"/>
  <c r="U15" i="1" a="1"/>
  <c r="U10" i="1" a="1"/>
  <c r="U17" i="1" a="1"/>
  <c r="U4" i="1" a="1"/>
  <c r="U5" i="1" a="1"/>
  <c r="U12" i="1" a="1"/>
  <c r="U18" i="1" a="1"/>
  <c r="U13" i="1" a="1"/>
  <c r="U11" i="1" a="1"/>
  <c r="U6" i="1" a="1"/>
  <c r="U16" i="1" a="1"/>
  <c r="U7" i="1" a="1"/>
  <c r="U8" i="1" a="1"/>
  <c r="U14" i="1" a="1"/>
  <c r="U2" i="1" a="1"/>
  <c r="U14" i="1" l="1"/>
  <c r="U8" i="1"/>
  <c r="U7" i="1"/>
  <c r="U16" i="1"/>
  <c r="U6" i="1"/>
  <c r="U11" i="1"/>
  <c r="U13" i="1"/>
  <c r="U18" i="1"/>
  <c r="U12" i="1"/>
  <c r="U5" i="1"/>
  <c r="U4" i="1"/>
  <c r="U17" i="1"/>
  <c r="U10" i="1"/>
  <c r="U15" i="1"/>
  <c r="U9" i="1"/>
  <c r="U3" i="1"/>
  <c r="U2" i="1"/>
  <c r="B4" i="1" l="1"/>
  <c r="C4" i="1" s="1"/>
  <c r="B16" i="1"/>
  <c r="C16" i="1" s="1"/>
  <c r="B28" i="1"/>
  <c r="C28" i="1" s="1"/>
  <c r="B40" i="1"/>
  <c r="C40" i="1" s="1"/>
  <c r="B52" i="1"/>
  <c r="C52" i="1" s="1"/>
  <c r="B64" i="1"/>
  <c r="C64" i="1" s="1"/>
  <c r="B76" i="1"/>
  <c r="C76" i="1" s="1"/>
  <c r="B88" i="1"/>
  <c r="C88" i="1" s="1"/>
  <c r="B100" i="1"/>
  <c r="C100" i="1" s="1"/>
  <c r="B18" i="1"/>
  <c r="C18" i="1" s="1"/>
  <c r="B42" i="1"/>
  <c r="C42" i="1" s="1"/>
  <c r="B66" i="1"/>
  <c r="C66" i="1" s="1"/>
  <c r="B90" i="1"/>
  <c r="C90" i="1" s="1"/>
  <c r="B19" i="1"/>
  <c r="C19" i="1" s="1"/>
  <c r="B43" i="1"/>
  <c r="C43" i="1" s="1"/>
  <c r="B79" i="1"/>
  <c r="C79" i="1" s="1"/>
  <c r="B20" i="1"/>
  <c r="C20" i="1" s="1"/>
  <c r="B44" i="1"/>
  <c r="C44" i="1" s="1"/>
  <c r="B68" i="1"/>
  <c r="C68" i="1" s="1"/>
  <c r="B92" i="1"/>
  <c r="C92" i="1" s="1"/>
  <c r="B9" i="1"/>
  <c r="C9" i="1" s="1"/>
  <c r="B33" i="1"/>
  <c r="C33" i="1" s="1"/>
  <c r="B57" i="1"/>
  <c r="C57" i="1" s="1"/>
  <c r="B81" i="1"/>
  <c r="C81" i="1" s="1"/>
  <c r="B22" i="1"/>
  <c r="C22" i="1" s="1"/>
  <c r="B46" i="1"/>
  <c r="C46" i="1" s="1"/>
  <c r="B70" i="1"/>
  <c r="C70" i="1" s="1"/>
  <c r="B23" i="1"/>
  <c r="C23" i="1" s="1"/>
  <c r="B35" i="1"/>
  <c r="C35" i="1" s="1"/>
  <c r="B59" i="1"/>
  <c r="C59" i="1" s="1"/>
  <c r="B83" i="1"/>
  <c r="C83" i="1" s="1"/>
  <c r="B24" i="1"/>
  <c r="C24" i="1" s="1"/>
  <c r="B48" i="1"/>
  <c r="C48" i="1" s="1"/>
  <c r="B72" i="1"/>
  <c r="C72" i="1" s="1"/>
  <c r="B96" i="1"/>
  <c r="C96" i="1" s="1"/>
  <c r="B25" i="1"/>
  <c r="C25" i="1" s="1"/>
  <c r="B61" i="1"/>
  <c r="C61" i="1" s="1"/>
  <c r="B85" i="1"/>
  <c r="C85" i="1" s="1"/>
  <c r="B26" i="1"/>
  <c r="C26" i="1" s="1"/>
  <c r="B38" i="1"/>
  <c r="C38" i="1" s="1"/>
  <c r="B62" i="1"/>
  <c r="C62" i="1" s="1"/>
  <c r="B86" i="1"/>
  <c r="C86" i="1" s="1"/>
  <c r="B15" i="1"/>
  <c r="C15" i="1" s="1"/>
  <c r="B39" i="1"/>
  <c r="C39" i="1" s="1"/>
  <c r="B63" i="1"/>
  <c r="C63" i="1" s="1"/>
  <c r="B87" i="1"/>
  <c r="C87" i="1" s="1"/>
  <c r="B5" i="1"/>
  <c r="C5" i="1" s="1"/>
  <c r="B17" i="1"/>
  <c r="C17" i="1" s="1"/>
  <c r="B29" i="1"/>
  <c r="C29" i="1" s="1"/>
  <c r="B41" i="1"/>
  <c r="C41" i="1" s="1"/>
  <c r="B53" i="1"/>
  <c r="C53" i="1" s="1"/>
  <c r="B65" i="1"/>
  <c r="C65" i="1" s="1"/>
  <c r="B77" i="1"/>
  <c r="C77" i="1" s="1"/>
  <c r="B89" i="1"/>
  <c r="C89" i="1" s="1"/>
  <c r="B101" i="1"/>
  <c r="C101" i="1" s="1"/>
  <c r="B6" i="1"/>
  <c r="C6" i="1" s="1"/>
  <c r="B30" i="1"/>
  <c r="C30" i="1" s="1"/>
  <c r="B54" i="1"/>
  <c r="C54" i="1" s="1"/>
  <c r="B78" i="1"/>
  <c r="C78" i="1" s="1"/>
  <c r="B102" i="1"/>
  <c r="C102" i="1" s="1"/>
  <c r="B7" i="1"/>
  <c r="C7" i="1" s="1"/>
  <c r="B31" i="1"/>
  <c r="C31" i="1" s="1"/>
  <c r="B55" i="1"/>
  <c r="C55" i="1" s="1"/>
  <c r="B67" i="1"/>
  <c r="C67" i="1" s="1"/>
  <c r="B91" i="1"/>
  <c r="C91" i="1" s="1"/>
  <c r="B8" i="1"/>
  <c r="C8" i="1" s="1"/>
  <c r="B32" i="1"/>
  <c r="C32" i="1" s="1"/>
  <c r="B56" i="1"/>
  <c r="C56" i="1" s="1"/>
  <c r="B80" i="1"/>
  <c r="C80" i="1" s="1"/>
  <c r="B21" i="1"/>
  <c r="C21" i="1" s="1"/>
  <c r="B45" i="1"/>
  <c r="C45" i="1" s="1"/>
  <c r="B69" i="1"/>
  <c r="C69" i="1" s="1"/>
  <c r="B93" i="1"/>
  <c r="C93" i="1" s="1"/>
  <c r="B10" i="1"/>
  <c r="C10" i="1" s="1"/>
  <c r="B34" i="1"/>
  <c r="C34" i="1" s="1"/>
  <c r="B58" i="1"/>
  <c r="C58" i="1" s="1"/>
  <c r="B82" i="1"/>
  <c r="C82" i="1" s="1"/>
  <c r="B94" i="1"/>
  <c r="C94" i="1" s="1"/>
  <c r="B11" i="1"/>
  <c r="C11" i="1" s="1"/>
  <c r="B47" i="1"/>
  <c r="C47" i="1" s="1"/>
  <c r="B71" i="1"/>
  <c r="C71" i="1" s="1"/>
  <c r="B95" i="1"/>
  <c r="C95" i="1" s="1"/>
  <c r="B12" i="1"/>
  <c r="C12" i="1" s="1"/>
  <c r="B36" i="1"/>
  <c r="C36" i="1" s="1"/>
  <c r="B60" i="1"/>
  <c r="C60" i="1" s="1"/>
  <c r="B84" i="1"/>
  <c r="C84" i="1" s="1"/>
  <c r="B13" i="1"/>
  <c r="C13" i="1" s="1"/>
  <c r="B37" i="1"/>
  <c r="C37" i="1" s="1"/>
  <c r="B49" i="1"/>
  <c r="C49" i="1" s="1"/>
  <c r="B73" i="1"/>
  <c r="C73" i="1" s="1"/>
  <c r="B97" i="1"/>
  <c r="C97" i="1" s="1"/>
  <c r="B14" i="1"/>
  <c r="C14" i="1" s="1"/>
  <c r="B50" i="1"/>
  <c r="C50" i="1" s="1"/>
  <c r="B74" i="1"/>
  <c r="C74" i="1" s="1"/>
  <c r="B98" i="1"/>
  <c r="C98" i="1" s="1"/>
  <c r="B3" i="1"/>
  <c r="C3" i="1" s="1"/>
  <c r="B27" i="1"/>
  <c r="C27" i="1" s="1"/>
  <c r="B51" i="1"/>
  <c r="C51" i="1" s="1"/>
  <c r="B75" i="1"/>
  <c r="C75" i="1" s="1"/>
  <c r="B99" i="1"/>
  <c r="C99" i="1" s="1"/>
  <c r="B2" i="1"/>
  <c r="C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<sst xmlns="http://schemas.openxmlformats.org/spreadsheetml/2006/main" count="80" uniqueCount="45">
  <si>
    <t>w [nm]</t>
    <phoneticPr fontId="1"/>
  </si>
  <si>
    <t>C(w) [nm]</t>
    <phoneticPr fontId="1"/>
  </si>
  <si>
    <t>1/C(w) [1/nm]</t>
    <phoneticPr fontId="1"/>
  </si>
  <si>
    <t>z(w)_TrapezoidalFormula</t>
    <phoneticPr fontId="1"/>
  </si>
  <si>
    <t>z(w)_SimpsonFormula</t>
    <phoneticPr fontId="1"/>
  </si>
  <si>
    <t>z(w)_actual</t>
    <phoneticPr fontId="1"/>
  </si>
  <si>
    <t>z(w) [um]</t>
    <phoneticPr fontId="1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</si>
  <si>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</si>
  <si>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</si>
  <si>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</si>
  <si>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</si>
  <si>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</si>
  <si>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</si>
  <si>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</si>
  <si>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</si>
  <si>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</si>
  <si>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</si>
  <si>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</si>
  <si>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</si>
  <si>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</si>
  <si>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</si>
  <si>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</si>
  <si>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</si>
  <si>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</si>
  <si>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x^16</t>
  </si>
  <si>
    <t>x^15</t>
  </si>
  <si>
    <t>x^14</t>
  </si>
  <si>
    <t>x^13</t>
  </si>
  <si>
    <t>x^12</t>
  </si>
  <si>
    <t>x^11</t>
  </si>
  <si>
    <t>x^10</t>
  </si>
  <si>
    <t>x^9</t>
  </si>
  <si>
    <t>x^8</t>
  </si>
  <si>
    <t>x^7</t>
  </si>
  <si>
    <t>x^6</t>
  </si>
  <si>
    <t>x^5</t>
  </si>
  <si>
    <t>x^4</t>
  </si>
  <si>
    <t>x^3</t>
  </si>
  <si>
    <t>x^2</t>
  </si>
  <si>
    <t>x^1</t>
  </si>
  <si>
    <t>x^0</t>
  </si>
  <si>
    <t>C(w) [nm]_raw</t>
    <phoneticPr fontId="1"/>
  </si>
  <si>
    <t>order</t>
    <phoneticPr fontId="1"/>
  </si>
  <si>
    <t>coefficient</t>
    <phoneticPr fontId="1"/>
  </si>
  <si>
    <t>1/C(w) [1/nm]_raw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</si>
</sst>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C(w) [nm]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Sheet1!$A$2:$A$217</c:f>
              <c:numCache>
                <c:formatCode>General</c:formatCode>
                <c:ptCount val="216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  <c:pt idx="30">
                  <c:v>250</c:v>
                </c:pt>
                <c:pt idx="31">
                  <c:v>255</c:v>
                </c:pt>
                <c:pt idx="32">
                  <c:v>260</c:v>
                </c:pt>
                <c:pt idx="33">
                  <c:v>265</c:v>
                </c:pt>
                <c:pt idx="34">
                  <c:v>270</c:v>
                </c:pt>
                <c:pt idx="35">
                  <c:v>275</c:v>
                </c:pt>
                <c:pt idx="36">
                  <c:v>280</c:v>
                </c:pt>
                <c:pt idx="37">
                  <c:v>285</c:v>
                </c:pt>
                <c:pt idx="38">
                  <c:v>290</c:v>
                </c:pt>
                <c:pt idx="39">
                  <c:v>295</c:v>
                </c:pt>
                <c:pt idx="40">
                  <c:v>300</c:v>
                </c:pt>
                <c:pt idx="41">
                  <c:v>305</c:v>
                </c:pt>
                <c:pt idx="42">
                  <c:v>310</c:v>
                </c:pt>
                <c:pt idx="43">
                  <c:v>315</c:v>
                </c:pt>
                <c:pt idx="44">
                  <c:v>320</c:v>
                </c:pt>
                <c:pt idx="45">
                  <c:v>325</c:v>
                </c:pt>
                <c:pt idx="46">
                  <c:v>330</c:v>
                </c:pt>
                <c:pt idx="47">
                  <c:v>335</c:v>
                </c:pt>
                <c:pt idx="48">
                  <c:v>340</c:v>
                </c:pt>
                <c:pt idx="49">
                  <c:v>345</c:v>
                </c:pt>
                <c:pt idx="50">
                  <c:v>350</c:v>
                </c:pt>
                <c:pt idx="51">
                  <c:v>355</c:v>
                </c:pt>
                <c:pt idx="52">
                  <c:v>360</c:v>
                </c:pt>
                <c:pt idx="53">
                  <c:v>365</c:v>
                </c:pt>
                <c:pt idx="54">
                  <c:v>370</c:v>
                </c:pt>
                <c:pt idx="55">
                  <c:v>375</c:v>
                </c:pt>
                <c:pt idx="56">
                  <c:v>380</c:v>
                </c:pt>
                <c:pt idx="57">
                  <c:v>385</c:v>
                </c:pt>
                <c:pt idx="58">
                  <c:v>390</c:v>
                </c:pt>
                <c:pt idx="59">
                  <c:v>395</c:v>
                </c:pt>
                <c:pt idx="60">
                  <c:v>400</c:v>
                </c:pt>
                <c:pt idx="61">
                  <c:v>405</c:v>
                </c:pt>
                <c:pt idx="62">
                  <c:v>410</c:v>
                </c:pt>
                <c:pt idx="63">
                  <c:v>415</c:v>
                </c:pt>
                <c:pt idx="64">
                  <c:v>420</c:v>
                </c:pt>
                <c:pt idx="65">
                  <c:v>425</c:v>
                </c:pt>
                <c:pt idx="66">
                  <c:v>430</c:v>
                </c:pt>
                <c:pt idx="67">
                  <c:v>435</c:v>
                </c:pt>
                <c:pt idx="68">
                  <c:v>440</c:v>
                </c:pt>
                <c:pt idx="69">
                  <c:v>445</c:v>
                </c:pt>
                <c:pt idx="70">
                  <c:v>450</c:v>
                </c:pt>
                <c:pt idx="71">
                  <c:v>455</c:v>
                </c:pt>
                <c:pt idx="72">
                  <c:v>460</c:v>
                </c:pt>
                <c:pt idx="73">
                  <c:v>465</c:v>
                </c:pt>
                <c:pt idx="74">
                  <c:v>470</c:v>
                </c:pt>
                <c:pt idx="75">
                  <c:v>475</c:v>
                </c:pt>
                <c:pt idx="76">
                  <c:v>480</c:v>
                </c:pt>
                <c:pt idx="77">
                  <c:v>485</c:v>
                </c:pt>
                <c:pt idx="78">
                  <c:v>490</c:v>
                </c:pt>
                <c:pt idx="79">
                  <c:v>495</c:v>
                </c:pt>
                <c:pt idx="80">
                  <c:v>500</c:v>
                </c:pt>
                <c:pt idx="81">
                  <c:v>505</c:v>
                </c:pt>
                <c:pt idx="82">
                  <c:v>510</c:v>
                </c:pt>
                <c:pt idx="83">
                  <c:v>515</c:v>
                </c:pt>
                <c:pt idx="84">
                  <c:v>520</c:v>
                </c:pt>
                <c:pt idx="85">
                  <c:v>525</c:v>
                </c:pt>
                <c:pt idx="86">
                  <c:v>530</c:v>
                </c:pt>
                <c:pt idx="87">
                  <c:v>535</c:v>
                </c:pt>
                <c:pt idx="88">
                  <c:v>540</c:v>
                </c:pt>
                <c:pt idx="89">
                  <c:v>545</c:v>
                </c:pt>
                <c:pt idx="90">
                  <c:v>550</c:v>
                </c:pt>
                <c:pt idx="91">
                  <c:v>555</c:v>
                </c:pt>
                <c:pt idx="92">
                  <c:v>560</c:v>
                </c:pt>
                <c:pt idx="93">
                  <c:v>565</c:v>
                </c:pt>
                <c:pt idx="94">
                  <c:v>570</c:v>
                </c:pt>
                <c:pt idx="95">
                  <c:v>575</c:v>
                </c:pt>
                <c:pt idx="96">
                  <c:v>580</c:v>
                </c:pt>
                <c:pt idx="97">
                  <c:v>585</c:v>
                </c:pt>
                <c:pt idx="98">
                  <c:v>590</c:v>
                </c:pt>
                <c:pt idx="99">
                  <c:v>595</c:v>
                </c:pt>
                <c:pt idx="100">
                  <c:v>600</c:v>
                </c:pt>
              </c:numCache>
            </c:numRef>
          </c:xVal>
          <c:yVal>
            <c:numRef>
              <c:f>Sheet1!$B$2:$B$217</c:f>
              <c:numCache>
                <c:formatCode>General</c:formatCode>
                <c:ptCount val="216"/>
                <c:pt idx="0">
                  <c:v>1070551.9592863298</c:v>
                </c:pt>
                <c:pt idx="1">
                  <c:v>1049881.0016939186</c:v>
                </c:pt>
                <c:pt idx="2">
                  <c:v>1025613.0238469457</c:v>
                </c:pt>
                <c:pt idx="3">
                  <c:v>997672.8371158056</c:v>
                </c:pt>
                <c:pt idx="4">
                  <c:v>966093.04957585083</c:v>
                </c:pt>
                <c:pt idx="5">
                  <c:v>931021.55728981178</c:v>
                </c:pt>
                <c:pt idx="6">
                  <c:v>892723.63274582289</c:v>
                </c:pt>
                <c:pt idx="7">
                  <c:v>851578.26221563388</c:v>
                </c:pt>
                <c:pt idx="8">
                  <c:v>808068.70693741553</c:v>
                </c:pt>
                <c:pt idx="9">
                  <c:v>762767.58907648921</c:v>
                </c:pt>
                <c:pt idx="10">
                  <c:v>716317.11414487287</c:v>
                </c:pt>
                <c:pt idx="11">
                  <c:v>669405.32011039555</c:v>
                </c:pt>
                <c:pt idx="12">
                  <c:v>622739.47505878657</c:v>
                </c:pt>
                <c:pt idx="13">
                  <c:v>577017.91797464341</c:v>
                </c:pt>
                <c:pt idx="14">
                  <c:v>532901.74214795232</c:v>
                </c:pt>
                <c:pt idx="15">
                  <c:v>490987.7525575459</c:v>
                </c:pt>
                <c:pt idx="16">
                  <c:v>451784.08562807739</c:v>
                </c:pt>
                <c:pt idx="17">
                  <c:v>415689.7639568001</c:v>
                </c:pt>
                <c:pt idx="18">
                  <c:v>382979.27539001405</c:v>
                </c:pt>
                <c:pt idx="19">
                  <c:v>353793.02386203408</c:v>
                </c:pt>
                <c:pt idx="20">
                  <c:v>328134.21016153693</c:v>
                </c:pt>
                <c:pt idx="21">
                  <c:v>305872.37804338336</c:v>
                </c:pt>
                <c:pt idx="22">
                  <c:v>286753.5203744173</c:v>
                </c:pt>
                <c:pt idx="23">
                  <c:v>270416.29783797264</c:v>
                </c:pt>
                <c:pt idx="24">
                  <c:v>256413.59610140324</c:v>
                </c:pt>
                <c:pt idx="25">
                  <c:v>244238.35280179977</c:v>
                </c:pt>
                <c:pt idx="26">
                  <c:v>233352.3387773037</c:v>
                </c:pt>
                <c:pt idx="27">
                  <c:v>223216.39235913754</c:v>
                </c:pt>
                <c:pt idx="28">
                  <c:v>213320.49263632298</c:v>
                </c:pt>
                <c:pt idx="29">
                  <c:v>203212.0255484581</c:v>
                </c:pt>
                <c:pt idx="30">
                  <c:v>192520.65059065819</c:v>
                </c:pt>
                <c:pt idx="31">
                  <c:v>180978.31653094292</c:v>
                </c:pt>
                <c:pt idx="32">
                  <c:v>168433.19885969162</c:v>
                </c:pt>
                <c:pt idx="33">
                  <c:v>154856.63250899315</c:v>
                </c:pt>
                <c:pt idx="34">
                  <c:v>140342.47912669182</c:v>
                </c:pt>
                <c:pt idx="35">
                  <c:v>125098.78337907791</c:v>
                </c:pt>
                <c:pt idx="36">
                  <c:v>109432.0189871788</c:v>
                </c:pt>
                <c:pt idx="37">
                  <c:v>93724.680001735687</c:v>
                </c:pt>
                <c:pt idx="38">
                  <c:v>78407.412897109985</c:v>
                </c:pt>
                <c:pt idx="39">
                  <c:v>63927.283848762512</c:v>
                </c:pt>
                <c:pt idx="40">
                  <c:v>50714.10914516449</c:v>
                </c:pt>
                <c:pt idx="41">
                  <c:v>39147.018919944763</c:v>
                </c:pt>
                <c:pt idx="42">
                  <c:v>29523.552856445313</c:v>
                </c:pt>
                <c:pt idx="43">
                  <c:v>22033.584187507629</c:v>
                </c:pt>
                <c:pt idx="44">
                  <c:v>16740.217206954956</c:v>
                </c:pt>
                <c:pt idx="45">
                  <c:v>13569.501791000366</c:v>
                </c:pt>
                <c:pt idx="46">
                  <c:v>12310.350473403931</c:v>
                </c:pt>
                <c:pt idx="47">
                  <c:v>12625.441255569458</c:v>
                </c:pt>
                <c:pt idx="48">
                  <c:v>14073.163200378418</c:v>
                </c:pt>
                <c:pt idx="49">
                  <c:v>16139.837108612061</c:v>
                </c:pt>
                <c:pt idx="50">
                  <c:v>18280.562568664551</c:v>
                </c:pt>
                <c:pt idx="51">
                  <c:v>19966.161605834961</c:v>
                </c:pt>
                <c:pt idx="52">
                  <c:v>20732.859951019287</c:v>
                </c:pt>
                <c:pt idx="53">
                  <c:v>20230.648807525635</c:v>
                </c:pt>
                <c:pt idx="54">
                  <c:v>18265.776523590088</c:v>
                </c:pt>
                <c:pt idx="55">
                  <c:v>14832.613677978516</c:v>
                </c:pt>
                <c:pt idx="56">
                  <c:v>10130.287090301514</c:v>
                </c:pt>
                <c:pt idx="57">
                  <c:v>4560.0863265991211</c:v>
                </c:pt>
                <c:pt idx="58">
                  <c:v>-1299.2676620483398</c:v>
                </c:pt>
                <c:pt idx="59">
                  <c:v>-6739.7520446777344</c:v>
                </c:pt>
                <c:pt idx="60">
                  <c:v>-10994.662055969238</c:v>
                </c:pt>
                <c:pt idx="61">
                  <c:v>-13328.110145568848</c:v>
                </c:pt>
                <c:pt idx="62">
                  <c:v>-13136.722602844238</c:v>
                </c:pt>
                <c:pt idx="63">
                  <c:v>-10053.510650634766</c:v>
                </c:pt>
                <c:pt idx="64">
                  <c:v>-4040.6233215332031</c:v>
                </c:pt>
                <c:pt idx="65">
                  <c:v>4545.1267852783203</c:v>
                </c:pt>
                <c:pt idx="66">
                  <c:v>14931.948852539063</c:v>
                </c:pt>
                <c:pt idx="67">
                  <c:v>25976.022476196289</c:v>
                </c:pt>
                <c:pt idx="68">
                  <c:v>36283.349090576172</c:v>
                </c:pt>
                <c:pt idx="69">
                  <c:v>44419.567626953125</c:v>
                </c:pt>
                <c:pt idx="70">
                  <c:v>49205.40771484375</c:v>
                </c:pt>
                <c:pt idx="71">
                  <c:v>50076.239562988281</c:v>
                </c:pt>
                <c:pt idx="72">
                  <c:v>47456.135070800781</c:v>
                </c:pt>
                <c:pt idx="73">
                  <c:v>43056.428924560547</c:v>
                </c:pt>
                <c:pt idx="74">
                  <c:v>39952.996063232422</c:v>
                </c:pt>
                <c:pt idx="75">
                  <c:v>42221.644653320313</c:v>
                </c:pt>
                <c:pt idx="76">
                  <c:v>53812.506866455078</c:v>
                </c:pt>
                <c:pt idx="77">
                  <c:v>76216.805297851563</c:v>
                </c:pt>
                <c:pt idx="78">
                  <c:v>104316.75817871094</c:v>
                </c:pt>
                <c:pt idx="79">
                  <c:v>119604.57513427734</c:v>
                </c:pt>
                <c:pt idx="80">
                  <c:v>79701.150329589844</c:v>
                </c:pt>
                <c:pt idx="81">
                  <c:v>-97210.144348144531</c:v>
                </c:pt>
                <c:pt idx="82">
                  <c:v>-554805.30889892578</c:v>
                </c:pt>
                <c:pt idx="83">
                  <c:v>-1530136.5396728516</c:v>
                </c:pt>
                <c:pt idx="84">
                  <c:v>-3397049.7904052734</c:v>
                </c:pt>
                <c:pt idx="85">
                  <c:v>-6724987.676940918</c:v>
                </c:pt>
                <c:pt idx="86">
                  <c:v>-12357471.354797363</c:v>
                </c:pt>
                <c:pt idx="87">
                  <c:v>-21515515.822265625</c:v>
                </c:pt>
                <c:pt idx="88">
                  <c:v>-35932366.401916504</c:v>
                </c:pt>
                <c:pt idx="89">
                  <c:v>-58027275.663452148</c:v>
                </c:pt>
                <c:pt idx="90">
                  <c:v>-91127599.507446289</c:v>
                </c:pt>
                <c:pt idx="91">
                  <c:v>-139750305.34716797</c:v>
                </c:pt>
                <c:pt idx="92">
                  <c:v>-209956097.09265137</c:v>
                </c:pt>
                <c:pt idx="93">
                  <c:v>-309791799.17529297</c:v>
                </c:pt>
                <c:pt idx="94">
                  <c:v>-449839454.73815918</c:v>
                </c:pt>
                <c:pt idx="95">
                  <c:v>-643893832.09326172</c:v>
                </c:pt>
                <c:pt idx="96">
                  <c:v>-909793733.88745117</c:v>
                </c:pt>
                <c:pt idx="97">
                  <c:v>-1270436745.1727295</c:v>
                </c:pt>
                <c:pt idx="98">
                  <c:v>-1755011885.2509766</c:v>
                </c:pt>
                <c:pt idx="99">
                  <c:v>-2400490113.3334961</c:v>
                </c:pt>
                <c:pt idx="100">
                  <c:v>-3253418871.7299805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25-4B40-AB84-E7DB8AEF5CEA}"/>
            </c:ext>
          </c:extLst>
        </c:ser>
        <c:ser>
          <c:idx val="2"/>
          <c:order val="2"/>
          <c:tx>
            <c:v>C(w)_raw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Sheet1!$A$2:$A$102</c:f>
              <c:numCache>
                <c:formatCode>General</c:formatCode>
                <c:ptCount val="101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  <c:pt idx="30">
                  <c:v>250</c:v>
                </c:pt>
                <c:pt idx="31">
                  <c:v>255</c:v>
                </c:pt>
                <c:pt idx="32">
                  <c:v>260</c:v>
                </c:pt>
                <c:pt idx="33">
                  <c:v>265</c:v>
                </c:pt>
                <c:pt idx="34">
                  <c:v>270</c:v>
                </c:pt>
                <c:pt idx="35">
                  <c:v>275</c:v>
                </c:pt>
                <c:pt idx="36">
                  <c:v>280</c:v>
                </c:pt>
                <c:pt idx="37">
                  <c:v>285</c:v>
                </c:pt>
                <c:pt idx="38">
                  <c:v>290</c:v>
                </c:pt>
                <c:pt idx="39">
                  <c:v>295</c:v>
                </c:pt>
                <c:pt idx="40">
                  <c:v>300</c:v>
                </c:pt>
                <c:pt idx="41">
                  <c:v>305</c:v>
                </c:pt>
                <c:pt idx="42">
                  <c:v>310</c:v>
                </c:pt>
                <c:pt idx="43">
                  <c:v>315</c:v>
                </c:pt>
                <c:pt idx="44">
                  <c:v>320</c:v>
                </c:pt>
                <c:pt idx="45">
                  <c:v>325</c:v>
                </c:pt>
                <c:pt idx="46">
                  <c:v>330</c:v>
                </c:pt>
                <c:pt idx="47">
                  <c:v>335</c:v>
                </c:pt>
                <c:pt idx="48">
                  <c:v>340</c:v>
                </c:pt>
                <c:pt idx="49">
                  <c:v>345</c:v>
                </c:pt>
                <c:pt idx="50">
                  <c:v>350</c:v>
                </c:pt>
                <c:pt idx="51">
                  <c:v>355</c:v>
                </c:pt>
                <c:pt idx="52">
                  <c:v>360</c:v>
                </c:pt>
                <c:pt idx="53">
                  <c:v>365</c:v>
                </c:pt>
                <c:pt idx="54">
                  <c:v>370</c:v>
                </c:pt>
                <c:pt idx="55">
                  <c:v>375</c:v>
                </c:pt>
                <c:pt idx="56">
                  <c:v>380</c:v>
                </c:pt>
                <c:pt idx="57">
                  <c:v>385</c:v>
                </c:pt>
                <c:pt idx="58">
                  <c:v>390</c:v>
                </c:pt>
                <c:pt idx="59">
                  <c:v>395</c:v>
                </c:pt>
                <c:pt idx="60">
                  <c:v>400</c:v>
                </c:pt>
                <c:pt idx="61">
                  <c:v>405</c:v>
                </c:pt>
                <c:pt idx="62">
                  <c:v>410</c:v>
                </c:pt>
                <c:pt idx="63">
                  <c:v>415</c:v>
                </c:pt>
                <c:pt idx="64">
                  <c:v>420</c:v>
                </c:pt>
                <c:pt idx="65">
                  <c:v>425</c:v>
                </c:pt>
                <c:pt idx="66">
                  <c:v>430</c:v>
                </c:pt>
                <c:pt idx="67">
                  <c:v>435</c:v>
                </c:pt>
                <c:pt idx="68">
                  <c:v>440</c:v>
                </c:pt>
                <c:pt idx="69">
                  <c:v>445</c:v>
                </c:pt>
                <c:pt idx="70">
                  <c:v>450</c:v>
                </c:pt>
                <c:pt idx="71">
                  <c:v>455</c:v>
                </c:pt>
                <c:pt idx="72">
                  <c:v>460</c:v>
                </c:pt>
                <c:pt idx="73">
                  <c:v>465</c:v>
                </c:pt>
                <c:pt idx="74">
                  <c:v>470</c:v>
                </c:pt>
                <c:pt idx="75">
                  <c:v>475</c:v>
                </c:pt>
                <c:pt idx="76">
                  <c:v>480</c:v>
                </c:pt>
                <c:pt idx="77">
                  <c:v>485</c:v>
                </c:pt>
                <c:pt idx="78">
                  <c:v>490</c:v>
                </c:pt>
                <c:pt idx="79">
                  <c:v>495</c:v>
                </c:pt>
                <c:pt idx="80">
                  <c:v>500</c:v>
                </c:pt>
                <c:pt idx="81">
                  <c:v>505</c:v>
                </c:pt>
                <c:pt idx="82">
                  <c:v>510</c:v>
                </c:pt>
                <c:pt idx="83">
                  <c:v>515</c:v>
                </c:pt>
                <c:pt idx="84">
                  <c:v>520</c:v>
                </c:pt>
                <c:pt idx="85">
                  <c:v>525</c:v>
                </c:pt>
                <c:pt idx="86">
                  <c:v>530</c:v>
                </c:pt>
                <c:pt idx="87">
                  <c:v>535</c:v>
                </c:pt>
                <c:pt idx="88">
                  <c:v>540</c:v>
                </c:pt>
                <c:pt idx="89">
                  <c:v>545</c:v>
                </c:pt>
                <c:pt idx="90">
                  <c:v>550</c:v>
                </c:pt>
                <c:pt idx="91">
                  <c:v>555</c:v>
                </c:pt>
                <c:pt idx="92">
                  <c:v>560</c:v>
                </c:pt>
                <c:pt idx="93">
                  <c:v>565</c:v>
                </c:pt>
                <c:pt idx="94">
                  <c:v>570</c:v>
                </c:pt>
                <c:pt idx="95">
                  <c:v>575</c:v>
                </c:pt>
                <c:pt idx="96">
                  <c:v>580</c:v>
                </c:pt>
                <c:pt idx="97">
                  <c:v>585</c:v>
                </c:pt>
                <c:pt idx="98">
                  <c:v>590</c:v>
                </c:pt>
                <c:pt idx="99">
                  <c:v>595</c:v>
                </c:pt>
                <c:pt idx="100">
                  <c:v>600</c:v>
                </c:pt>
              </c:numCache>
            </c:numRef>
          </c:xVal>
          <c:yVal>
            <c:numRef>
              <c:f>Sheet1!$W$2:$W$102</c:f>
              <c:numCache>
                <c:formatCode>General</c:formatCode>
                <c:ptCount val="101"/>
                <c:pt idx="0">
                  <c:v>1181481.05194242</c:v>
                </c:pt>
                <c:pt idx="1">
                  <c:v>1128638.96429371</c:v>
                </c:pt>
                <c:pt idx="2">
                  <c:v>1065290.08062087</c:v>
                </c:pt>
                <c:pt idx="3">
                  <c:v>999685.24786356697</c:v>
                </c:pt>
                <c:pt idx="4">
                  <c:v>946990.11490206094</c:v>
                </c:pt>
                <c:pt idx="5">
                  <c:v>902525.85092771205</c:v>
                </c:pt>
                <c:pt idx="6">
                  <c:v>850915.835214008</c:v>
                </c:pt>
                <c:pt idx="7">
                  <c:v>797468.79553797899</c:v>
                </c:pt>
                <c:pt idx="8">
                  <c:v>753075.23329090304</c:v>
                </c:pt>
                <c:pt idx="9">
                  <c:v>716145.692459938</c:v>
                </c:pt>
                <c:pt idx="10">
                  <c:v>674406.147888712</c:v>
                </c:pt>
                <c:pt idx="11">
                  <c:v>631105.43786482303</c:v>
                </c:pt>
                <c:pt idx="12">
                  <c:v>594318.91683871101</c:v>
                </c:pt>
                <c:pt idx="13">
                  <c:v>563709.38346906297</c:v>
                </c:pt>
                <c:pt idx="14">
                  <c:v>529821.28914967994</c:v>
                </c:pt>
                <c:pt idx="15">
                  <c:v>494741.29348496598</c:v>
                </c:pt>
                <c:pt idx="16">
                  <c:v>464445.57627073798</c:v>
                </c:pt>
                <c:pt idx="17">
                  <c:v>439113.99308142002</c:v>
                </c:pt>
                <c:pt idx="18">
                  <c:v>411511.26864815998</c:v>
                </c:pt>
                <c:pt idx="19">
                  <c:v>383106.44454920001</c:v>
                </c:pt>
                <c:pt idx="20">
                  <c:v>358279.44160321</c:v>
                </c:pt>
                <c:pt idx="21">
                  <c:v>337324.50645533198</c:v>
                </c:pt>
                <c:pt idx="22">
                  <c:v>314821.51416412398</c:v>
                </c:pt>
                <c:pt idx="23">
                  <c:v>291852.192381976</c:v>
                </c:pt>
                <c:pt idx="24">
                  <c:v>271612.23924212501</c:v>
                </c:pt>
                <c:pt idx="25">
                  <c:v>254325.668144011</c:v>
                </c:pt>
                <c:pt idx="26">
                  <c:v>236024.95931674301</c:v>
                </c:pt>
                <c:pt idx="27">
                  <c:v>217534.80280009101</c:v>
                </c:pt>
                <c:pt idx="28">
                  <c:v>201138.77198806001</c:v>
                </c:pt>
                <c:pt idx="29">
                  <c:v>186965.308962938</c:v>
                </c:pt>
                <c:pt idx="30">
                  <c:v>172177.86051719301</c:v>
                </c:pt>
                <c:pt idx="31">
                  <c:v>157417.70210218601</c:v>
                </c:pt>
                <c:pt idx="32">
                  <c:v>144262.94235346001</c:v>
                </c:pt>
                <c:pt idx="33">
                  <c:v>132762.94641117001</c:v>
                </c:pt>
                <c:pt idx="34">
                  <c:v>120957.56457344499</c:v>
                </c:pt>
                <c:pt idx="35">
                  <c:v>109336.583129181</c:v>
                </c:pt>
                <c:pt idx="36">
                  <c:v>98937.942415703495</c:v>
                </c:pt>
                <c:pt idx="37">
                  <c:v>89763.423559545306</c:v>
                </c:pt>
                <c:pt idx="38">
                  <c:v>80522.635354111597</c:v>
                </c:pt>
                <c:pt idx="39">
                  <c:v>71572.536873063902</c:v>
                </c:pt>
                <c:pt idx="40">
                  <c:v>63542.4182424385</c:v>
                </c:pt>
                <c:pt idx="41">
                  <c:v>56418.826471081098</c:v>
                </c:pt>
                <c:pt idx="42">
                  <c:v>49408.121563336797</c:v>
                </c:pt>
                <c:pt idx="43">
                  <c:v>42749.803623991698</c:v>
                </c:pt>
                <c:pt idx="44">
                  <c:v>36767.217376675202</c:v>
                </c:pt>
                <c:pt idx="45">
                  <c:v>31439.996933877399</c:v>
                </c:pt>
                <c:pt idx="46">
                  <c:v>26292.686812898399</c:v>
                </c:pt>
                <c:pt idx="47">
                  <c:v>21286.1685573014</c:v>
                </c:pt>
                <c:pt idx="48">
                  <c:v>15146.907052042299</c:v>
                </c:pt>
                <c:pt idx="49">
                  <c:v>4102.6996093359103</c:v>
                </c:pt>
                <c:pt idx="50">
                  <c:v>2985.8612337347499</c:v>
                </c:pt>
                <c:pt idx="51">
                  <c:v>7670.2591165224303</c:v>
                </c:pt>
                <c:pt idx="52">
                  <c:v>5891.3622341282498</c:v>
                </c:pt>
                <c:pt idx="53">
                  <c:v>3966.9646225360998</c:v>
                </c:pt>
                <c:pt idx="54">
                  <c:v>2391.5341961355002</c:v>
                </c:pt>
                <c:pt idx="55">
                  <c:v>1212.3588278045399</c:v>
                </c:pt>
                <c:pt idx="56">
                  <c:v>429.57118329654998</c:v>
                </c:pt>
                <c:pt idx="57">
                  <c:v>56.926878081228701</c:v>
                </c:pt>
                <c:pt idx="58">
                  <c:v>61.938275927711402</c:v>
                </c:pt>
                <c:pt idx="59">
                  <c:v>448.379025867243</c:v>
                </c:pt>
                <c:pt idx="60">
                  <c:v>1244.14091673792</c:v>
                </c:pt>
                <c:pt idx="61">
                  <c:v>2432.8853474061898</c:v>
                </c:pt>
                <c:pt idx="62">
                  <c:v>4017.79353433899</c:v>
                </c:pt>
                <c:pt idx="63">
                  <c:v>5991.4723726878501</c:v>
                </c:pt>
                <c:pt idx="64">
                  <c:v>8397.9477488712291</c:v>
                </c:pt>
                <c:pt idx="65">
                  <c:v>11219.0168002173</c:v>
                </c:pt>
                <c:pt idx="66">
                  <c:v>14452.7059860725</c:v>
                </c:pt>
                <c:pt idx="67">
                  <c:v>18089.4168485273</c:v>
                </c:pt>
                <c:pt idx="68">
                  <c:v>22186.713533403501</c:v>
                </c:pt>
                <c:pt idx="69">
                  <c:v>26727.052264669899</c:v>
                </c:pt>
                <c:pt idx="70">
                  <c:v>31719.623684595899</c:v>
                </c:pt>
                <c:pt idx="71">
                  <c:v>37133.542027937598</c:v>
                </c:pt>
                <c:pt idx="72">
                  <c:v>42961.251651113802</c:v>
                </c:pt>
                <c:pt idx="73">
                  <c:v>49202.375119469099</c:v>
                </c:pt>
                <c:pt idx="74">
                  <c:v>55909.9181445746</c:v>
                </c:pt>
                <c:pt idx="75">
                  <c:v>62962.667224693498</c:v>
                </c:pt>
                <c:pt idx="76">
                  <c:v>70175.259667380698</c:v>
                </c:pt>
                <c:pt idx="77">
                  <c:v>77558.5432774894</c:v>
                </c:pt>
                <c:pt idx="78">
                  <c:v>85161.245858552007</c:v>
                </c:pt>
                <c:pt idx="79">
                  <c:v>92656.3753364882</c:v>
                </c:pt>
                <c:pt idx="80">
                  <c:v>99739.907005516303</c:v>
                </c:pt>
                <c:pt idx="81">
                  <c:v>106412.718848483</c:v>
                </c:pt>
                <c:pt idx="82">
                  <c:v>112468.134795832</c:v>
                </c:pt>
                <c:pt idx="83">
                  <c:v>117471.90188954399</c:v>
                </c:pt>
                <c:pt idx="84">
                  <c:v>121606.249650122</c:v>
                </c:pt>
                <c:pt idx="85">
                  <c:v>124893.900938658</c:v>
                </c:pt>
                <c:pt idx="86">
                  <c:v>126614.254920647</c:v>
                </c:pt>
                <c:pt idx="87">
                  <c:v>126752.98545604</c:v>
                </c:pt>
                <c:pt idx="88">
                  <c:v>126490.52091511</c:v>
                </c:pt>
                <c:pt idx="89">
                  <c:v>125770.43936575799</c:v>
                </c:pt>
                <c:pt idx="90">
                  <c:v>123350.623548376</c:v>
                </c:pt>
                <c:pt idx="91">
                  <c:v>119722.168924978</c:v>
                </c:pt>
                <c:pt idx="92">
                  <c:v>116536.715656389</c:v>
                </c:pt>
                <c:pt idx="93">
                  <c:v>113546.615905249</c:v>
                </c:pt>
                <c:pt idx="94">
                  <c:v>109238.44264442399</c:v>
                </c:pt>
                <c:pt idx="95">
                  <c:v>104232.71643312401</c:v>
                </c:pt>
                <c:pt idx="96">
                  <c:v>100063.78660729399</c:v>
                </c:pt>
                <c:pt idx="97">
                  <c:v>96422.075317109004</c:v>
                </c:pt>
                <c:pt idx="98">
                  <c:v>91842.814353453505</c:v>
                </c:pt>
                <c:pt idx="99">
                  <c:v>86865.686307972399</c:v>
                </c:pt>
                <c:pt idx="100">
                  <c:v>82732.206872526702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D-4421-A319-BA8227711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600640"/>
        <c:axId val="1491591040"/>
      </c:scatterChart>
      <c:scatterChart>
        <c:scatterStyle val="lineMarker"/>
        <c:varyColors val="0"/>
        <c:ser>
          <c:idx val="1"/>
          <c:order val="1"/>
          <c:tx>
            <c:strRef>
              <c:f>Sheet1!$C$1</c:f>
              <c:strCache>
                <c:ptCount val="1"/>
                <c:pt idx="0">
                  <c:v>1/C(w) [1/nm]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Sheet1!$A$2:$A$217</c:f>
              <c:numCache>
                <c:formatCode>General</c:formatCode>
                <c:ptCount val="216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  <c:pt idx="30">
                  <c:v>250</c:v>
                </c:pt>
                <c:pt idx="31">
                  <c:v>255</c:v>
                </c:pt>
                <c:pt idx="32">
                  <c:v>260</c:v>
                </c:pt>
                <c:pt idx="33">
                  <c:v>265</c:v>
                </c:pt>
                <c:pt idx="34">
                  <c:v>270</c:v>
                </c:pt>
                <c:pt idx="35">
                  <c:v>275</c:v>
                </c:pt>
                <c:pt idx="36">
                  <c:v>280</c:v>
                </c:pt>
                <c:pt idx="37">
                  <c:v>285</c:v>
                </c:pt>
                <c:pt idx="38">
                  <c:v>290</c:v>
                </c:pt>
                <c:pt idx="39">
                  <c:v>295</c:v>
                </c:pt>
                <c:pt idx="40">
                  <c:v>300</c:v>
                </c:pt>
                <c:pt idx="41">
                  <c:v>305</c:v>
                </c:pt>
                <c:pt idx="42">
                  <c:v>310</c:v>
                </c:pt>
                <c:pt idx="43">
                  <c:v>315</c:v>
                </c:pt>
                <c:pt idx="44">
                  <c:v>320</c:v>
                </c:pt>
                <c:pt idx="45">
                  <c:v>325</c:v>
                </c:pt>
                <c:pt idx="46">
                  <c:v>330</c:v>
                </c:pt>
                <c:pt idx="47">
                  <c:v>335</c:v>
                </c:pt>
                <c:pt idx="48">
                  <c:v>340</c:v>
                </c:pt>
                <c:pt idx="49">
                  <c:v>345</c:v>
                </c:pt>
                <c:pt idx="50">
                  <c:v>350</c:v>
                </c:pt>
                <c:pt idx="51">
                  <c:v>355</c:v>
                </c:pt>
                <c:pt idx="52">
                  <c:v>360</c:v>
                </c:pt>
                <c:pt idx="53">
                  <c:v>365</c:v>
                </c:pt>
                <c:pt idx="54">
                  <c:v>370</c:v>
                </c:pt>
                <c:pt idx="55">
                  <c:v>375</c:v>
                </c:pt>
                <c:pt idx="56">
                  <c:v>380</c:v>
                </c:pt>
                <c:pt idx="57">
                  <c:v>385</c:v>
                </c:pt>
                <c:pt idx="58">
                  <c:v>390</c:v>
                </c:pt>
                <c:pt idx="59">
                  <c:v>395</c:v>
                </c:pt>
                <c:pt idx="60">
                  <c:v>400</c:v>
                </c:pt>
                <c:pt idx="61">
                  <c:v>405</c:v>
                </c:pt>
                <c:pt idx="62">
                  <c:v>410</c:v>
                </c:pt>
                <c:pt idx="63">
                  <c:v>415</c:v>
                </c:pt>
                <c:pt idx="64">
                  <c:v>420</c:v>
                </c:pt>
                <c:pt idx="65">
                  <c:v>425</c:v>
                </c:pt>
                <c:pt idx="66">
                  <c:v>430</c:v>
                </c:pt>
                <c:pt idx="67">
                  <c:v>435</c:v>
                </c:pt>
                <c:pt idx="68">
                  <c:v>440</c:v>
                </c:pt>
                <c:pt idx="69">
                  <c:v>445</c:v>
                </c:pt>
                <c:pt idx="70">
                  <c:v>450</c:v>
                </c:pt>
                <c:pt idx="71">
                  <c:v>455</c:v>
                </c:pt>
                <c:pt idx="72">
                  <c:v>460</c:v>
                </c:pt>
                <c:pt idx="73">
                  <c:v>465</c:v>
                </c:pt>
                <c:pt idx="74">
                  <c:v>470</c:v>
                </c:pt>
                <c:pt idx="75">
                  <c:v>475</c:v>
                </c:pt>
                <c:pt idx="76">
                  <c:v>480</c:v>
                </c:pt>
                <c:pt idx="77">
                  <c:v>485</c:v>
                </c:pt>
                <c:pt idx="78">
                  <c:v>490</c:v>
                </c:pt>
                <c:pt idx="79">
                  <c:v>495</c:v>
                </c:pt>
                <c:pt idx="80">
                  <c:v>500</c:v>
                </c:pt>
                <c:pt idx="81">
                  <c:v>505</c:v>
                </c:pt>
                <c:pt idx="82">
                  <c:v>510</c:v>
                </c:pt>
                <c:pt idx="83">
                  <c:v>515</c:v>
                </c:pt>
                <c:pt idx="84">
                  <c:v>520</c:v>
                </c:pt>
                <c:pt idx="85">
                  <c:v>525</c:v>
                </c:pt>
                <c:pt idx="86">
                  <c:v>530</c:v>
                </c:pt>
                <c:pt idx="87">
                  <c:v>535</c:v>
                </c:pt>
                <c:pt idx="88">
                  <c:v>540</c:v>
                </c:pt>
                <c:pt idx="89">
                  <c:v>545</c:v>
                </c:pt>
                <c:pt idx="90">
                  <c:v>550</c:v>
                </c:pt>
                <c:pt idx="91">
                  <c:v>555</c:v>
                </c:pt>
                <c:pt idx="92">
                  <c:v>560</c:v>
                </c:pt>
                <c:pt idx="93">
                  <c:v>565</c:v>
                </c:pt>
                <c:pt idx="94">
                  <c:v>570</c:v>
                </c:pt>
                <c:pt idx="95">
                  <c:v>575</c:v>
                </c:pt>
                <c:pt idx="96">
                  <c:v>580</c:v>
                </c:pt>
                <c:pt idx="97">
                  <c:v>585</c:v>
                </c:pt>
                <c:pt idx="98">
                  <c:v>590</c:v>
                </c:pt>
                <c:pt idx="99">
                  <c:v>595</c:v>
                </c:pt>
                <c:pt idx="100">
                  <c:v>600</c:v>
                </c:pt>
              </c:numCache>
            </c:numRef>
          </c:xVal>
          <c:yVal>
            <c:numRef>
              <c:f>Sheet1!$C$2:$C$217</c:f>
              <c:numCache>
                <c:formatCode>General</c:formatCode>
                <c:ptCount val="216"/>
                <c:pt idx="0">
                  <c:v>9.3409758519954286E-7</c:v>
                </c:pt>
                <c:pt idx="1">
                  <c:v>9.524888995862972E-7</c:v>
                </c:pt>
                <c:pt idx="2">
                  <c:v>9.7502661993226784E-7</c:v>
                </c:pt>
                <c:pt idx="3">
                  <c:v>1.002332591203868E-6</c:v>
                </c:pt>
                <c:pt idx="4">
                  <c:v>1.0350969820547157E-6</c:v>
                </c:pt>
                <c:pt idx="5">
                  <c:v>1.0740889855558052E-6</c:v>
                </c:pt>
                <c:pt idx="6">
                  <c:v>1.1201675001301561E-6</c:v>
                </c:pt>
                <c:pt idx="7">
                  <c:v>1.1742901907784763E-6</c:v>
                </c:pt>
                <c:pt idx="8">
                  <c:v>1.2375185320441439E-6</c:v>
                </c:pt>
                <c:pt idx="9">
                  <c:v>1.3110153267140476E-6</c:v>
                </c:pt>
                <c:pt idx="10">
                  <c:v>1.3960297475145249E-6</c:v>
                </c:pt>
                <c:pt idx="11">
                  <c:v>1.4938632394422621E-6</c:v>
                </c:pt>
                <c:pt idx="12">
                  <c:v>1.6058079502758358E-6</c:v>
                </c:pt>
                <c:pt idx="13">
                  <c:v>1.7330484354975336E-6</c:v>
                </c:pt>
                <c:pt idx="14">
                  <c:v>1.8765185416158101E-6</c:v>
                </c:pt>
                <c:pt idx="15">
                  <c:v>2.0367106812563427E-6</c:v>
                </c:pt>
                <c:pt idx="16">
                  <c:v>2.2134467145069625E-6</c:v>
                </c:pt>
                <c:pt idx="17">
                  <c:v>2.4056401833938911E-6</c:v>
                </c:pt>
                <c:pt idx="18">
                  <c:v>2.6111073477321494E-6</c:v>
                </c:pt>
                <c:pt idx="19">
                  <c:v>2.826511357075153E-6</c:v>
                </c:pt>
                <c:pt idx="20">
                  <c:v>3.0475335062068376E-6</c:v>
                </c:pt>
                <c:pt idx="21">
                  <c:v>3.2693373831165792E-6</c:v>
                </c:pt>
                <c:pt idx="22">
                  <c:v>3.4873155129683806E-6</c:v>
                </c:pt>
                <c:pt idx="23">
                  <c:v>3.6980019621420065E-6</c:v>
                </c:pt>
                <c:pt idx="24">
                  <c:v>3.8999492039592652E-6</c:v>
                </c:pt>
                <c:pt idx="25">
                  <c:v>4.0943610556180884E-6</c:v>
                </c:pt>
                <c:pt idx="26">
                  <c:v>4.2853652345620372E-6</c:v>
                </c:pt>
                <c:pt idx="27">
                  <c:v>4.4799577191942026E-6</c:v>
                </c:pt>
                <c:pt idx="28">
                  <c:v>4.6877821612049187E-6</c:v>
                </c:pt>
                <c:pt idx="29">
                  <c:v>4.9209686154205436E-6</c:v>
                </c:pt>
                <c:pt idx="30">
                  <c:v>5.1942479777207014E-6</c:v>
                </c:pt>
                <c:pt idx="31">
                  <c:v>5.5255238261044617E-6</c:v>
                </c:pt>
                <c:pt idx="32">
                  <c:v>5.9370718288917666E-6</c:v>
                </c:pt>
                <c:pt idx="33">
                  <c:v>6.457585857305311E-6</c:v>
                </c:pt>
                <c:pt idx="34">
                  <c:v>7.125426358595723E-6</c:v>
                </c:pt>
                <c:pt idx="35">
                  <c:v>7.9936828559696803E-6</c:v>
                </c:pt>
                <c:pt idx="36">
                  <c:v>9.1380933044574572E-6</c:v>
                </c:pt>
                <c:pt idx="37">
                  <c:v>1.0669548298073474E-5</c:v>
                </c:pt>
                <c:pt idx="38">
                  <c:v>1.2753896131125365E-5</c:v>
                </c:pt>
                <c:pt idx="39">
                  <c:v>1.5642773160295278E-5</c:v>
                </c:pt>
                <c:pt idx="40">
                  <c:v>1.9718378511541859E-5</c:v>
                </c:pt>
                <c:pt idx="41">
                  <c:v>2.5544729269040621E-5</c:v>
                </c:pt>
                <c:pt idx="42">
                  <c:v>3.3871262204192645E-5</c:v>
                </c:pt>
                <c:pt idx="43">
                  <c:v>4.5385262401700832E-5</c:v>
                </c:pt>
                <c:pt idx="44">
                  <c:v>5.9736381412335328E-5</c:v>
                </c:pt>
                <c:pt idx="45">
                  <c:v>7.3694673201872831E-5</c:v>
                </c:pt>
                <c:pt idx="46">
                  <c:v>8.1232455742057385E-5</c:v>
                </c:pt>
                <c:pt idx="47">
                  <c:v>7.9205152497847966E-5</c:v>
                </c:pt>
                <c:pt idx="48">
                  <c:v>7.1057230400988362E-5</c:v>
                </c:pt>
                <c:pt idx="49">
                  <c:v>6.195849395942228E-5</c:v>
                </c:pt>
                <c:pt idx="50">
                  <c:v>5.470291169890692E-5</c:v>
                </c:pt>
                <c:pt idx="51">
                  <c:v>5.0084739357601791E-5</c:v>
                </c:pt>
                <c:pt idx="52">
                  <c:v>4.8232612498346477E-5</c:v>
                </c:pt>
                <c:pt idx="53">
                  <c:v>4.9429952025463872E-5</c:v>
                </c:pt>
                <c:pt idx="54">
                  <c:v>5.4747193403385229E-5</c:v>
                </c:pt>
                <c:pt idx="55">
                  <c:v>6.7419001243500772E-5</c:v>
                </c:pt>
                <c:pt idx="56">
                  <c:v>9.8713885508474409E-5</c:v>
                </c:pt>
                <c:pt idx="57">
                  <c:v>2.1929409409794938E-4</c:v>
                </c:pt>
                <c:pt idx="58">
                  <c:v>-7.6966434954862635E-4</c:v>
                </c:pt>
                <c:pt idx="59">
                  <c:v>-1.4837341097580627E-4</c:v>
                </c:pt>
                <c:pt idx="60">
                  <c:v>-9.0953227567106389E-5</c:v>
                </c:pt>
                <c:pt idx="61">
                  <c:v>-7.5029391945148852E-5</c:v>
                </c:pt>
                <c:pt idx="62">
                  <c:v>-7.6122487338165266E-5</c:v>
                </c:pt>
                <c:pt idx="63">
                  <c:v>-9.9467741642752556E-5</c:v>
                </c:pt>
                <c:pt idx="64">
                  <c:v>-2.4748656838929315E-4</c:v>
                </c:pt>
                <c:pt idx="65">
                  <c:v>2.2001586473649164E-4</c:v>
                </c:pt>
                <c:pt idx="66">
                  <c:v>6.6970494600238184E-5</c:v>
                </c:pt>
                <c:pt idx="67">
                  <c:v>3.8497040912109327E-5</c:v>
                </c:pt>
                <c:pt idx="68">
                  <c:v>2.7560851604509923E-5</c:v>
                </c:pt>
                <c:pt idx="69">
                  <c:v>2.2512600941959982E-5</c:v>
                </c:pt>
                <c:pt idx="70">
                  <c:v>2.0322969495451025E-5</c:v>
                </c:pt>
                <c:pt idx="71">
                  <c:v>1.9969550603777912E-5</c:v>
                </c:pt>
                <c:pt idx="72">
                  <c:v>2.1072091069112128E-5</c:v>
                </c:pt>
                <c:pt idx="73">
                  <c:v>2.3225335332665571E-5</c:v>
                </c:pt>
                <c:pt idx="74">
                  <c:v>2.5029412022500882E-5</c:v>
                </c:pt>
                <c:pt idx="75">
                  <c:v>2.3684534513303473E-5</c:v>
                </c:pt>
                <c:pt idx="76">
                  <c:v>1.8583040602097776E-5</c:v>
                </c:pt>
                <c:pt idx="77">
                  <c:v>1.312046596668607E-5</c:v>
                </c:pt>
                <c:pt idx="78">
                  <c:v>9.5861874684299849E-6</c:v>
                </c:pt>
                <c:pt idx="79">
                  <c:v>8.3608841791990199E-6</c:v>
                </c:pt>
                <c:pt idx="80">
                  <c:v>1.2546870350862929E-5</c:v>
                </c:pt>
                <c:pt idx="81">
                  <c:v>-1.0286992234253248E-5</c:v>
                </c:pt>
                <c:pt idx="82">
                  <c:v>-1.802434086264628E-6</c:v>
                </c:pt>
                <c:pt idx="83">
                  <c:v>-6.5353644859288404E-7</c:v>
                </c:pt>
                <c:pt idx="84">
                  <c:v>-2.9437307714017887E-7</c:v>
                </c:pt>
                <c:pt idx="85">
                  <c:v>-1.4869915723843868E-7</c:v>
                </c:pt>
                <c:pt idx="86">
                  <c:v>-8.0922704272487297E-8</c:v>
                </c:pt>
                <c:pt idx="87">
                  <c:v>-4.6478086245328887E-8</c:v>
                </c:pt>
                <c:pt idx="88">
                  <c:v>-2.7830062423794709E-8</c:v>
                </c:pt>
                <c:pt idx="89">
                  <c:v>-1.7233275017076827E-8</c:v>
                </c:pt>
                <c:pt idx="90">
                  <c:v>-1.0973623857153037E-8</c:v>
                </c:pt>
                <c:pt idx="91">
                  <c:v>-7.1556194279203764E-9</c:v>
                </c:pt>
                <c:pt idx="92">
                  <c:v>-4.7629005008542848E-9</c:v>
                </c:pt>
                <c:pt idx="93">
                  <c:v>-3.227974409465109E-9</c:v>
                </c:pt>
                <c:pt idx="94">
                  <c:v>-2.2230153212818473E-9</c:v>
                </c:pt>
                <c:pt idx="95">
                  <c:v>-1.5530510623918505E-9</c:v>
                </c:pt>
                <c:pt idx="96">
                  <c:v>-1.0991502389526329E-9</c:v>
                </c:pt>
                <c:pt idx="97">
                  <c:v>-7.8713088534292929E-10</c:v>
                </c:pt>
                <c:pt idx="98">
                  <c:v>-5.697967110103043E-10</c:v>
                </c:pt>
                <c:pt idx="99">
                  <c:v>-4.1658159491910044E-10</c:v>
                </c:pt>
                <c:pt idx="100">
                  <c:v>-3.0736896766946511E-10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25-4B40-AB84-E7DB8AEF5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608800"/>
        <c:axId val="1491580960"/>
      </c:scatterChart>
      <c:valAx>
        <c:axId val="1491600640"/>
        <c:scaling>
          <c:orientation val="minMax"/>
          <c:max val="6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i="1"/>
                  <a:t>w</a:t>
                </a:r>
                <a:r>
                  <a:rPr lang="en-US"/>
                  <a:t> [nm]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 alt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491591040"/>
        <c:crosses val="autoZero"/>
        <c:crossBetween val="midCat"/>
      </c:valAx>
      <c:valAx>
        <c:axId val="1491591040"/>
        <c:scaling>
          <c:orientation val="minMax"/>
          <c:max val="1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i="1"/>
                  <a:t>C</a:t>
                </a:r>
                <a:r>
                  <a:rPr lang="en-US"/>
                  <a:t>(</a:t>
                </a:r>
                <a:r>
                  <a:rPr lang="en-US" i="1"/>
                  <a:t>w</a:t>
                </a:r>
                <a:r>
                  <a:rPr lang="en-US"/>
                  <a:t>) [nm]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 alt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491600640"/>
        <c:crosses val="autoZero"/>
        <c:crossBetween val="midCat"/>
      </c:valAx>
      <c:valAx>
        <c:axId val="1491580960"/>
        <c:scaling>
          <c:orientation val="minMax"/>
          <c:max val="2.4000000000000004E-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1/</a:t>
                </a:r>
                <a:r>
                  <a:rPr lang="en-US" i="1"/>
                  <a:t>C</a:t>
                </a:r>
                <a:r>
                  <a:rPr lang="en-US"/>
                  <a:t>(</a:t>
                </a:r>
                <a:r>
                  <a:rPr lang="en-US" i="1"/>
                  <a:t>w</a:t>
                </a:r>
                <a:r>
                  <a:rPr lang="en-US"/>
                  <a:t>) [1/nm]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 alt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491608800"/>
        <c:crosses val="max"/>
        <c:crossBetween val="midCat"/>
        <c:majorUnit val="4.000000000000001E-3"/>
      </c:valAx>
      <c:valAx>
        <c:axId val="1491608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1580960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z(w) [um]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Sheet1!$G$2:$G$217</c:f>
              <c:numCache>
                <c:formatCode>General</c:formatCode>
                <c:ptCount val="216"/>
              </c:numCache>
            </c:numRef>
          </c:xVal>
          <c:yVal>
            <c:numRef>
              <c:f>Sheet1!$A$2:$A$217</c:f>
              <c:numCache>
                <c:formatCode>General</c:formatCode>
                <c:ptCount val="216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  <c:pt idx="30">
                  <c:v>250</c:v>
                </c:pt>
                <c:pt idx="31">
                  <c:v>255</c:v>
                </c:pt>
                <c:pt idx="32">
                  <c:v>260</c:v>
                </c:pt>
                <c:pt idx="33">
                  <c:v>265</c:v>
                </c:pt>
                <c:pt idx="34">
                  <c:v>270</c:v>
                </c:pt>
                <c:pt idx="35">
                  <c:v>275</c:v>
                </c:pt>
                <c:pt idx="36">
                  <c:v>280</c:v>
                </c:pt>
                <c:pt idx="37">
                  <c:v>285</c:v>
                </c:pt>
                <c:pt idx="38">
                  <c:v>290</c:v>
                </c:pt>
                <c:pt idx="39">
                  <c:v>295</c:v>
                </c:pt>
                <c:pt idx="40">
                  <c:v>300</c:v>
                </c:pt>
                <c:pt idx="41">
                  <c:v>305</c:v>
                </c:pt>
                <c:pt idx="42">
                  <c:v>310</c:v>
                </c:pt>
                <c:pt idx="43">
                  <c:v>315</c:v>
                </c:pt>
                <c:pt idx="44">
                  <c:v>320</c:v>
                </c:pt>
                <c:pt idx="45">
                  <c:v>325</c:v>
                </c:pt>
                <c:pt idx="46">
                  <c:v>330</c:v>
                </c:pt>
                <c:pt idx="47">
                  <c:v>335</c:v>
                </c:pt>
                <c:pt idx="48">
                  <c:v>340</c:v>
                </c:pt>
                <c:pt idx="49">
                  <c:v>345</c:v>
                </c:pt>
                <c:pt idx="50">
                  <c:v>350</c:v>
                </c:pt>
                <c:pt idx="51">
                  <c:v>355</c:v>
                </c:pt>
                <c:pt idx="52">
                  <c:v>360</c:v>
                </c:pt>
                <c:pt idx="53">
                  <c:v>365</c:v>
                </c:pt>
                <c:pt idx="54">
                  <c:v>370</c:v>
                </c:pt>
                <c:pt idx="55">
                  <c:v>375</c:v>
                </c:pt>
                <c:pt idx="56">
                  <c:v>380</c:v>
                </c:pt>
                <c:pt idx="57">
                  <c:v>385</c:v>
                </c:pt>
                <c:pt idx="58">
                  <c:v>390</c:v>
                </c:pt>
                <c:pt idx="59">
                  <c:v>395</c:v>
                </c:pt>
                <c:pt idx="60">
                  <c:v>400</c:v>
                </c:pt>
                <c:pt idx="61">
                  <c:v>405</c:v>
                </c:pt>
                <c:pt idx="62">
                  <c:v>410</c:v>
                </c:pt>
                <c:pt idx="63">
                  <c:v>415</c:v>
                </c:pt>
                <c:pt idx="64">
                  <c:v>420</c:v>
                </c:pt>
                <c:pt idx="65">
                  <c:v>425</c:v>
                </c:pt>
                <c:pt idx="66">
                  <c:v>430</c:v>
                </c:pt>
                <c:pt idx="67">
                  <c:v>435</c:v>
                </c:pt>
                <c:pt idx="68">
                  <c:v>440</c:v>
                </c:pt>
                <c:pt idx="69">
                  <c:v>445</c:v>
                </c:pt>
                <c:pt idx="70">
                  <c:v>450</c:v>
                </c:pt>
                <c:pt idx="71">
                  <c:v>455</c:v>
                </c:pt>
                <c:pt idx="72">
                  <c:v>460</c:v>
                </c:pt>
                <c:pt idx="73">
                  <c:v>465</c:v>
                </c:pt>
                <c:pt idx="74">
                  <c:v>470</c:v>
                </c:pt>
                <c:pt idx="75">
                  <c:v>475</c:v>
                </c:pt>
                <c:pt idx="76">
                  <c:v>480</c:v>
                </c:pt>
                <c:pt idx="77">
                  <c:v>485</c:v>
                </c:pt>
                <c:pt idx="78">
                  <c:v>490</c:v>
                </c:pt>
                <c:pt idx="79">
                  <c:v>495</c:v>
                </c:pt>
                <c:pt idx="80">
                  <c:v>500</c:v>
                </c:pt>
                <c:pt idx="81">
                  <c:v>505</c:v>
                </c:pt>
                <c:pt idx="82">
                  <c:v>510</c:v>
                </c:pt>
                <c:pt idx="83">
                  <c:v>515</c:v>
                </c:pt>
                <c:pt idx="84">
                  <c:v>520</c:v>
                </c:pt>
                <c:pt idx="85">
                  <c:v>525</c:v>
                </c:pt>
                <c:pt idx="86">
                  <c:v>530</c:v>
                </c:pt>
                <c:pt idx="87">
                  <c:v>535</c:v>
                </c:pt>
                <c:pt idx="88">
                  <c:v>540</c:v>
                </c:pt>
                <c:pt idx="89">
                  <c:v>545</c:v>
                </c:pt>
                <c:pt idx="90">
                  <c:v>550</c:v>
                </c:pt>
                <c:pt idx="91">
                  <c:v>555</c:v>
                </c:pt>
                <c:pt idx="92">
                  <c:v>560</c:v>
                </c:pt>
                <c:pt idx="93">
                  <c:v>565</c:v>
                </c:pt>
                <c:pt idx="94">
                  <c:v>570</c:v>
                </c:pt>
                <c:pt idx="95">
                  <c:v>575</c:v>
                </c:pt>
                <c:pt idx="96">
                  <c:v>580</c:v>
                </c:pt>
                <c:pt idx="97">
                  <c:v>585</c:v>
                </c:pt>
                <c:pt idx="98">
                  <c:v>590</c:v>
                </c:pt>
                <c:pt idx="99">
                  <c:v>595</c:v>
                </c:pt>
                <c:pt idx="100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9-459F-A6C3-649166EE3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600640"/>
        <c:axId val="1491591040"/>
      </c:scatterChart>
      <c:valAx>
        <c:axId val="1491600640"/>
        <c:scaling>
          <c:orientation val="minMax"/>
          <c:max val="3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i="1"/>
                  <a:t>z</a:t>
                </a:r>
                <a:r>
                  <a:rPr lang="en-US"/>
                  <a:t>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 alt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491591040"/>
        <c:crosses val="autoZero"/>
        <c:crossBetween val="midCat"/>
      </c:valAx>
      <c:valAx>
        <c:axId val="1491591040"/>
        <c:scaling>
          <c:orientation val="minMax"/>
          <c:max val="6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i="0"/>
                  <a:t>Si taper width</a:t>
                </a:r>
                <a:r>
                  <a:rPr lang="en-US"/>
                  <a:t> [nm]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 alt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491600640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16</xdr:col>
      <xdr:colOff>403140</xdr:colOff>
      <xdr:row>16</xdr:row>
      <xdr:rowOff>171000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45A7D4B-E15A-4D2C-9065-A208D24A1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17</xdr:row>
      <xdr:rowOff>0</xdr:rowOff>
    </xdr:from>
    <xdr:to>
      <xdr:col>16</xdr:col>
      <xdr:colOff>399330</xdr:colOff>
      <xdr:row>32</xdr:row>
      <xdr:rowOff>174810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41E8129-D40C-4062-BC40-8C4BCD2804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2">
          <cell r="A2">
            <v>300</v>
          </cell>
          <cell r="B2">
            <v>63542.4182424385</v>
          </cell>
          <cell r="K2">
            <v>65233.590306154452</v>
          </cell>
        </row>
        <row r="3">
          <cell r="A3">
            <v>305</v>
          </cell>
          <cell r="B3">
            <v>56418.826471081098</v>
          </cell>
          <cell r="K3">
            <v>56675.823719380423</v>
          </cell>
        </row>
        <row r="4">
          <cell r="A4">
            <v>310</v>
          </cell>
          <cell r="B4">
            <v>49408.121563336797</v>
          </cell>
          <cell r="K4">
            <v>48860.416258613579</v>
          </cell>
        </row>
        <row r="5">
          <cell r="A5">
            <v>315</v>
          </cell>
          <cell r="B5">
            <v>42749.803623991698</v>
          </cell>
          <cell r="K5">
            <v>41748.980419838801</v>
          </cell>
        </row>
        <row r="6">
          <cell r="A6">
            <v>320</v>
          </cell>
          <cell r="B6">
            <v>36767.217376675202</v>
          </cell>
          <cell r="K6">
            <v>35305.172970510088</v>
          </cell>
        </row>
        <row r="7">
          <cell r="A7">
            <v>325</v>
          </cell>
          <cell r="B7">
            <v>31439.996933877399</v>
          </cell>
          <cell r="K7">
            <v>29494.694949549623</v>
          </cell>
        </row>
        <row r="8">
          <cell r="A8">
            <v>330</v>
          </cell>
          <cell r="B8">
            <v>26292.686812898399</v>
          </cell>
          <cell r="K8">
            <v>24285.291667335667</v>
          </cell>
        </row>
        <row r="9">
          <cell r="A9">
            <v>335</v>
          </cell>
          <cell r="B9">
            <v>21286.1685573014</v>
          </cell>
          <cell r="K9">
            <v>19646.752705714665</v>
          </cell>
        </row>
        <row r="10">
          <cell r="A10">
            <v>340</v>
          </cell>
          <cell r="B10">
            <v>15146.907052042299</v>
          </cell>
          <cell r="K10">
            <v>15550.911917996593</v>
          </cell>
        </row>
        <row r="11">
          <cell r="A11">
            <v>345</v>
          </cell>
          <cell r="B11">
            <v>4102.6996093359103</v>
          </cell>
          <cell r="K11">
            <v>11971.647428953089</v>
          </cell>
        </row>
        <row r="12">
          <cell r="A12">
            <v>350</v>
          </cell>
          <cell r="B12">
            <v>2985.8612337347499</v>
          </cell>
          <cell r="K12">
            <v>8884.8816348193213</v>
          </cell>
        </row>
        <row r="13">
          <cell r="A13">
            <v>355</v>
          </cell>
          <cell r="B13">
            <v>7670.2591165224303</v>
          </cell>
          <cell r="K13">
            <v>6268.5812033032998</v>
          </cell>
        </row>
        <row r="14">
          <cell r="A14">
            <v>360</v>
          </cell>
          <cell r="B14">
            <v>5891.3622341282498</v>
          </cell>
          <cell r="K14">
            <v>4102.7570735709742</v>
          </cell>
        </row>
        <row r="15">
          <cell r="A15">
            <v>365</v>
          </cell>
          <cell r="B15">
            <v>3966.9646225360998</v>
          </cell>
          <cell r="K15">
            <v>2369.4644562425092</v>
          </cell>
        </row>
        <row r="16">
          <cell r="A16">
            <v>370</v>
          </cell>
          <cell r="B16">
            <v>2391.5341961355002</v>
          </cell>
          <cell r="K16">
            <v>1052.8028334183618</v>
          </cell>
        </row>
        <row r="17">
          <cell r="A17">
            <v>375</v>
          </cell>
          <cell r="B17">
            <v>1212.3588278045399</v>
          </cell>
          <cell r="K17">
            <v>138.9159586513415</v>
          </cell>
        </row>
        <row r="18">
          <cell r="A18">
            <v>380</v>
          </cell>
          <cell r="B18">
            <v>429.57118329654998</v>
          </cell>
          <cell r="K18">
            <v>-384.0081430291757</v>
          </cell>
        </row>
        <row r="19">
          <cell r="A19">
            <v>385</v>
          </cell>
          <cell r="B19">
            <v>56.926878081228701</v>
          </cell>
          <cell r="K19">
            <v>-525.73717514704913</v>
          </cell>
        </row>
        <row r="20">
          <cell r="A20">
            <v>390</v>
          </cell>
          <cell r="B20">
            <v>61.938275927711402</v>
          </cell>
          <cell r="K20">
            <v>-293.99456974770874</v>
          </cell>
        </row>
        <row r="21">
          <cell r="A21">
            <v>395</v>
          </cell>
          <cell r="B21">
            <v>448.379025867243</v>
          </cell>
          <cell r="K21">
            <v>305.54051257763058</v>
          </cell>
        </row>
        <row r="22">
          <cell r="A22">
            <v>400</v>
          </cell>
          <cell r="B22">
            <v>1244.14091673792</v>
          </cell>
          <cell r="K22">
            <v>1269.2331827105954</v>
          </cell>
        </row>
        <row r="23">
          <cell r="A23">
            <v>405</v>
          </cell>
          <cell r="B23">
            <v>2432.8853474061898</v>
          </cell>
          <cell r="K23">
            <v>2595.4928229907528</v>
          </cell>
        </row>
        <row r="24">
          <cell r="A24">
            <v>410</v>
          </cell>
          <cell r="B24">
            <v>4017.79353433899</v>
          </cell>
          <cell r="K24">
            <v>4284.7730872193351</v>
          </cell>
        </row>
        <row r="25">
          <cell r="A25">
            <v>415</v>
          </cell>
          <cell r="B25">
            <v>5991.4723726878501</v>
          </cell>
          <cell r="K25">
            <v>6339.5719006722793</v>
          </cell>
        </row>
        <row r="26">
          <cell r="A26">
            <v>420</v>
          </cell>
          <cell r="B26">
            <v>8397.9477488712291</v>
          </cell>
          <cell r="K26">
            <v>8764.4314600741491</v>
          </cell>
        </row>
        <row r="27">
          <cell r="A27">
            <v>425</v>
          </cell>
          <cell r="B27">
            <v>11219.0168002173</v>
          </cell>
          <cell r="K27">
            <v>11565.9382336298</v>
          </cell>
        </row>
        <row r="28">
          <cell r="A28">
            <v>430</v>
          </cell>
          <cell r="B28">
            <v>14452.7059860725</v>
          </cell>
          <cell r="K28">
            <v>14752.722960994579</v>
          </cell>
        </row>
        <row r="29">
          <cell r="A29">
            <v>435</v>
          </cell>
          <cell r="B29">
            <v>18089.4168485273</v>
          </cell>
          <cell r="K29">
            <v>18335.460653296672</v>
          </cell>
        </row>
        <row r="30">
          <cell r="A30">
            <v>440</v>
          </cell>
          <cell r="B30">
            <v>22186.713533403501</v>
          </cell>
          <cell r="K30">
            <v>22326.870593122207</v>
          </cell>
        </row>
        <row r="31">
          <cell r="A31">
            <v>445</v>
          </cell>
          <cell r="B31">
            <v>26727.052264669899</v>
          </cell>
          <cell r="K31">
            <v>26741.716334526427</v>
          </cell>
        </row>
        <row r="32">
          <cell r="A32">
            <v>450</v>
          </cell>
          <cell r="B32">
            <v>31719.623684595899</v>
          </cell>
          <cell r="K32">
            <v>31596.805703016929</v>
          </cell>
        </row>
        <row r="33">
          <cell r="A33">
            <v>455</v>
          </cell>
          <cell r="B33">
            <v>37133.542027937598</v>
          </cell>
          <cell r="K33">
            <v>36910.990795590915</v>
          </cell>
        </row>
        <row r="34">
          <cell r="A34">
            <v>460</v>
          </cell>
          <cell r="B34">
            <v>42961.251651113802</v>
          </cell>
          <cell r="K34">
            <v>42705.167980679311</v>
          </cell>
        </row>
        <row r="35">
          <cell r="A35">
            <v>465</v>
          </cell>
          <cell r="B35">
            <v>49202.375119469099</v>
          </cell>
          <cell r="K35">
            <v>49002.277898198925</v>
          </cell>
        </row>
        <row r="36">
          <cell r="A36">
            <v>470</v>
          </cell>
          <cell r="B36">
            <v>55909.9181445746</v>
          </cell>
          <cell r="K36">
            <v>55827.305459515192</v>
          </cell>
        </row>
        <row r="37">
          <cell r="A37">
            <v>475</v>
          </cell>
          <cell r="B37">
            <v>62962.667224693498</v>
          </cell>
          <cell r="K37">
            <v>63207.279847470112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94102-893D-4274-AA67-0B6B5DF7EDDD}">
  <sheetPr codeName="Sheet1"/>
  <dimension ref="A1:AP102"/>
  <sheetViews>
    <sheetView tabSelected="1" zoomScale="80" zoomScaleNormal="80" workbookViewId="0">
      <selection activeCell="B2" sqref="B2"/>
    </sheetView>
  </sheetViews>
  <sheetFormatPr defaultRowHeight="18" x14ac:dyDescent="0.45"/>
  <cols>
    <col min="2" max="2" width="11.69921875" bestFit="1" customWidth="1"/>
    <col min="3" max="3" width="14.5" bestFit="1" customWidth="1"/>
    <col min="21" max="21" width="8.796875" customWidth="1"/>
    <col min="26" max="26" width="14.5" bestFit="1" customWidth="1"/>
  </cols>
  <sheetData>
    <row r="1" spans="1:4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S1" t="s">
        <v>42</v>
      </c>
      <c r="T1" t="s">
        <v>43</v>
      </c>
      <c r="V1" t="s">
        <v>0</v>
      </c>
      <c r="W1" t="s">
        <v>41</v>
      </c>
      <c r="X1" t="s">
        <v>44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</row>
    <row r="2" spans="1:42" x14ac:dyDescent="0.45">
      <c r="A2">
        <v>100</v>
      </c>
      <c r="B2">
        <f ca="1">$U$2*($A2)^$S$2+$U$3*($A2)^$S$3+$U$4*($A2)^$S$4+$U$5*($A2)^$S$5+$U$6*($A2)^$S$6+$U$7*($A2)^$S$7+$U$8*($A2)^$S$8+$U$9*($A2)^$S$9+$U$10*($A2)^$S$10+$U$11*($A2)^$S$11+$U$12*($A2)^$S$12+$U$13*($A2)^$S$13+$U$14*($A2)^$S$14+$U$15*($A2)^$S$15+$U$16*($A2)^$S$16+$U$17*($A2)^$S$17+$U$18*($A2)^$S$18</f>
        <v>1070551.9592863298</v>
      </c>
      <c r="C2">
        <f ca="1">1/$B2</f>
        <v>9.3409758519954286E-7</v>
      </c>
      <c r="R2" t="s">
        <v>24</v>
      </c>
      <c r="S2">
        <v>16</v>
      </c>
      <c r="T2" t="s">
        <v>7</v>
      </c>
      <c r="U2" s="1" cm="1">
        <f t="array" aca="1" ref="U2" ca="1">INDIRECT(ADDRESS(3,MATCH($R2,$1:$1,0),4))</f>
        <v>-1.3103548503091001E-31</v>
      </c>
      <c r="V2">
        <v>100</v>
      </c>
      <c r="W2">
        <v>1181481.05194242</v>
      </c>
      <c r="X2">
        <v>8.4639529204124302E-7</v>
      </c>
      <c r="Z2" t="s">
        <v>7</v>
      </c>
      <c r="AA2" t="s">
        <v>8</v>
      </c>
      <c r="AB2" t="s">
        <v>9</v>
      </c>
      <c r="AC2" t="s">
        <v>10</v>
      </c>
      <c r="AD2" t="s">
        <v>11</v>
      </c>
      <c r="AE2" t="s">
        <v>12</v>
      </c>
      <c r="AF2" t="s">
        <v>13</v>
      </c>
      <c r="AG2" t="s">
        <v>14</v>
      </c>
      <c r="AH2" t="s">
        <v>15</v>
      </c>
      <c r="AI2" t="s">
        <v>16</v>
      </c>
      <c r="AJ2" t="s">
        <v>17</v>
      </c>
      <c r="AK2" t="s">
        <v>18</v>
      </c>
      <c r="AL2" t="s">
        <v>19</v>
      </c>
      <c r="AM2" t="s">
        <v>20</v>
      </c>
      <c r="AN2" t="s">
        <v>21</v>
      </c>
      <c r="AO2" t="s">
        <v>22</v>
      </c>
      <c r="AP2" t="s">
        <v>23</v>
      </c>
    </row>
    <row r="3" spans="1:42" x14ac:dyDescent="0.45">
      <c r="A3">
        <v>105</v>
      </c>
      <c r="B3">
        <f t="shared" ref="B3:B66" ca="1" si="0">$U$2*($A3)^$S$2+$U$3*($A3)^$S$3+$U$4*($A3)^$S$4+$U$5*($A3)^$S$5+$U$6*($A3)^$S$6+$U$7*($A3)^$S$7+$U$8*($A3)^$S$8+$U$9*($A3)^$S$9+$U$10*($A3)^$S$10+$U$11*($A3)^$S$11+$U$12*($A3)^$S$12+$U$13*($A3)^$S$13+$U$14*($A3)^$S$14+$U$15*($A3)^$S$15+$U$16*($A3)^$S$16+$U$17*($A3)^$S$17+$U$18*($A3)^$S$18</f>
        <v>1049881.0016939186</v>
      </c>
      <c r="C3">
        <f t="shared" ref="C3:C66" ca="1" si="1">1/$B3</f>
        <v>9.524888995862972E-7</v>
      </c>
      <c r="R3" t="s">
        <v>25</v>
      </c>
      <c r="S3">
        <v>15</v>
      </c>
      <c r="T3" t="s">
        <v>8</v>
      </c>
      <c r="U3" s="1" cm="1">
        <f t="array" aca="1" ref="U3" ca="1">INDIRECT(ADDRESS(3,MATCH($R3,$1:$1,0),4))</f>
        <v>4.174354272304556E-28</v>
      </c>
      <c r="V3">
        <v>105</v>
      </c>
      <c r="W3">
        <v>1128638.96429371</v>
      </c>
      <c r="X3">
        <v>8.8602292817861799E-7</v>
      </c>
      <c r="Z3" cm="1">
        <f t="array" ref="Z3">INDEX(LINEST($W$2:$W$82,$V$2:$V$82^{1,2,3,4,5,6,7,8,9,10,11,12,13,14,15,16}),1,COLUMN(Z$1)-COLUMN($Z$1)+1)</f>
        <v>-1.3103548503091001E-31</v>
      </c>
      <c r="AA3" cm="1">
        <f t="array" ref="AA3">INDEX(LINEST($W$2:$W$82,$V$2:$V$82^{1,2,3,4,5,6,7,8,9,10,11,12,13,14,15,16}),1,COLUMN(AA$1)-COLUMN($Z$1)+1)</f>
        <v>4.174354272304556E-28</v>
      </c>
      <c r="AB3" cm="1">
        <f t="array" ref="AB3">INDEX(LINEST($W$2:$W$82,$V$2:$V$82^{1,2,3,4,5,6,7,8,9,10,11,12,13,14,15,16}),1,COLUMN(AB$1)-COLUMN($Z$1)+1)</f>
        <v>-5.7908108086962298E-25</v>
      </c>
      <c r="AC3" cm="1">
        <f t="array" ref="AC3">INDEX(LINEST($W$2:$W$82,$V$2:$V$82^{1,2,3,4,5,6,7,8,9,10,11,12,13,14,15,16}),1,COLUMN(AC$1)-COLUMN($Z$1)+1)</f>
        <v>4.5700799209140983E-22</v>
      </c>
      <c r="AD3" cm="1">
        <f t="array" ref="AD3">INDEX(LINEST($W$2:$W$82,$V$2:$V$82^{1,2,3,4,5,6,7,8,9,10,11,12,13,14,15,16}),1,COLUMN(AD$1)-COLUMN($Z$1)+1)</f>
        <v>-2.2451037127465067E-19</v>
      </c>
      <c r="AE3" cm="1">
        <f t="array" ref="AE3">INDEX(LINEST($W$2:$W$82,$V$2:$V$82^{1,2,3,4,5,6,7,8,9,10,11,12,13,14,15,16}),1,COLUMN(AE$1)-COLUMN($Z$1)+1)</f>
        <v>7.0349737242318558E-17</v>
      </c>
      <c r="AF3" cm="1">
        <f t="array" ref="AF3">INDEX(LINEST($W$2:$W$82,$V$2:$V$82^{1,2,3,4,5,6,7,8,9,10,11,12,13,14,15,16}),1,COLUMN(AF$1)-COLUMN($Z$1)+1)</f>
        <v>-1.3745140795314123E-14</v>
      </c>
      <c r="AG3" cm="1">
        <f t="array" ref="AG3">INDEX(LINEST($W$2:$W$82,$V$2:$V$82^{1,2,3,4,5,6,7,8,9,10,11,12,13,14,15,16}),1,COLUMN(AG$1)-COLUMN($Z$1)+1)</f>
        <v>1.5334463143534462E-12</v>
      </c>
      <c r="AH3" cm="1">
        <f t="array" ref="AH3">INDEX(LINEST($W$2:$W$82,$V$2:$V$82^{1,2,3,4,5,6,7,8,9,10,11,12,13,14,15,16}),1,COLUMN(AH$1)-COLUMN($Z$1)+1)</f>
        <v>-7.4971957035208322E-11</v>
      </c>
      <c r="AI3" cm="1">
        <f t="array" ref="AI3">INDEX(LINEST($W$2:$W$82,$V$2:$V$82^{1,2,3,4,5,6,7,8,9,10,11,12,13,14,15,16}),1,COLUMN(AI$1)-COLUMN($Z$1)+1)</f>
        <v>0</v>
      </c>
      <c r="AJ3" cm="1">
        <f t="array" ref="AJ3">INDEX(LINEST($W$2:$W$82,$V$2:$V$82^{1,2,3,4,5,6,7,8,9,10,11,12,13,14,15,16}),1,COLUMN(AJ$1)-COLUMN($Z$1)+1)</f>
        <v>0</v>
      </c>
      <c r="AK3" cm="1">
        <f t="array" ref="AK3">INDEX(LINEST($W$2:$W$82,$V$2:$V$82^{1,2,3,4,5,6,7,8,9,10,11,12,13,14,15,16}),1,COLUMN(AK$1)-COLUMN($Z$1)+1)</f>
        <v>0</v>
      </c>
      <c r="AL3" cm="1">
        <f t="array" ref="AL3">INDEX(LINEST($W$2:$W$82,$V$2:$V$82^{1,2,3,4,5,6,7,8,9,10,11,12,13,14,15,16}),1,COLUMN(AL$1)-COLUMN($Z$1)+1)</f>
        <v>0</v>
      </c>
      <c r="AM3" cm="1">
        <f t="array" ref="AM3">INDEX(LINEST($W$2:$W$82,$V$2:$V$82^{1,2,3,4,5,6,7,8,9,10,11,12,13,14,15,16}),1,COLUMN(AM$1)-COLUMN($Z$1)+1)</f>
        <v>0</v>
      </c>
      <c r="AN3" cm="1">
        <f t="array" ref="AN3">INDEX(LINEST($W$2:$W$82,$V$2:$V$82^{1,2,3,4,5,6,7,8,9,10,11,12,13,14,15,16}),1,COLUMN(AN$1)-COLUMN($Z$1)+1)</f>
        <v>0</v>
      </c>
      <c r="AO3" cm="1">
        <f t="array" ref="AO3">INDEX(LINEST($W$2:$W$82,$V$2:$V$82^{1,2,3,4,5,6,7,8,9,10,11,12,13,14,15,16}),1,COLUMN(AO$1)-COLUMN($Z$1)+1)</f>
        <v>0</v>
      </c>
      <c r="AP3" cm="1">
        <f t="array" ref="AP3">INDEX(LINEST($W$2:$W$82,$V$2:$V$82^{1,2,3,4,5,6,7,8,9,10,11,12,13,14,15,16}),1,COLUMN(AP$1)-COLUMN($Z$1)+1)</f>
        <v>1142037.9733886719</v>
      </c>
    </row>
    <row r="4" spans="1:42" x14ac:dyDescent="0.45">
      <c r="A4">
        <v>110</v>
      </c>
      <c r="B4">
        <f t="shared" ca="1" si="0"/>
        <v>1025613.0238469457</v>
      </c>
      <c r="C4">
        <f t="shared" ca="1" si="1"/>
        <v>9.7502661993226784E-7</v>
      </c>
      <c r="R4" t="s">
        <v>26</v>
      </c>
      <c r="S4">
        <v>14</v>
      </c>
      <c r="T4" t="s">
        <v>9</v>
      </c>
      <c r="U4" s="1" cm="1">
        <f t="array" aca="1" ref="U4" ca="1">INDIRECT(ADDRESS(3,MATCH($R4,$1:$1,0),4))</f>
        <v>-5.7908108086962298E-25</v>
      </c>
      <c r="V4">
        <v>110</v>
      </c>
      <c r="W4">
        <v>1065290.08062087</v>
      </c>
      <c r="X4">
        <v>9.3871145351994095E-7</v>
      </c>
      <c r="Z4" cm="1">
        <f t="array" ref="Z4:AP8">LINEST($W$2:$W$82,$V$2:$V$82^{1,2,3,4,5,6,7,8,9,10,11,12,13,14,15,16},TRUE,TRUE)</f>
        <v>-1.3103548503091001E-31</v>
      </c>
      <c r="AA4">
        <v>4.174354272304556E-28</v>
      </c>
      <c r="AB4">
        <v>-5.7908108086962298E-25</v>
      </c>
      <c r="AC4">
        <v>4.5700799209140983E-22</v>
      </c>
      <c r="AD4">
        <v>-2.2451037127465067E-19</v>
      </c>
      <c r="AE4">
        <v>7.0349737242318558E-17</v>
      </c>
      <c r="AF4">
        <v>-1.3745140795314123E-14</v>
      </c>
      <c r="AG4">
        <v>1.5334463143534462E-12</v>
      </c>
      <c r="AH4">
        <v>-7.4971957035208322E-11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1142037.9733886719</v>
      </c>
    </row>
    <row r="5" spans="1:42" x14ac:dyDescent="0.45">
      <c r="A5">
        <v>115</v>
      </c>
      <c r="B5">
        <f t="shared" ca="1" si="0"/>
        <v>997672.8371158056</v>
      </c>
      <c r="C5">
        <f t="shared" ca="1" si="1"/>
        <v>1.002332591203868E-6</v>
      </c>
      <c r="R5" t="s">
        <v>27</v>
      </c>
      <c r="S5">
        <v>13</v>
      </c>
      <c r="T5" t="s">
        <v>10</v>
      </c>
      <c r="U5" s="1" cm="1">
        <f t="array" aca="1" ref="U5" ca="1">INDIRECT(ADDRESS(3,MATCH($R5,$1:$1,0),4))</f>
        <v>4.5700799209140983E-22</v>
      </c>
      <c r="V5">
        <v>115</v>
      </c>
      <c r="W5">
        <v>999685.24786356697</v>
      </c>
      <c r="X5">
        <v>1.0003148512365301E-6</v>
      </c>
      <c r="Z5">
        <v>1.3159067821601597E-32</v>
      </c>
      <c r="AA5">
        <v>4.0186298519031073E-29</v>
      </c>
      <c r="AB5">
        <v>5.3261408878027003E-26</v>
      </c>
      <c r="AC5">
        <v>4.0002230043200334E-23</v>
      </c>
      <c r="AD5">
        <v>1.8616659602330359E-20</v>
      </c>
      <c r="AE5">
        <v>5.4965760546909676E-18</v>
      </c>
      <c r="AF5">
        <v>1.0054135019752348E-15</v>
      </c>
      <c r="AG5">
        <v>1.0419219129911287E-13</v>
      </c>
      <c r="AH5">
        <v>4.6865332687575653E-12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 t="e">
        <v>#NUM!</v>
      </c>
    </row>
    <row r="6" spans="1:42" x14ac:dyDescent="0.45">
      <c r="A6">
        <v>120</v>
      </c>
      <c r="B6">
        <f t="shared" ca="1" si="0"/>
        <v>966093.04957585083</v>
      </c>
      <c r="C6">
        <f t="shared" ca="1" si="1"/>
        <v>1.0350969820547157E-6</v>
      </c>
      <c r="R6" t="s">
        <v>28</v>
      </c>
      <c r="S6">
        <v>12</v>
      </c>
      <c r="T6" t="s">
        <v>11</v>
      </c>
      <c r="U6" s="1" cm="1">
        <f t="array" aca="1" ref="U6" ca="1">INDIRECT(ADDRESS(3,MATCH($R6,$1:$1,0),4))</f>
        <v>-2.2451037127465067E-19</v>
      </c>
      <c r="V6">
        <v>120</v>
      </c>
      <c r="W6">
        <v>946990.11490206094</v>
      </c>
      <c r="X6">
        <v>1.05597723171948E-6</v>
      </c>
      <c r="Z6">
        <v>0.99332612628195227</v>
      </c>
      <c r="AA6">
        <v>27357.446928471662</v>
      </c>
      <c r="AB6" t="e">
        <v>#N/A</v>
      </c>
      <c r="AC6" t="e">
        <v>#N/A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 t="e">
        <v>#N/A</v>
      </c>
      <c r="AN6" t="e">
        <v>#N/A</v>
      </c>
      <c r="AO6" t="e">
        <v>#N/A</v>
      </c>
      <c r="AP6" t="e">
        <v>#N/A</v>
      </c>
    </row>
    <row r="7" spans="1:42" x14ac:dyDescent="0.45">
      <c r="A7">
        <v>125</v>
      </c>
      <c r="B7">
        <f t="shared" ca="1" si="0"/>
        <v>931021.55728981178</v>
      </c>
      <c r="C7">
        <f t="shared" ca="1" si="1"/>
        <v>1.0740889855558052E-6</v>
      </c>
      <c r="R7" t="s">
        <v>29</v>
      </c>
      <c r="S7">
        <v>11</v>
      </c>
      <c r="T7" t="s">
        <v>12</v>
      </c>
      <c r="U7" s="1" cm="1">
        <f t="array" aca="1" ref="U7" ca="1">INDIRECT(ADDRESS(3,MATCH($R7,$1:$1,0),4))</f>
        <v>7.0349737242318558E-17</v>
      </c>
      <c r="V7">
        <v>125</v>
      </c>
      <c r="W7">
        <v>902525.85092771205</v>
      </c>
      <c r="X7">
        <v>1.10800150374872E-6</v>
      </c>
      <c r="Z7">
        <v>1174.166574275707</v>
      </c>
      <c r="AA7">
        <v>71</v>
      </c>
      <c r="AB7" t="e">
        <v>#N/A</v>
      </c>
      <c r="AC7" t="e">
        <v>#N/A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 t="e">
        <v>#N/A</v>
      </c>
      <c r="AN7" t="e">
        <v>#N/A</v>
      </c>
      <c r="AO7" t="e">
        <v>#N/A</v>
      </c>
      <c r="AP7" t="e">
        <v>#N/A</v>
      </c>
    </row>
    <row r="8" spans="1:42" x14ac:dyDescent="0.45">
      <c r="A8">
        <v>130</v>
      </c>
      <c r="B8">
        <f t="shared" ca="1" si="0"/>
        <v>892723.63274582289</v>
      </c>
      <c r="C8">
        <f t="shared" ca="1" si="1"/>
        <v>1.1201675001301561E-6</v>
      </c>
      <c r="R8" t="s">
        <v>30</v>
      </c>
      <c r="S8">
        <v>10</v>
      </c>
      <c r="T8" t="s">
        <v>13</v>
      </c>
      <c r="U8" s="1" cm="1">
        <f t="array" aca="1" ref="U8" ca="1">INDIRECT(ADDRESS(3,MATCH($R8,$1:$1,0),4))</f>
        <v>-1.3745140795314123E-14</v>
      </c>
      <c r="V8">
        <v>130</v>
      </c>
      <c r="W8">
        <v>850915.835214008</v>
      </c>
      <c r="X8">
        <v>1.1752043605446499E-6</v>
      </c>
      <c r="Z8">
        <v>7909032371745.0752</v>
      </c>
      <c r="AA8">
        <v>53138523073.534195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 t="e">
        <v>#N/A</v>
      </c>
      <c r="AN8" t="e">
        <v>#N/A</v>
      </c>
      <c r="AO8" t="e">
        <v>#N/A</v>
      </c>
      <c r="AP8" t="e">
        <v>#N/A</v>
      </c>
    </row>
    <row r="9" spans="1:42" x14ac:dyDescent="0.45">
      <c r="A9">
        <v>135</v>
      </c>
      <c r="B9">
        <f t="shared" ca="1" si="0"/>
        <v>851578.26221563388</v>
      </c>
      <c r="C9">
        <f t="shared" ca="1" si="1"/>
        <v>1.1742901907784763E-6</v>
      </c>
      <c r="R9" t="s">
        <v>31</v>
      </c>
      <c r="S9">
        <v>9</v>
      </c>
      <c r="T9" t="s">
        <v>14</v>
      </c>
      <c r="U9" s="1" cm="1">
        <f t="array" aca="1" ref="U9" ca="1">INDIRECT(ADDRESS(3,MATCH($R9,$1:$1,0),4))</f>
        <v>1.5334463143534462E-12</v>
      </c>
      <c r="V9">
        <v>135</v>
      </c>
      <c r="W9">
        <v>797468.79553797899</v>
      </c>
      <c r="X9">
        <v>1.253967560355E-6</v>
      </c>
    </row>
    <row r="10" spans="1:42" x14ac:dyDescent="0.45">
      <c r="A10">
        <v>140</v>
      </c>
      <c r="B10">
        <f t="shared" ca="1" si="0"/>
        <v>808068.70693741553</v>
      </c>
      <c r="C10">
        <f t="shared" ca="1" si="1"/>
        <v>1.2375185320441439E-6</v>
      </c>
      <c r="R10" t="s">
        <v>32</v>
      </c>
      <c r="S10">
        <v>8</v>
      </c>
      <c r="T10" t="s">
        <v>15</v>
      </c>
      <c r="U10" s="1" cm="1">
        <f t="array" aca="1" ref="U10" ca="1">INDIRECT(ADDRESS(3,MATCH($R10,$1:$1,0),4))</f>
        <v>-7.4971957035208322E-11</v>
      </c>
      <c r="V10">
        <v>140</v>
      </c>
      <c r="W10">
        <v>753075.23329090304</v>
      </c>
      <c r="X10">
        <v>1.3278885771213599E-6</v>
      </c>
    </row>
    <row r="11" spans="1:42" x14ac:dyDescent="0.45">
      <c r="A11">
        <v>145</v>
      </c>
      <c r="B11">
        <f t="shared" ca="1" si="0"/>
        <v>762767.58907648921</v>
      </c>
      <c r="C11">
        <f t="shared" ca="1" si="1"/>
        <v>1.3110153267140476E-6</v>
      </c>
      <c r="R11" t="s">
        <v>33</v>
      </c>
      <c r="S11">
        <v>7</v>
      </c>
      <c r="T11" t="s">
        <v>16</v>
      </c>
      <c r="U11" s="1" cm="1">
        <f t="array" aca="1" ref="U11" ca="1">INDIRECT(ADDRESS(3,MATCH($R11,$1:$1,0),4))</f>
        <v>0</v>
      </c>
      <c r="V11">
        <v>145</v>
      </c>
      <c r="W11">
        <v>716145.692459938</v>
      </c>
      <c r="X11">
        <v>1.3963639110430599E-6</v>
      </c>
    </row>
    <row r="12" spans="1:42" x14ac:dyDescent="0.45">
      <c r="A12">
        <v>150</v>
      </c>
      <c r="B12">
        <f t="shared" ca="1" si="0"/>
        <v>716317.11414487287</v>
      </c>
      <c r="C12">
        <f t="shared" ca="1" si="1"/>
        <v>1.3960297475145249E-6</v>
      </c>
      <c r="R12" t="s">
        <v>34</v>
      </c>
      <c r="S12">
        <v>6</v>
      </c>
      <c r="T12" t="s">
        <v>17</v>
      </c>
      <c r="U12" s="1" cm="1">
        <f t="array" aca="1" ref="U12" ca="1">INDIRECT(ADDRESS(3,MATCH($R12,$1:$1,0),4))</f>
        <v>0</v>
      </c>
      <c r="V12">
        <v>150</v>
      </c>
      <c r="W12">
        <v>674406.147888712</v>
      </c>
      <c r="X12">
        <v>1.4827860082986899E-6</v>
      </c>
    </row>
    <row r="13" spans="1:42" x14ac:dyDescent="0.45">
      <c r="A13">
        <v>155</v>
      </c>
      <c r="B13">
        <f t="shared" ca="1" si="0"/>
        <v>669405.32011039555</v>
      </c>
      <c r="C13">
        <f t="shared" ca="1" si="1"/>
        <v>1.4938632394422621E-6</v>
      </c>
      <c r="R13" t="s">
        <v>35</v>
      </c>
      <c r="S13">
        <v>5</v>
      </c>
      <c r="T13" t="s">
        <v>18</v>
      </c>
      <c r="U13" s="1" cm="1">
        <f t="array" aca="1" ref="U13" ca="1">INDIRECT(ADDRESS(3,MATCH($R13,$1:$1,0),4))</f>
        <v>0</v>
      </c>
      <c r="V13">
        <v>155</v>
      </c>
      <c r="W13">
        <v>631105.43786482303</v>
      </c>
      <c r="X13">
        <v>1.5845212859886499E-6</v>
      </c>
    </row>
    <row r="14" spans="1:42" x14ac:dyDescent="0.45">
      <c r="A14">
        <v>160</v>
      </c>
      <c r="B14">
        <f t="shared" ca="1" si="0"/>
        <v>622739.47505878657</v>
      </c>
      <c r="C14">
        <f t="shared" ca="1" si="1"/>
        <v>1.6058079502758358E-6</v>
      </c>
      <c r="R14" t="s">
        <v>36</v>
      </c>
      <c r="S14">
        <v>4</v>
      </c>
      <c r="T14" t="s">
        <v>19</v>
      </c>
      <c r="U14" s="1" cm="1">
        <f t="array" aca="1" ref="U14" ca="1">INDIRECT(ADDRESS(3,MATCH($R14,$1:$1,0),4))</f>
        <v>0</v>
      </c>
      <c r="V14">
        <v>160</v>
      </c>
      <c r="W14">
        <v>594318.91683871101</v>
      </c>
      <c r="X14">
        <v>1.6825983014627501E-6</v>
      </c>
    </row>
    <row r="15" spans="1:42" x14ac:dyDescent="0.45">
      <c r="A15">
        <v>165</v>
      </c>
      <c r="B15">
        <f t="shared" ca="1" si="0"/>
        <v>577017.91797464341</v>
      </c>
      <c r="C15">
        <f t="shared" ca="1" si="1"/>
        <v>1.7330484354975336E-6</v>
      </c>
      <c r="R15" t="s">
        <v>37</v>
      </c>
      <c r="S15">
        <v>3</v>
      </c>
      <c r="T15" t="s">
        <v>20</v>
      </c>
      <c r="U15" s="1" cm="1">
        <f t="array" aca="1" ref="U15" ca="1">INDIRECT(ADDRESS(3,MATCH($R15,$1:$1,0),4))</f>
        <v>0</v>
      </c>
      <c r="V15">
        <v>165</v>
      </c>
      <c r="W15">
        <v>563709.38346906297</v>
      </c>
      <c r="X15">
        <v>1.7739637290513199E-6</v>
      </c>
    </row>
    <row r="16" spans="1:42" x14ac:dyDescent="0.45">
      <c r="A16">
        <v>170</v>
      </c>
      <c r="B16">
        <f t="shared" ca="1" si="0"/>
        <v>532901.74214795232</v>
      </c>
      <c r="C16">
        <f t="shared" ca="1" si="1"/>
        <v>1.8765185416158101E-6</v>
      </c>
      <c r="R16" t="s">
        <v>38</v>
      </c>
      <c r="S16">
        <v>2</v>
      </c>
      <c r="T16" t="s">
        <v>21</v>
      </c>
      <c r="U16" s="1" cm="1">
        <f t="array" aca="1" ref="U16" ca="1">INDIRECT(ADDRESS(3,MATCH($R16,$1:$1,0),4))</f>
        <v>0</v>
      </c>
      <c r="V16">
        <v>170</v>
      </c>
      <c r="W16">
        <v>529821.28914967994</v>
      </c>
      <c r="X16">
        <v>1.88742887550803E-6</v>
      </c>
    </row>
    <row r="17" spans="1:24" x14ac:dyDescent="0.45">
      <c r="A17">
        <v>175</v>
      </c>
      <c r="B17">
        <f t="shared" ca="1" si="0"/>
        <v>490987.7525575459</v>
      </c>
      <c r="C17">
        <f t="shared" ca="1" si="1"/>
        <v>2.0367106812563427E-6</v>
      </c>
      <c r="R17" t="s">
        <v>39</v>
      </c>
      <c r="S17">
        <v>1</v>
      </c>
      <c r="T17" t="s">
        <v>22</v>
      </c>
      <c r="U17" s="1" cm="1">
        <f t="array" aca="1" ref="U17" ca="1">INDIRECT(ADDRESS(3,MATCH($R17,$1:$1,0),4))</f>
        <v>0</v>
      </c>
      <c r="V17">
        <v>175</v>
      </c>
      <c r="W17">
        <v>494741.29348496598</v>
      </c>
      <c r="X17">
        <v>2.0212584095335599E-6</v>
      </c>
    </row>
    <row r="18" spans="1:24" x14ac:dyDescent="0.45">
      <c r="A18">
        <v>180</v>
      </c>
      <c r="B18">
        <f t="shared" ca="1" si="0"/>
        <v>451784.08562807739</v>
      </c>
      <c r="C18">
        <f t="shared" ca="1" si="1"/>
        <v>2.2134467145069625E-6</v>
      </c>
      <c r="R18" t="s">
        <v>40</v>
      </c>
      <c r="S18">
        <v>0</v>
      </c>
      <c r="T18" t="s">
        <v>23</v>
      </c>
      <c r="U18" s="1" cm="1">
        <f t="array" aca="1" ref="U18" ca="1">INDIRECT(ADDRESS(3,MATCH($R18,$1:$1,0),4))</f>
        <v>1142037.9733886719</v>
      </c>
      <c r="V18">
        <v>180</v>
      </c>
      <c r="W18">
        <v>464445.57627073798</v>
      </c>
      <c r="X18">
        <v>2.1531048008455301E-6</v>
      </c>
    </row>
    <row r="19" spans="1:24" x14ac:dyDescent="0.45">
      <c r="A19">
        <v>185</v>
      </c>
      <c r="B19">
        <f t="shared" ca="1" si="0"/>
        <v>415689.7639568001</v>
      </c>
      <c r="C19">
        <f t="shared" ca="1" si="1"/>
        <v>2.4056401833938911E-6</v>
      </c>
      <c r="V19">
        <v>185</v>
      </c>
      <c r="W19">
        <v>439113.99308142002</v>
      </c>
      <c r="X19">
        <v>2.2773129887814301E-6</v>
      </c>
    </row>
    <row r="20" spans="1:24" x14ac:dyDescent="0.45">
      <c r="A20">
        <v>190</v>
      </c>
      <c r="B20">
        <f t="shared" ca="1" si="0"/>
        <v>382979.27539001405</v>
      </c>
      <c r="C20">
        <f t="shared" ca="1" si="1"/>
        <v>2.6111073477321494E-6</v>
      </c>
      <c r="V20">
        <v>190</v>
      </c>
      <c r="W20">
        <v>411511.26864815998</v>
      </c>
      <c r="X20">
        <v>2.4300671116129101E-6</v>
      </c>
    </row>
    <row r="21" spans="1:24" x14ac:dyDescent="0.45">
      <c r="A21">
        <v>195</v>
      </c>
      <c r="B21">
        <f t="shared" ca="1" si="0"/>
        <v>353793.02386203408</v>
      </c>
      <c r="C21">
        <f t="shared" ca="1" si="1"/>
        <v>2.826511357075153E-6</v>
      </c>
      <c r="V21">
        <v>195</v>
      </c>
      <c r="W21">
        <v>383106.44454920001</v>
      </c>
      <c r="X21">
        <v>2.6102406112658701E-6</v>
      </c>
    </row>
    <row r="22" spans="1:24" x14ac:dyDescent="0.45">
      <c r="A22">
        <v>200</v>
      </c>
      <c r="B22">
        <f t="shared" ca="1" si="0"/>
        <v>328134.21016153693</v>
      </c>
      <c r="C22">
        <f t="shared" ca="1" si="1"/>
        <v>3.0475335062068376E-6</v>
      </c>
      <c r="V22">
        <v>200</v>
      </c>
      <c r="W22">
        <v>358279.44160321</v>
      </c>
      <c r="X22">
        <v>2.7911174459947999E-6</v>
      </c>
    </row>
    <row r="23" spans="1:24" x14ac:dyDescent="0.45">
      <c r="A23">
        <v>205</v>
      </c>
      <c r="B23">
        <f t="shared" ca="1" si="0"/>
        <v>305872.37804338336</v>
      </c>
      <c r="C23">
        <f t="shared" ca="1" si="1"/>
        <v>3.2693373831165792E-6</v>
      </c>
      <c r="V23">
        <v>205</v>
      </c>
      <c r="W23">
        <v>337324.50645533198</v>
      </c>
      <c r="X23">
        <v>2.9645044485744101E-6</v>
      </c>
    </row>
    <row r="24" spans="1:24" x14ac:dyDescent="0.45">
      <c r="A24">
        <v>210</v>
      </c>
      <c r="B24">
        <f t="shared" ca="1" si="0"/>
        <v>286753.5203744173</v>
      </c>
      <c r="C24">
        <f t="shared" ca="1" si="1"/>
        <v>3.4873155129683806E-6</v>
      </c>
      <c r="V24">
        <v>210</v>
      </c>
      <c r="W24">
        <v>314821.51416412398</v>
      </c>
      <c r="X24">
        <v>3.1764029934709998E-6</v>
      </c>
    </row>
    <row r="25" spans="1:24" x14ac:dyDescent="0.45">
      <c r="A25">
        <v>215</v>
      </c>
      <c r="B25">
        <f t="shared" ca="1" si="0"/>
        <v>270416.29783797264</v>
      </c>
      <c r="C25">
        <f t="shared" ca="1" si="1"/>
        <v>3.6980019621420065E-6</v>
      </c>
      <c r="V25">
        <v>215</v>
      </c>
      <c r="W25">
        <v>291852.192381976</v>
      </c>
      <c r="X25">
        <v>3.4263919412028799E-6</v>
      </c>
    </row>
    <row r="26" spans="1:24" x14ac:dyDescent="0.45">
      <c r="A26">
        <v>220</v>
      </c>
      <c r="B26">
        <f t="shared" ca="1" si="0"/>
        <v>256413.59610140324</v>
      </c>
      <c r="C26">
        <f t="shared" ca="1" si="1"/>
        <v>3.8999492039592652E-6</v>
      </c>
      <c r="V26">
        <v>220</v>
      </c>
      <c r="W26">
        <v>271612.23924212501</v>
      </c>
      <c r="X26">
        <v>3.6817192140909399E-6</v>
      </c>
    </row>
    <row r="27" spans="1:24" x14ac:dyDescent="0.45">
      <c r="A27">
        <v>225</v>
      </c>
      <c r="B27">
        <f t="shared" ca="1" si="0"/>
        <v>244238.35280179977</v>
      </c>
      <c r="C27">
        <f t="shared" ca="1" si="1"/>
        <v>4.0943610556180884E-6</v>
      </c>
      <c r="V27">
        <v>225</v>
      </c>
      <c r="W27">
        <v>254325.668144011</v>
      </c>
      <c r="X27">
        <v>3.9319664715625601E-6</v>
      </c>
    </row>
    <row r="28" spans="1:24" x14ac:dyDescent="0.45">
      <c r="A28">
        <v>230</v>
      </c>
      <c r="B28">
        <f t="shared" ca="1" si="0"/>
        <v>233352.3387773037</v>
      </c>
      <c r="C28">
        <f t="shared" ca="1" si="1"/>
        <v>4.2853652345620372E-6</v>
      </c>
      <c r="V28">
        <v>230</v>
      </c>
      <c r="W28">
        <v>236024.95931674301</v>
      </c>
      <c r="X28">
        <v>4.2368400481662999E-6</v>
      </c>
    </row>
    <row r="29" spans="1:24" x14ac:dyDescent="0.45">
      <c r="A29">
        <v>235</v>
      </c>
      <c r="B29">
        <f t="shared" ca="1" si="0"/>
        <v>223216.39235913754</v>
      </c>
      <c r="C29">
        <f t="shared" ca="1" si="1"/>
        <v>4.4799577191942026E-6</v>
      </c>
      <c r="V29">
        <v>235</v>
      </c>
      <c r="W29">
        <v>217534.80280009101</v>
      </c>
      <c r="X29">
        <v>4.5969655757519098E-6</v>
      </c>
    </row>
    <row r="30" spans="1:24" x14ac:dyDescent="0.45">
      <c r="A30">
        <v>240</v>
      </c>
      <c r="B30">
        <f t="shared" ca="1" si="0"/>
        <v>213320.49263632298</v>
      </c>
      <c r="C30">
        <f t="shared" ca="1" si="1"/>
        <v>4.6877821612049187E-6</v>
      </c>
      <c r="V30">
        <v>240</v>
      </c>
      <c r="W30">
        <v>201138.77198806001</v>
      </c>
      <c r="X30">
        <v>4.9716918827532496E-6</v>
      </c>
    </row>
    <row r="31" spans="1:24" x14ac:dyDescent="0.45">
      <c r="A31">
        <v>245</v>
      </c>
      <c r="B31">
        <f t="shared" ca="1" si="0"/>
        <v>203212.0255484581</v>
      </c>
      <c r="C31">
        <f t="shared" ca="1" si="1"/>
        <v>4.9209686154205436E-6</v>
      </c>
      <c r="V31">
        <v>245</v>
      </c>
      <c r="W31">
        <v>186965.308962938</v>
      </c>
      <c r="X31">
        <v>5.3485858181221497E-6</v>
      </c>
    </row>
    <row r="32" spans="1:24" x14ac:dyDescent="0.45">
      <c r="A32">
        <v>250</v>
      </c>
      <c r="B32">
        <f t="shared" ca="1" si="0"/>
        <v>192520.65059065819</v>
      </c>
      <c r="C32">
        <f t="shared" ca="1" si="1"/>
        <v>5.1942479777207014E-6</v>
      </c>
      <c r="V32">
        <v>250</v>
      </c>
      <c r="W32">
        <v>172177.86051719301</v>
      </c>
      <c r="X32">
        <v>5.8079476478344397E-6</v>
      </c>
    </row>
    <row r="33" spans="1:24" x14ac:dyDescent="0.45">
      <c r="A33">
        <v>255</v>
      </c>
      <c r="B33">
        <f t="shared" ca="1" si="0"/>
        <v>180978.31653094292</v>
      </c>
      <c r="C33">
        <f t="shared" ca="1" si="1"/>
        <v>5.5255238261044617E-6</v>
      </c>
      <c r="V33">
        <v>255</v>
      </c>
      <c r="W33">
        <v>157417.70210218601</v>
      </c>
      <c r="X33">
        <v>6.3525257111862604E-6</v>
      </c>
    </row>
    <row r="34" spans="1:24" x14ac:dyDescent="0.45">
      <c r="A34">
        <v>260</v>
      </c>
      <c r="B34">
        <f t="shared" ca="1" si="0"/>
        <v>168433.19885969162</v>
      </c>
      <c r="C34">
        <f t="shared" ca="1" si="1"/>
        <v>5.9370718288917666E-6</v>
      </c>
      <c r="V34">
        <v>260</v>
      </c>
      <c r="W34">
        <v>144262.94235346001</v>
      </c>
      <c r="X34">
        <v>6.9317870804955897E-6</v>
      </c>
    </row>
    <row r="35" spans="1:24" x14ac:dyDescent="0.45">
      <c r="A35">
        <v>265</v>
      </c>
      <c r="B35">
        <f t="shared" ca="1" si="0"/>
        <v>154856.63250899315</v>
      </c>
      <c r="C35">
        <f t="shared" ca="1" si="1"/>
        <v>6.457585857305311E-6</v>
      </c>
      <c r="V35">
        <v>265</v>
      </c>
      <c r="W35">
        <v>132762.94641117001</v>
      </c>
      <c r="X35">
        <v>7.5322221073866099E-6</v>
      </c>
    </row>
    <row r="36" spans="1:24" x14ac:dyDescent="0.45">
      <c r="A36">
        <v>270</v>
      </c>
      <c r="B36">
        <f t="shared" ca="1" si="0"/>
        <v>140342.47912669182</v>
      </c>
      <c r="C36">
        <f t="shared" ca="1" si="1"/>
        <v>7.125426358595723E-6</v>
      </c>
      <c r="V36">
        <v>270</v>
      </c>
      <c r="W36">
        <v>120957.56457344499</v>
      </c>
      <c r="X36">
        <v>8.2673622234911704E-6</v>
      </c>
    </row>
    <row r="37" spans="1:24" x14ac:dyDescent="0.45">
      <c r="A37">
        <v>275</v>
      </c>
      <c r="B37">
        <f t="shared" ca="1" si="0"/>
        <v>125098.78337907791</v>
      </c>
      <c r="C37">
        <f t="shared" ca="1" si="1"/>
        <v>7.9936828559696803E-6</v>
      </c>
      <c r="V37">
        <v>275</v>
      </c>
      <c r="W37">
        <v>109336.583129181</v>
      </c>
      <c r="X37">
        <v>9.1460696079966198E-6</v>
      </c>
    </row>
    <row r="38" spans="1:24" x14ac:dyDescent="0.45">
      <c r="A38">
        <v>280</v>
      </c>
      <c r="B38">
        <f t="shared" ca="1" si="0"/>
        <v>109432.0189871788</v>
      </c>
      <c r="C38">
        <f t="shared" ca="1" si="1"/>
        <v>9.1380933044574572E-6</v>
      </c>
      <c r="V38">
        <v>280</v>
      </c>
      <c r="W38">
        <v>98937.942415703495</v>
      </c>
      <c r="X38">
        <v>1.01073458329903E-5</v>
      </c>
    </row>
    <row r="39" spans="1:24" x14ac:dyDescent="0.45">
      <c r="A39">
        <v>285</v>
      </c>
      <c r="B39">
        <f t="shared" ca="1" si="0"/>
        <v>93724.680001735687</v>
      </c>
      <c r="C39">
        <f t="shared" ca="1" si="1"/>
        <v>1.0669548298073474E-5</v>
      </c>
      <c r="V39">
        <v>285</v>
      </c>
      <c r="W39">
        <v>89763.423559545306</v>
      </c>
      <c r="X39">
        <v>1.11403950556391E-5</v>
      </c>
    </row>
    <row r="40" spans="1:24" x14ac:dyDescent="0.45">
      <c r="A40">
        <v>290</v>
      </c>
      <c r="B40">
        <f t="shared" ca="1" si="0"/>
        <v>78407.412897109985</v>
      </c>
      <c r="C40">
        <f t="shared" ca="1" si="1"/>
        <v>1.2753896131125365E-5</v>
      </c>
      <c r="V40">
        <v>290</v>
      </c>
      <c r="W40">
        <v>80522.635354111597</v>
      </c>
      <c r="X40">
        <v>1.24188682548991E-5</v>
      </c>
    </row>
    <row r="41" spans="1:24" x14ac:dyDescent="0.45">
      <c r="A41">
        <v>295</v>
      </c>
      <c r="B41">
        <f t="shared" ca="1" si="0"/>
        <v>63927.283848762512</v>
      </c>
      <c r="C41">
        <f t="shared" ca="1" si="1"/>
        <v>1.5642773160295278E-5</v>
      </c>
      <c r="V41">
        <v>295</v>
      </c>
      <c r="W41">
        <v>71572.536873063902</v>
      </c>
      <c r="X41">
        <v>1.3971839530762001E-5</v>
      </c>
    </row>
    <row r="42" spans="1:24" x14ac:dyDescent="0.45">
      <c r="A42">
        <v>300</v>
      </c>
      <c r="B42">
        <f t="shared" ca="1" si="0"/>
        <v>50714.10914516449</v>
      </c>
      <c r="C42">
        <f t="shared" ca="1" si="1"/>
        <v>1.9718378511541859E-5</v>
      </c>
      <c r="V42">
        <v>300</v>
      </c>
      <c r="W42">
        <v>63542.4182424385</v>
      </c>
      <c r="X42">
        <v>1.5737518773437499E-5</v>
      </c>
    </row>
    <row r="43" spans="1:24" x14ac:dyDescent="0.45">
      <c r="A43">
        <v>305</v>
      </c>
      <c r="B43">
        <f t="shared" ca="1" si="0"/>
        <v>39147.018919944763</v>
      </c>
      <c r="C43">
        <f t="shared" ca="1" si="1"/>
        <v>2.5544729269040621E-5</v>
      </c>
      <c r="V43">
        <v>305</v>
      </c>
      <c r="W43">
        <v>56418.826471081098</v>
      </c>
      <c r="X43">
        <v>1.7724579941636501E-5</v>
      </c>
    </row>
    <row r="44" spans="1:24" x14ac:dyDescent="0.45">
      <c r="A44">
        <v>310</v>
      </c>
      <c r="B44">
        <f t="shared" ca="1" si="0"/>
        <v>29523.552856445313</v>
      </c>
      <c r="C44">
        <f t="shared" ca="1" si="1"/>
        <v>3.3871262204192645E-5</v>
      </c>
      <c r="V44">
        <v>310</v>
      </c>
      <c r="W44">
        <v>49408.121563336797</v>
      </c>
      <c r="X44">
        <v>2.0239587508261899E-5</v>
      </c>
    </row>
    <row r="45" spans="1:24" x14ac:dyDescent="0.45">
      <c r="A45">
        <v>315</v>
      </c>
      <c r="B45">
        <f t="shared" ca="1" si="0"/>
        <v>22033.584187507629</v>
      </c>
      <c r="C45">
        <f t="shared" ca="1" si="1"/>
        <v>4.5385262401700832E-5</v>
      </c>
      <c r="V45">
        <v>315</v>
      </c>
      <c r="W45">
        <v>42749.803623991698</v>
      </c>
      <c r="X45">
        <v>2.33919203184078E-5</v>
      </c>
    </row>
    <row r="46" spans="1:24" x14ac:dyDescent="0.45">
      <c r="A46">
        <v>320</v>
      </c>
      <c r="B46">
        <f t="shared" ca="1" si="0"/>
        <v>16740.217206954956</v>
      </c>
      <c r="C46">
        <f t="shared" ca="1" si="1"/>
        <v>5.9736381412335328E-5</v>
      </c>
      <c r="V46">
        <v>320</v>
      </c>
      <c r="W46">
        <v>36767.217376675202</v>
      </c>
      <c r="X46">
        <v>2.71981420229638E-5</v>
      </c>
    </row>
    <row r="47" spans="1:24" x14ac:dyDescent="0.45">
      <c r="A47">
        <v>325</v>
      </c>
      <c r="B47">
        <f t="shared" ca="1" si="0"/>
        <v>13569.501791000366</v>
      </c>
      <c r="C47">
        <f t="shared" ca="1" si="1"/>
        <v>7.3694673201872831E-5</v>
      </c>
      <c r="V47">
        <v>325</v>
      </c>
      <c r="W47">
        <v>31439.996933877399</v>
      </c>
      <c r="X47">
        <v>3.1806618877957697E-5</v>
      </c>
    </row>
    <row r="48" spans="1:24" x14ac:dyDescent="0.45">
      <c r="A48">
        <v>330</v>
      </c>
      <c r="B48">
        <f t="shared" ca="1" si="0"/>
        <v>12310.350473403931</v>
      </c>
      <c r="C48">
        <f t="shared" ca="1" si="1"/>
        <v>8.1232455742057385E-5</v>
      </c>
      <c r="V48">
        <v>330</v>
      </c>
      <c r="W48">
        <v>26292.686812898399</v>
      </c>
      <c r="X48">
        <v>3.8033389554901899E-5</v>
      </c>
    </row>
    <row r="49" spans="1:24" x14ac:dyDescent="0.45">
      <c r="A49">
        <v>335</v>
      </c>
      <c r="B49">
        <f t="shared" ca="1" si="0"/>
        <v>12625.441255569458</v>
      </c>
      <c r="C49">
        <f t="shared" ca="1" si="1"/>
        <v>7.9205152497847966E-5</v>
      </c>
      <c r="V49">
        <v>335</v>
      </c>
      <c r="W49">
        <v>21286.1685573014</v>
      </c>
      <c r="X49">
        <v>4.69788631668514E-5</v>
      </c>
    </row>
    <row r="50" spans="1:24" x14ac:dyDescent="0.45">
      <c r="A50">
        <v>340</v>
      </c>
      <c r="B50">
        <f t="shared" ca="1" si="0"/>
        <v>14073.163200378418</v>
      </c>
      <c r="C50">
        <f t="shared" ca="1" si="1"/>
        <v>7.1057230400988362E-5</v>
      </c>
      <c r="V50">
        <v>340</v>
      </c>
      <c r="W50">
        <v>15146.907052042299</v>
      </c>
      <c r="X50">
        <v>6.6020078988017795E-5</v>
      </c>
    </row>
    <row r="51" spans="1:24" x14ac:dyDescent="0.45">
      <c r="A51">
        <v>345</v>
      </c>
      <c r="B51">
        <f t="shared" ca="1" si="0"/>
        <v>16139.837108612061</v>
      </c>
      <c r="C51">
        <f t="shared" ca="1" si="1"/>
        <v>6.195849395942228E-5</v>
      </c>
      <c r="V51">
        <v>345</v>
      </c>
      <c r="W51">
        <v>4102.6996093359103</v>
      </c>
      <c r="X51">
        <v>2.4374194925810399E-4</v>
      </c>
    </row>
    <row r="52" spans="1:24" x14ac:dyDescent="0.45">
      <c r="A52">
        <v>350</v>
      </c>
      <c r="B52">
        <f t="shared" ca="1" si="0"/>
        <v>18280.562568664551</v>
      </c>
      <c r="C52">
        <f t="shared" ca="1" si="1"/>
        <v>5.470291169890692E-5</v>
      </c>
      <c r="V52">
        <v>350</v>
      </c>
      <c r="W52">
        <v>2985.8612337347499</v>
      </c>
      <c r="X52">
        <v>3.3491174630014101E-4</v>
      </c>
    </row>
    <row r="53" spans="1:24" x14ac:dyDescent="0.45">
      <c r="A53">
        <v>355</v>
      </c>
      <c r="B53">
        <f t="shared" ca="1" si="0"/>
        <v>19966.161605834961</v>
      </c>
      <c r="C53">
        <f t="shared" ca="1" si="1"/>
        <v>5.0084739357601791E-5</v>
      </c>
      <c r="V53">
        <v>355</v>
      </c>
      <c r="W53">
        <v>7670.2591165224303</v>
      </c>
      <c r="X53">
        <v>1.30373692049843E-4</v>
      </c>
    </row>
    <row r="54" spans="1:24" x14ac:dyDescent="0.45">
      <c r="A54">
        <v>360</v>
      </c>
      <c r="B54">
        <f t="shared" ca="1" si="0"/>
        <v>20732.859951019287</v>
      </c>
      <c r="C54">
        <f t="shared" ca="1" si="1"/>
        <v>4.8232612498346477E-5</v>
      </c>
      <c r="V54">
        <v>360</v>
      </c>
      <c r="W54">
        <v>5891.3622341282498</v>
      </c>
      <c r="X54">
        <v>1.6974002959910801E-4</v>
      </c>
    </row>
    <row r="55" spans="1:24" x14ac:dyDescent="0.45">
      <c r="A55">
        <v>365</v>
      </c>
      <c r="B55">
        <f t="shared" ca="1" si="0"/>
        <v>20230.648807525635</v>
      </c>
      <c r="C55">
        <f t="shared" ca="1" si="1"/>
        <v>4.9429952025463872E-5</v>
      </c>
      <c r="V55">
        <v>365</v>
      </c>
      <c r="W55">
        <v>3966.9646225360998</v>
      </c>
      <c r="X55">
        <v>2.5208190522271198E-4</v>
      </c>
    </row>
    <row r="56" spans="1:24" x14ac:dyDescent="0.45">
      <c r="A56">
        <v>370</v>
      </c>
      <c r="B56">
        <f t="shared" ca="1" si="0"/>
        <v>18265.776523590088</v>
      </c>
      <c r="C56">
        <f t="shared" ca="1" si="1"/>
        <v>5.4747193403385229E-5</v>
      </c>
      <c r="V56">
        <v>370</v>
      </c>
      <c r="W56">
        <v>2391.5341961355002</v>
      </c>
      <c r="X56">
        <v>4.1814162708436498E-4</v>
      </c>
    </row>
    <row r="57" spans="1:24" x14ac:dyDescent="0.45">
      <c r="A57">
        <v>375</v>
      </c>
      <c r="B57">
        <f t="shared" ca="1" si="0"/>
        <v>14832.613677978516</v>
      </c>
      <c r="C57">
        <f t="shared" ca="1" si="1"/>
        <v>6.7419001243500772E-5</v>
      </c>
      <c r="V57">
        <v>375</v>
      </c>
      <c r="W57">
        <v>1212.3588278045399</v>
      </c>
      <c r="X57">
        <v>8.2483830452317398E-4</v>
      </c>
    </row>
    <row r="58" spans="1:24" x14ac:dyDescent="0.45">
      <c r="A58">
        <v>380</v>
      </c>
      <c r="B58">
        <f t="shared" ca="1" si="0"/>
        <v>10130.287090301514</v>
      </c>
      <c r="C58">
        <f t="shared" ca="1" si="1"/>
        <v>9.8713885508474409E-5</v>
      </c>
      <c r="V58">
        <v>380</v>
      </c>
      <c r="W58">
        <v>429.57118329654998</v>
      </c>
      <c r="X58">
        <v>2.3279028921957701E-3</v>
      </c>
    </row>
    <row r="59" spans="1:24" x14ac:dyDescent="0.45">
      <c r="A59">
        <v>385</v>
      </c>
      <c r="B59">
        <f t="shared" ca="1" si="0"/>
        <v>4560.0863265991211</v>
      </c>
      <c r="C59">
        <f t="shared" ca="1" si="1"/>
        <v>2.1929409409794938E-4</v>
      </c>
      <c r="V59">
        <v>385</v>
      </c>
      <c r="W59">
        <v>56.926878081228701</v>
      </c>
      <c r="X59">
        <v>1.7566394534636199E-2</v>
      </c>
    </row>
    <row r="60" spans="1:24" x14ac:dyDescent="0.45">
      <c r="A60">
        <v>390</v>
      </c>
      <c r="B60">
        <f t="shared" ca="1" si="0"/>
        <v>-1299.2676620483398</v>
      </c>
      <c r="C60">
        <f t="shared" ca="1" si="1"/>
        <v>-7.6966434954862635E-4</v>
      </c>
      <c r="V60">
        <v>390</v>
      </c>
      <c r="W60">
        <v>61.938275927711402</v>
      </c>
      <c r="X60">
        <v>1.6145105510639399E-2</v>
      </c>
    </row>
    <row r="61" spans="1:24" x14ac:dyDescent="0.45">
      <c r="A61">
        <v>395</v>
      </c>
      <c r="B61">
        <f t="shared" ca="1" si="0"/>
        <v>-6739.7520446777344</v>
      </c>
      <c r="C61">
        <f t="shared" ca="1" si="1"/>
        <v>-1.4837341097580627E-4</v>
      </c>
      <c r="V61">
        <v>395</v>
      </c>
      <c r="W61">
        <v>448.379025867243</v>
      </c>
      <c r="X61">
        <v>2.2302559716432398E-3</v>
      </c>
    </row>
    <row r="62" spans="1:24" x14ac:dyDescent="0.45">
      <c r="A62">
        <v>400</v>
      </c>
      <c r="B62">
        <f t="shared" ca="1" si="0"/>
        <v>-10994.662055969238</v>
      </c>
      <c r="C62">
        <f t="shared" ca="1" si="1"/>
        <v>-9.0953227567106389E-5</v>
      </c>
      <c r="V62">
        <v>400</v>
      </c>
      <c r="W62">
        <v>1244.14091673792</v>
      </c>
      <c r="X62">
        <v>8.0376747243547902E-4</v>
      </c>
    </row>
    <row r="63" spans="1:24" x14ac:dyDescent="0.45">
      <c r="A63">
        <v>405</v>
      </c>
      <c r="B63">
        <f t="shared" ca="1" si="0"/>
        <v>-13328.110145568848</v>
      </c>
      <c r="C63">
        <f t="shared" ca="1" si="1"/>
        <v>-7.5029391945148852E-5</v>
      </c>
      <c r="V63">
        <v>405</v>
      </c>
      <c r="W63">
        <v>2432.8853474061898</v>
      </c>
      <c r="X63">
        <v>4.1103457713950303E-4</v>
      </c>
    </row>
    <row r="64" spans="1:24" x14ac:dyDescent="0.45">
      <c r="A64">
        <v>410</v>
      </c>
      <c r="B64">
        <f t="shared" ca="1" si="0"/>
        <v>-13136.722602844238</v>
      </c>
      <c r="C64">
        <f t="shared" ca="1" si="1"/>
        <v>-7.6122487338165266E-5</v>
      </c>
      <c r="V64">
        <v>410</v>
      </c>
      <c r="W64">
        <v>4017.79353433899</v>
      </c>
      <c r="X64">
        <v>2.4889282922411799E-4</v>
      </c>
    </row>
    <row r="65" spans="1:24" x14ac:dyDescent="0.45">
      <c r="A65">
        <v>415</v>
      </c>
      <c r="B65">
        <f t="shared" ca="1" si="0"/>
        <v>-10053.510650634766</v>
      </c>
      <c r="C65">
        <f t="shared" ca="1" si="1"/>
        <v>-9.9467741642752556E-5</v>
      </c>
      <c r="V65">
        <v>415</v>
      </c>
      <c r="W65">
        <v>5991.4723726878501</v>
      </c>
      <c r="X65">
        <v>1.6690388235093899E-4</v>
      </c>
    </row>
    <row r="66" spans="1:24" x14ac:dyDescent="0.45">
      <c r="A66">
        <v>420</v>
      </c>
      <c r="B66">
        <f t="shared" ca="1" si="0"/>
        <v>-4040.6233215332031</v>
      </c>
      <c r="C66">
        <f t="shared" ca="1" si="1"/>
        <v>-2.4748656838929315E-4</v>
      </c>
      <c r="V66">
        <v>420</v>
      </c>
      <c r="W66">
        <v>8397.9477488712291</v>
      </c>
      <c r="X66">
        <v>1.19076711347056E-4</v>
      </c>
    </row>
    <row r="67" spans="1:24" x14ac:dyDescent="0.45">
      <c r="A67">
        <v>425</v>
      </c>
      <c r="B67">
        <f t="shared" ref="B67:B102" ca="1" si="2">$U$2*($A67)^$S$2+$U$3*($A67)^$S$3+$U$4*($A67)^$S$4+$U$5*($A67)^$S$5+$U$6*($A67)^$S$6+$U$7*($A67)^$S$7+$U$8*($A67)^$S$8+$U$9*($A67)^$S$9+$U$10*($A67)^$S$10+$U$11*($A67)^$S$11+$U$12*($A67)^$S$12+$U$13*($A67)^$S$13+$U$14*($A67)^$S$14+$U$15*($A67)^$S$15+$U$16*($A67)^$S$16+$U$17*($A67)^$S$17+$U$18*($A67)^$S$18</f>
        <v>4545.1267852783203</v>
      </c>
      <c r="C67">
        <f t="shared" ref="C67:C102" ca="1" si="3">1/$B67</f>
        <v>2.2001586473649164E-4</v>
      </c>
      <c r="V67">
        <v>425</v>
      </c>
      <c r="W67">
        <v>11219.0168002173</v>
      </c>
      <c r="X67">
        <v>8.9134370489633605E-5</v>
      </c>
    </row>
    <row r="68" spans="1:24" x14ac:dyDescent="0.45">
      <c r="A68">
        <v>430</v>
      </c>
      <c r="B68">
        <f t="shared" ca="1" si="2"/>
        <v>14931.948852539063</v>
      </c>
      <c r="C68">
        <f t="shared" ca="1" si="3"/>
        <v>6.6970494600238184E-5</v>
      </c>
      <c r="V68">
        <v>430</v>
      </c>
      <c r="W68">
        <v>14452.7059860725</v>
      </c>
      <c r="X68">
        <v>6.9191195127310599E-5</v>
      </c>
    </row>
    <row r="69" spans="1:24" x14ac:dyDescent="0.45">
      <c r="A69">
        <v>435</v>
      </c>
      <c r="B69">
        <f t="shared" ca="1" si="2"/>
        <v>25976.022476196289</v>
      </c>
      <c r="C69">
        <f t="shared" ca="1" si="3"/>
        <v>3.8497040912109327E-5</v>
      </c>
      <c r="V69">
        <v>435</v>
      </c>
      <c r="W69">
        <v>18089.4168485273</v>
      </c>
      <c r="X69">
        <v>5.5280941800034098E-5</v>
      </c>
    </row>
    <row r="70" spans="1:24" x14ac:dyDescent="0.45">
      <c r="A70">
        <v>440</v>
      </c>
      <c r="B70">
        <f t="shared" ca="1" si="2"/>
        <v>36283.349090576172</v>
      </c>
      <c r="C70">
        <f t="shared" ca="1" si="3"/>
        <v>2.7560851604509923E-5</v>
      </c>
      <c r="V70">
        <v>440</v>
      </c>
      <c r="W70">
        <v>22186.713533403501</v>
      </c>
      <c r="X70">
        <v>4.5072020175247498E-5</v>
      </c>
    </row>
    <row r="71" spans="1:24" x14ac:dyDescent="0.45">
      <c r="A71">
        <v>445</v>
      </c>
      <c r="B71">
        <f t="shared" ca="1" si="2"/>
        <v>44419.567626953125</v>
      </c>
      <c r="C71">
        <f t="shared" ca="1" si="3"/>
        <v>2.2512600941959982E-5</v>
      </c>
      <c r="V71">
        <v>445</v>
      </c>
      <c r="W71">
        <v>26727.052264669899</v>
      </c>
      <c r="X71">
        <v>3.7415274610058102E-5</v>
      </c>
    </row>
    <row r="72" spans="1:24" x14ac:dyDescent="0.45">
      <c r="A72">
        <v>450</v>
      </c>
      <c r="B72">
        <f t="shared" ca="1" si="2"/>
        <v>49205.40771484375</v>
      </c>
      <c r="C72">
        <f t="shared" ca="1" si="3"/>
        <v>2.0322969495451025E-5</v>
      </c>
      <c r="V72">
        <v>450</v>
      </c>
      <c r="W72">
        <v>31719.623684595899</v>
      </c>
      <c r="X72">
        <v>3.1526225214507501E-5</v>
      </c>
    </row>
    <row r="73" spans="1:24" x14ac:dyDescent="0.45">
      <c r="A73">
        <v>455</v>
      </c>
      <c r="B73">
        <f t="shared" ca="1" si="2"/>
        <v>50076.239562988281</v>
      </c>
      <c r="C73">
        <f t="shared" ca="1" si="3"/>
        <v>1.9969550603777912E-5</v>
      </c>
      <c r="V73">
        <v>455</v>
      </c>
      <c r="W73">
        <v>37133.542027937598</v>
      </c>
      <c r="X73">
        <v>2.6929830697207499E-5</v>
      </c>
    </row>
    <row r="74" spans="1:24" x14ac:dyDescent="0.45">
      <c r="A74">
        <v>460</v>
      </c>
      <c r="B74">
        <f t="shared" ca="1" si="2"/>
        <v>47456.135070800781</v>
      </c>
      <c r="C74">
        <f t="shared" ca="1" si="3"/>
        <v>2.1072091069112128E-5</v>
      </c>
      <c r="V74">
        <v>460</v>
      </c>
      <c r="W74">
        <v>42961.251651113802</v>
      </c>
      <c r="X74">
        <v>2.3276789236052701E-5</v>
      </c>
    </row>
    <row r="75" spans="1:24" x14ac:dyDescent="0.45">
      <c r="A75">
        <v>465</v>
      </c>
      <c r="B75">
        <f t="shared" ca="1" si="2"/>
        <v>43056.428924560547</v>
      </c>
      <c r="C75">
        <f t="shared" ca="1" si="3"/>
        <v>2.3225335332665571E-5</v>
      </c>
      <c r="V75">
        <v>465</v>
      </c>
      <c r="W75">
        <v>49202.375119469099</v>
      </c>
      <c r="X75">
        <v>2.0324222104560601E-5</v>
      </c>
    </row>
    <row r="76" spans="1:24" x14ac:dyDescent="0.45">
      <c r="A76">
        <v>470</v>
      </c>
      <c r="B76">
        <f t="shared" ca="1" si="2"/>
        <v>39952.996063232422</v>
      </c>
      <c r="C76">
        <f t="shared" ca="1" si="3"/>
        <v>2.5029412022500882E-5</v>
      </c>
      <c r="V76">
        <v>470</v>
      </c>
      <c r="W76">
        <v>55909.9181445746</v>
      </c>
      <c r="X76">
        <v>1.78859142203383E-5</v>
      </c>
    </row>
    <row r="77" spans="1:24" x14ac:dyDescent="0.45">
      <c r="A77">
        <v>475</v>
      </c>
      <c r="B77">
        <f t="shared" ca="1" si="2"/>
        <v>42221.644653320313</v>
      </c>
      <c r="C77">
        <f t="shared" ca="1" si="3"/>
        <v>2.3684534513303473E-5</v>
      </c>
      <c r="V77">
        <v>475</v>
      </c>
      <c r="W77">
        <v>62962.667224693498</v>
      </c>
      <c r="X77">
        <v>1.5882427541249401E-5</v>
      </c>
    </row>
    <row r="78" spans="1:24" x14ac:dyDescent="0.45">
      <c r="A78">
        <v>480</v>
      </c>
      <c r="B78">
        <f t="shared" ca="1" si="2"/>
        <v>53812.506866455078</v>
      </c>
      <c r="C78">
        <f t="shared" ca="1" si="3"/>
        <v>1.8583040602097776E-5</v>
      </c>
      <c r="V78">
        <v>480</v>
      </c>
      <c r="W78">
        <v>70175.259667380698</v>
      </c>
      <c r="X78">
        <v>1.42500363338851E-5</v>
      </c>
    </row>
    <row r="79" spans="1:24" x14ac:dyDescent="0.45">
      <c r="A79">
        <v>485</v>
      </c>
      <c r="B79">
        <f t="shared" ca="1" si="2"/>
        <v>76216.805297851563</v>
      </c>
      <c r="C79">
        <f t="shared" ca="1" si="3"/>
        <v>1.312046596668607E-5</v>
      </c>
      <c r="V79">
        <v>485</v>
      </c>
      <c r="W79">
        <v>77558.5432774894</v>
      </c>
      <c r="X79">
        <v>1.2893486104067099E-5</v>
      </c>
    </row>
    <row r="80" spans="1:24" x14ac:dyDescent="0.45">
      <c r="A80">
        <v>490</v>
      </c>
      <c r="B80">
        <f t="shared" ca="1" si="2"/>
        <v>104316.75817871094</v>
      </c>
      <c r="C80">
        <f t="shared" ca="1" si="3"/>
        <v>9.5861874684299849E-6</v>
      </c>
      <c r="V80">
        <v>490</v>
      </c>
      <c r="W80">
        <v>85161.245858552007</v>
      </c>
      <c r="X80">
        <v>1.1742430373329001E-5</v>
      </c>
    </row>
    <row r="81" spans="1:24" x14ac:dyDescent="0.45">
      <c r="A81">
        <v>495</v>
      </c>
      <c r="B81">
        <f t="shared" ca="1" si="2"/>
        <v>119604.57513427734</v>
      </c>
      <c r="C81">
        <f t="shared" ca="1" si="3"/>
        <v>8.3608841791990199E-6</v>
      </c>
      <c r="V81">
        <v>495</v>
      </c>
      <c r="W81">
        <v>92656.3753364882</v>
      </c>
      <c r="X81">
        <v>1.0792565502032901E-5</v>
      </c>
    </row>
    <row r="82" spans="1:24" x14ac:dyDescent="0.45">
      <c r="A82">
        <v>500</v>
      </c>
      <c r="B82">
        <f t="shared" ca="1" si="2"/>
        <v>79701.150329589844</v>
      </c>
      <c r="C82">
        <f t="shared" ca="1" si="3"/>
        <v>1.2546870350862929E-5</v>
      </c>
      <c r="V82">
        <v>500</v>
      </c>
      <c r="W82">
        <v>99739.907005516303</v>
      </c>
      <c r="X82">
        <v>1.0026077124221601E-5</v>
      </c>
    </row>
    <row r="83" spans="1:24" x14ac:dyDescent="0.45">
      <c r="A83">
        <v>505</v>
      </c>
      <c r="B83">
        <f t="shared" ca="1" si="2"/>
        <v>-97210.144348144531</v>
      </c>
      <c r="C83">
        <f t="shared" ca="1" si="3"/>
        <v>-1.0286992234253248E-5</v>
      </c>
      <c r="V83">
        <v>505</v>
      </c>
      <c r="W83">
        <v>106412.718848483</v>
      </c>
      <c r="X83">
        <v>9.3973728969735296E-6</v>
      </c>
    </row>
    <row r="84" spans="1:24" x14ac:dyDescent="0.45">
      <c r="A84">
        <v>510</v>
      </c>
      <c r="B84">
        <f t="shared" ca="1" si="2"/>
        <v>-554805.30889892578</v>
      </c>
      <c r="C84">
        <f t="shared" ca="1" si="3"/>
        <v>-1.802434086264628E-6</v>
      </c>
      <c r="V84">
        <v>510</v>
      </c>
      <c r="W84">
        <v>112468.134795832</v>
      </c>
      <c r="X84">
        <v>8.8914073467594797E-6</v>
      </c>
    </row>
    <row r="85" spans="1:24" x14ac:dyDescent="0.45">
      <c r="A85">
        <v>515</v>
      </c>
      <c r="B85">
        <f t="shared" ca="1" si="2"/>
        <v>-1530136.5396728516</v>
      </c>
      <c r="C85">
        <f t="shared" ca="1" si="3"/>
        <v>-6.5353644859288404E-7</v>
      </c>
      <c r="V85">
        <v>515</v>
      </c>
      <c r="W85">
        <v>117471.90188954399</v>
      </c>
      <c r="X85">
        <v>8.5126739578990705E-6</v>
      </c>
    </row>
    <row r="86" spans="1:24" x14ac:dyDescent="0.45">
      <c r="A86">
        <v>520</v>
      </c>
      <c r="B86">
        <f t="shared" ca="1" si="2"/>
        <v>-3397049.7904052734</v>
      </c>
      <c r="C86">
        <f t="shared" ca="1" si="3"/>
        <v>-2.9437307714017887E-7</v>
      </c>
      <c r="V86">
        <v>520</v>
      </c>
      <c r="W86">
        <v>121606.249650122</v>
      </c>
      <c r="X86">
        <v>8.2232615747721496E-6</v>
      </c>
    </row>
    <row r="87" spans="1:24" x14ac:dyDescent="0.45">
      <c r="A87">
        <v>525</v>
      </c>
      <c r="B87">
        <f t="shared" ca="1" si="2"/>
        <v>-6724987.676940918</v>
      </c>
      <c r="C87">
        <f t="shared" ca="1" si="3"/>
        <v>-1.4869915723843868E-7</v>
      </c>
      <c r="V87">
        <v>525</v>
      </c>
      <c r="W87">
        <v>124893.900938658</v>
      </c>
      <c r="X87">
        <v>8.0067961084116097E-6</v>
      </c>
    </row>
    <row r="88" spans="1:24" x14ac:dyDescent="0.45">
      <c r="A88">
        <v>530</v>
      </c>
      <c r="B88">
        <f t="shared" ca="1" si="2"/>
        <v>-12357471.354797363</v>
      </c>
      <c r="C88">
        <f t="shared" ca="1" si="3"/>
        <v>-8.0922704272487297E-8</v>
      </c>
      <c r="V88">
        <v>530</v>
      </c>
      <c r="W88">
        <v>126614.254920647</v>
      </c>
      <c r="X88">
        <v>7.8980048544038692E-6</v>
      </c>
    </row>
    <row r="89" spans="1:24" x14ac:dyDescent="0.45">
      <c r="A89">
        <v>535</v>
      </c>
      <c r="B89">
        <f t="shared" ca="1" si="2"/>
        <v>-21515515.822265625</v>
      </c>
      <c r="C89">
        <f t="shared" ca="1" si="3"/>
        <v>-4.6478086245328887E-8</v>
      </c>
      <c r="V89">
        <v>535</v>
      </c>
      <c r="W89">
        <v>126752.98545604</v>
      </c>
      <c r="X89">
        <v>7.8893605259247695E-6</v>
      </c>
    </row>
    <row r="90" spans="1:24" x14ac:dyDescent="0.45">
      <c r="A90">
        <v>540</v>
      </c>
      <c r="B90">
        <f t="shared" ca="1" si="2"/>
        <v>-35932366.401916504</v>
      </c>
      <c r="C90">
        <f t="shared" ca="1" si="3"/>
        <v>-2.7830062423794709E-8</v>
      </c>
      <c r="V90">
        <v>540</v>
      </c>
      <c r="W90">
        <v>126490.52091511</v>
      </c>
      <c r="X90">
        <v>7.9057307438168801E-6</v>
      </c>
    </row>
    <row r="91" spans="1:24" x14ac:dyDescent="0.45">
      <c r="A91">
        <v>545</v>
      </c>
      <c r="B91">
        <f t="shared" ca="1" si="2"/>
        <v>-58027275.663452148</v>
      </c>
      <c r="C91">
        <f t="shared" ca="1" si="3"/>
        <v>-1.7233275017076827E-8</v>
      </c>
      <c r="V91">
        <v>545</v>
      </c>
      <c r="W91">
        <v>125770.43936575799</v>
      </c>
      <c r="X91">
        <v>7.9509939302339306E-6</v>
      </c>
    </row>
    <row r="92" spans="1:24" x14ac:dyDescent="0.45">
      <c r="A92">
        <v>550</v>
      </c>
      <c r="B92">
        <f t="shared" ca="1" si="2"/>
        <v>-91127599.507446289</v>
      </c>
      <c r="C92">
        <f t="shared" ca="1" si="3"/>
        <v>-1.0973623857153037E-8</v>
      </c>
      <c r="V92">
        <v>550</v>
      </c>
      <c r="W92">
        <v>123350.623548376</v>
      </c>
      <c r="X92">
        <v>8.1069715841997006E-6</v>
      </c>
    </row>
    <row r="93" spans="1:24" x14ac:dyDescent="0.45">
      <c r="A93">
        <v>555</v>
      </c>
      <c r="B93">
        <f t="shared" ca="1" si="2"/>
        <v>-139750305.34716797</v>
      </c>
      <c r="C93">
        <f t="shared" ca="1" si="3"/>
        <v>-7.1556194279203764E-9</v>
      </c>
      <c r="V93">
        <v>555</v>
      </c>
      <c r="W93">
        <v>119722.168924978</v>
      </c>
      <c r="X93">
        <v>8.3526719318511008E-6</v>
      </c>
    </row>
    <row r="94" spans="1:24" x14ac:dyDescent="0.45">
      <c r="A94">
        <v>560</v>
      </c>
      <c r="B94">
        <f t="shared" ca="1" si="2"/>
        <v>-209956097.09265137</v>
      </c>
      <c r="C94">
        <f t="shared" ca="1" si="3"/>
        <v>-4.7629005008542848E-9</v>
      </c>
      <c r="V94">
        <v>560</v>
      </c>
      <c r="W94">
        <v>116536.715656389</v>
      </c>
      <c r="X94">
        <v>8.5809866389964103E-6</v>
      </c>
    </row>
    <row r="95" spans="1:24" x14ac:dyDescent="0.45">
      <c r="A95">
        <v>565</v>
      </c>
      <c r="B95">
        <f t="shared" ca="1" si="2"/>
        <v>-309791799.17529297</v>
      </c>
      <c r="C95">
        <f t="shared" ca="1" si="3"/>
        <v>-3.227974409465109E-9</v>
      </c>
      <c r="V95">
        <v>565</v>
      </c>
      <c r="W95">
        <v>113546.615905249</v>
      </c>
      <c r="X95">
        <v>8.8069555576580397E-6</v>
      </c>
    </row>
    <row r="96" spans="1:24" x14ac:dyDescent="0.45">
      <c r="A96">
        <v>570</v>
      </c>
      <c r="B96">
        <f t="shared" ca="1" si="2"/>
        <v>-449839454.73815918</v>
      </c>
      <c r="C96">
        <f t="shared" ca="1" si="3"/>
        <v>-2.2230153212818473E-9</v>
      </c>
      <c r="V96">
        <v>570</v>
      </c>
      <c r="W96">
        <v>109238.44264442399</v>
      </c>
      <c r="X96">
        <v>9.1542864928516208E-6</v>
      </c>
    </row>
    <row r="97" spans="1:24" x14ac:dyDescent="0.45">
      <c r="A97">
        <v>575</v>
      </c>
      <c r="B97">
        <f t="shared" ca="1" si="2"/>
        <v>-643893832.09326172</v>
      </c>
      <c r="C97">
        <f t="shared" ca="1" si="3"/>
        <v>-1.5530510623918505E-9</v>
      </c>
      <c r="V97">
        <v>575</v>
      </c>
      <c r="W97">
        <v>104232.71643312401</v>
      </c>
      <c r="X97">
        <v>9.5939167108016095E-6</v>
      </c>
    </row>
    <row r="98" spans="1:24" x14ac:dyDescent="0.45">
      <c r="A98">
        <v>580</v>
      </c>
      <c r="B98">
        <f t="shared" ca="1" si="2"/>
        <v>-909793733.88745117</v>
      </c>
      <c r="C98">
        <f t="shared" ca="1" si="3"/>
        <v>-1.0991502389526329E-9</v>
      </c>
      <c r="V98">
        <v>580</v>
      </c>
      <c r="W98">
        <v>100063.78660729399</v>
      </c>
      <c r="X98">
        <v>9.9936254054081598E-6</v>
      </c>
    </row>
    <row r="99" spans="1:24" x14ac:dyDescent="0.45">
      <c r="A99">
        <v>585</v>
      </c>
      <c r="B99">
        <f t="shared" ca="1" si="2"/>
        <v>-1270436745.1727295</v>
      </c>
      <c r="C99">
        <f t="shared" ca="1" si="3"/>
        <v>-7.8713088534292929E-10</v>
      </c>
      <c r="V99">
        <v>585</v>
      </c>
      <c r="W99">
        <v>96422.075317109004</v>
      </c>
      <c r="X99">
        <v>1.0371069039027001E-5</v>
      </c>
    </row>
    <row r="100" spans="1:24" x14ac:dyDescent="0.45">
      <c r="A100">
        <v>590</v>
      </c>
      <c r="B100">
        <f t="shared" ca="1" si="2"/>
        <v>-1755011885.2509766</v>
      </c>
      <c r="C100">
        <f t="shared" ca="1" si="3"/>
        <v>-5.697967110103043E-10</v>
      </c>
      <c r="V100">
        <v>590</v>
      </c>
      <c r="W100">
        <v>91842.814353453505</v>
      </c>
      <c r="X100">
        <v>1.08881680841305E-5</v>
      </c>
    </row>
    <row r="101" spans="1:24" x14ac:dyDescent="0.45">
      <c r="A101">
        <v>595</v>
      </c>
      <c r="B101">
        <f t="shared" ca="1" si="2"/>
        <v>-2400490113.3334961</v>
      </c>
      <c r="C101">
        <f t="shared" ca="1" si="3"/>
        <v>-4.1658159491910044E-10</v>
      </c>
      <c r="V101">
        <v>595</v>
      </c>
      <c r="W101">
        <v>86865.686307972399</v>
      </c>
      <c r="X101">
        <v>1.15120255477475E-5</v>
      </c>
    </row>
    <row r="102" spans="1:24" x14ac:dyDescent="0.45">
      <c r="A102">
        <v>600</v>
      </c>
      <c r="B102">
        <f t="shared" ca="1" si="2"/>
        <v>-3253418871.7299805</v>
      </c>
      <c r="C102">
        <f t="shared" ca="1" si="3"/>
        <v>-3.0736896766946511E-10</v>
      </c>
      <c r="V102">
        <v>600</v>
      </c>
      <c r="W102">
        <v>82732.206872526702</v>
      </c>
      <c r="X102">
        <v>1.2087191165355801E-5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Ueno Yasumasa/上野 康正(MELCO/北伊丹 光二)</dc:creator>
  <cp:lastModifiedBy>Ueno Yasumasa/上野 康正(MELCO/北伊丹 光二)</cp:lastModifiedBy>
  <dcterms:created xsi:type="dcterms:W3CDTF">2026-04-01T00:51:42Z</dcterms:created>
  <dcterms:modified xsi:type="dcterms:W3CDTF">2026-05-18T08:30:08Z</dcterms:modified>
</cp:coreProperties>
</file>
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Q26871\Desktop\"/>
    </mc:Choice>
  </mc:AlternateContent>
  <xr:revisionPtr revIDLastSave="0" documentId="13_ncr:1_{32450F76-D4E7-42ED-AA6D-314BBA88002A}" xr6:coauthVersionLast="47" xr6:coauthVersionMax="47" xr10:uidLastSave="{00000000-0000-0000-0000-000000000000}"/>
  <bookViews>
    <workbookView xWindow="0" yWindow="0" windowWidth="14004" windowHeight="11484" activeTab="2" xr2:uid="{38333629-FD63-43AF-8F0A-316E1EEF0170}"/>
  </bookViews>
  <sheets>
    <sheet name="xxx" sheetId="1" r:id="rId1"/>
    <sheet name="xTRIm" sheetId="2" r:id="rId2"/>
    <sheet name="Parameter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/>
  <c r="S12" i="3"/>
  <c r="W19" i="3"/>
  <c r="I1" i="3" a="1"/>
  <c r="L1" i="3" a="1"/>
  <c r="P1" i="3" a="1"/>
  <c r="N1" i="3" a="1"/>
  <c r="I1" i="3" l="1"/>
  <c r="L1" i="3"/>
  <c r="N1" i="3"/>
  <c r="P1" i="3"/>
  <c r="S2" i="3" s="1"/>
  <c r="Y15" i="3"/>
  <c r="X15" i="3" a="1"/>
  <c r="W15" i="3" a="1"/>
  <c r="X14" i="3" a="1"/>
  <c r="W14" i="3" a="1"/>
  <c r="X14" i="3" l="1"/>
  <c r="X15" i="3"/>
  <c r="W15" i="3"/>
  <c r="W14" i="3"/>
  <c r="U1" i="3"/>
  <c r="U2" i="3"/>
  <c r="V12" i="3" a="1"/>
  <c r="V12" i="3" l="1"/>
  <c r="S1" i="3"/>
  <c r="G1" i="3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6" i="1"/>
  <c r="G4" i="3"/>
  <c r="I2" i="3"/>
  <c r="J2" i="3"/>
  <c r="V18" i="3"/>
  <c r="V14" i="3" a="1"/>
  <c r="K4" i="3"/>
  <c r="J1" i="3"/>
  <c r="X19" i="3" a="1"/>
  <c r="S13" i="3"/>
  <c r="G2" i="3"/>
  <c r="S3" i="3" l="1"/>
  <c r="X19" i="3"/>
  <c r="Y20" i="3"/>
  <c r="V14" i="3"/>
  <c r="V13" i="3" a="1"/>
  <c r="P2" i="3" a="1"/>
  <c r="L2" i="3" a="1"/>
  <c r="N2" i="3" a="1"/>
  <c r="R12" i="3"/>
  <c r="G3" i="3"/>
  <c r="K3" i="3"/>
  <c r="J3" i="3"/>
  <c r="G5" i="3"/>
  <c r="V13" i="3" l="1"/>
  <c r="L2" i="3"/>
  <c r="N2" i="3"/>
  <c r="P2" i="3"/>
  <c r="S4" i="3" s="1"/>
  <c r="K5" i="3"/>
  <c r="V15" i="3" a="1"/>
  <c r="V17" i="3" a="1"/>
  <c r="V15" i="3" l="1"/>
  <c r="V1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<sst xmlns="http://schemas.openxmlformats.org/spreadsheetml/2006/main" count="8776" uniqueCount="1598">
  <si>
    <t>Line</t>
    <phoneticPr fontId="1"/>
  </si>
  <si>
    <t>OI No.</t>
    <phoneticPr fontId="1"/>
  </si>
  <si>
    <t>Process Code</t>
    <phoneticPr fontId="1"/>
  </si>
  <si>
    <t>Process Name</t>
    <phoneticPr fontId="1"/>
  </si>
  <si>
    <t>Logic Recipe</t>
    <phoneticPr fontId="1"/>
  </si>
  <si>
    <t>Equipment No.</t>
    <phoneticPr fontId="1"/>
  </si>
  <si>
    <t>Recipe</t>
    <phoneticPr fontId="1"/>
  </si>
  <si>
    <t>検移票No.</t>
    <rPh sb="0" eb="1">
      <t>ケン</t>
    </rPh>
    <rPh sb="1" eb="2">
      <t>イ</t>
    </rPh>
    <rPh sb="2" eb="3">
      <t>ヒョウ</t>
    </rPh>
    <phoneticPr fontId="1"/>
  </si>
  <si>
    <t>No.</t>
    <phoneticPr fontId="1"/>
  </si>
  <si>
    <t>チップ名</t>
    <rPh sb="3" eb="4">
      <t>メイ</t>
    </rPh>
    <phoneticPr fontId="1"/>
  </si>
  <si>
    <t>Path</t>
    <phoneticPr fontId="1"/>
  </si>
  <si>
    <t>＜検索条件＞</t>
  </si>
  <si>
    <t>【社外秘】</t>
  </si>
  <si>
    <t>検移票NO指定</t>
  </si>
  <si>
    <t>チップ名</t>
  </si>
  <si>
    <t>副番</t>
  </si>
  <si>
    <t>製造方式</t>
  </si>
  <si>
    <t>開始工程</t>
  </si>
  <si>
    <t>ロットＮＯ</t>
  </si>
  <si>
    <t>最新副番表示（改定中含）</t>
  </si>
  <si>
    <t>ライン</t>
  </si>
  <si>
    <t>HB1</t>
  </si>
  <si>
    <t>検移票NO</t>
  </si>
  <si>
    <t>A3A9AA01</t>
  </si>
  <si>
    <t>AA</t>
  </si>
  <si>
    <t>AD</t>
  </si>
  <si>
    <t>論理レシピ</t>
  </si>
  <si>
    <t>＜変更テーブル適用工程情報＞</t>
  </si>
  <si>
    <t>工程コード</t>
  </si>
  <si>
    <t>変更テーブル登録ＮＯ</t>
  </si>
  <si>
    <t>改定日</t>
  </si>
  <si>
    <t>改定者</t>
  </si>
  <si>
    <t>改定内容</t>
  </si>
  <si>
    <t>変更前・ライン（検移票）</t>
  </si>
  <si>
    <t>変更前・検移票ＮＯ</t>
  </si>
  <si>
    <t>変更前・第１副番</t>
  </si>
  <si>
    <t>変更前・工程コード</t>
  </si>
  <si>
    <t>変更後・代表チップ名</t>
  </si>
  <si>
    <t>変更後・ライン（マスクセット名）</t>
  </si>
  <si>
    <t>変更後・マスクセット名</t>
  </si>
  <si>
    <t>変更後・製造方式</t>
  </si>
  <si>
    <t>変更後・ライン（検移票）</t>
  </si>
  <si>
    <t>変更後・検移票ＮＯ</t>
  </si>
  <si>
    <t>変更後・第１副番</t>
  </si>
  <si>
    <t>変更後・工程コード</t>
  </si>
  <si>
    <t>変更後・ライン（論理レシピ）</t>
  </si>
  <si>
    <t>区分</t>
  </si>
  <si>
    <t>ライン（検移票）</t>
  </si>
  <si>
    <t>検移票ＮＯ</t>
  </si>
  <si>
    <t>副番１</t>
  </si>
  <si>
    <t>副番２</t>
  </si>
  <si>
    <t>連番</t>
  </si>
  <si>
    <t>フロー連番</t>
  </si>
  <si>
    <t>ライン（工程）</t>
  </si>
  <si>
    <t>小工程コード</t>
  </si>
  <si>
    <t>作業名称</t>
  </si>
  <si>
    <t>派生</t>
  </si>
  <si>
    <t>装置ＮＯ</t>
  </si>
  <si>
    <t>レシピ</t>
  </si>
  <si>
    <t>大工程ライン</t>
  </si>
  <si>
    <t>大工程コード</t>
  </si>
  <si>
    <t>第１副番（大工程）</t>
  </si>
  <si>
    <t>第２副番（大工程）</t>
  </si>
  <si>
    <t>大工程名称</t>
  </si>
  <si>
    <t>カセットタイプ</t>
  </si>
  <si>
    <t>投入／完了区分</t>
  </si>
  <si>
    <t>マスタ／カスタム区分</t>
  </si>
  <si>
    <t>仕掛集約区分</t>
  </si>
  <si>
    <t>エリア区分</t>
  </si>
  <si>
    <t>マスク合わせ区分</t>
  </si>
  <si>
    <t>ＲＯＭ別制御区分</t>
  </si>
  <si>
    <t>拡散範囲区分</t>
  </si>
  <si>
    <t>非拡散系バッチ編成区分</t>
  </si>
  <si>
    <t>モニタウェハ処理区分</t>
  </si>
  <si>
    <t>ＦＱＴＡＴ指定区分</t>
  </si>
  <si>
    <t>進捗計上区分</t>
  </si>
  <si>
    <t>アイテム報告区分</t>
  </si>
  <si>
    <t>作業開始報告スキップフラグ</t>
  </si>
  <si>
    <t>実績計上スキップフラグ</t>
  </si>
  <si>
    <t>ライン（再生フロー）</t>
  </si>
  <si>
    <t>再生フローＮＯ</t>
  </si>
  <si>
    <t>再生フローグループＮＯ</t>
  </si>
  <si>
    <t>やり直し戻り先工程</t>
  </si>
  <si>
    <t>やり直し回数区分</t>
  </si>
  <si>
    <t>連続工程区分</t>
  </si>
  <si>
    <t>監視終了工程</t>
  </si>
  <si>
    <t>予告発報期間</t>
  </si>
  <si>
    <t>保管期間</t>
  </si>
  <si>
    <t>条件振り区分</t>
  </si>
  <si>
    <t>ウエハ処理区分</t>
  </si>
  <si>
    <t>ウエハ計上区分</t>
  </si>
  <si>
    <t>連続区間最大処理ウエハ枚数</t>
  </si>
  <si>
    <t>ウエハ処理ネック工程</t>
  </si>
  <si>
    <t>参照工程１</t>
  </si>
  <si>
    <t>参照工程２</t>
  </si>
  <si>
    <t>参照工程３</t>
  </si>
  <si>
    <t>ステッパファイル名</t>
  </si>
  <si>
    <t>全改（マスク名）</t>
  </si>
  <si>
    <t>マスクセットボディ（マスク名）</t>
  </si>
  <si>
    <t>工程（マスク名）</t>
  </si>
  <si>
    <t>部改（マスク名）</t>
  </si>
  <si>
    <t>000100</t>
  </si>
  <si>
    <t>000001</t>
  </si>
  <si>
    <t>AL</t>
  </si>
  <si>
    <t>ロット投入</t>
  </si>
  <si>
    <t>****************</t>
  </si>
  <si>
    <t>**</t>
  </si>
  <si>
    <t>*******</t>
  </si>
  <si>
    <t>**********</t>
  </si>
  <si>
    <t>LK-I351-0</t>
  </si>
  <si>
    <t>ロット形成</t>
  </si>
  <si>
    <t>M</t>
  </si>
  <si>
    <t>A</t>
  </si>
  <si>
    <t>EH</t>
  </si>
  <si>
    <t>000200</t>
  </si>
  <si>
    <t>000002</t>
  </si>
  <si>
    <t>06L</t>
  </si>
  <si>
    <t>DE</t>
  </si>
  <si>
    <t>LK06L1</t>
  </si>
  <si>
    <t>ﾛｯﾄ編成</t>
  </si>
  <si>
    <t>000300</t>
  </si>
  <si>
    <t>000003</t>
  </si>
  <si>
    <t>01W</t>
  </si>
  <si>
    <t>AY</t>
  </si>
  <si>
    <t>GE01W1</t>
  </si>
  <si>
    <t>ｳｴﾊ前処理（基板）</t>
  </si>
  <si>
    <t>GE-I300-0</t>
  </si>
  <si>
    <t>ガイド層形成</t>
  </si>
  <si>
    <t>C</t>
  </si>
  <si>
    <t>000400</t>
  </si>
  <si>
    <t>000004</t>
  </si>
  <si>
    <t>91E</t>
  </si>
  <si>
    <t>AS</t>
  </si>
  <si>
    <t>GE91E1</t>
  </si>
  <si>
    <t>ガイド層成長</t>
  </si>
  <si>
    <t>91E-GEB-2110-003</t>
  </si>
  <si>
    <t>MC255</t>
  </si>
  <si>
    <t>GENK</t>
  </si>
  <si>
    <t>EP</t>
  </si>
  <si>
    <t>000500</t>
  </si>
  <si>
    <t>000005</t>
  </si>
  <si>
    <t>17T</t>
  </si>
  <si>
    <t>CR</t>
  </si>
  <si>
    <t>GE17T1</t>
  </si>
  <si>
    <t>表面検査</t>
  </si>
  <si>
    <t>17T-GEB-2110-005</t>
  </si>
  <si>
    <t>QK211</t>
  </si>
  <si>
    <t>CHO-GE1</t>
  </si>
  <si>
    <t>000600</t>
  </si>
  <si>
    <t>000006</t>
  </si>
  <si>
    <t>02T</t>
  </si>
  <si>
    <t>GD</t>
  </si>
  <si>
    <t>GE02T1</t>
  </si>
  <si>
    <t>長波ﾌｫﾄﾙﾐ検査</t>
  </si>
  <si>
    <t>02T-GEB-2110-006</t>
  </si>
  <si>
    <t>QP211</t>
  </si>
  <si>
    <t>GUIDE7</t>
  </si>
  <si>
    <t>000700</t>
  </si>
  <si>
    <t>000007</t>
  </si>
  <si>
    <t>65E</t>
  </si>
  <si>
    <t>GE65E1</t>
  </si>
  <si>
    <t>ｴﾋﾟ後処理</t>
  </si>
  <si>
    <t>000800</t>
  </si>
  <si>
    <t>000008</t>
  </si>
  <si>
    <t>AUV</t>
  </si>
  <si>
    <t>BJ</t>
  </si>
  <si>
    <t>GEAUV1</t>
  </si>
  <si>
    <t>ｳｴﾊ送り(NVL2F→1F)</t>
  </si>
  <si>
    <t>US</t>
  </si>
  <si>
    <t>000900</t>
  </si>
  <si>
    <t>000009</t>
  </si>
  <si>
    <t>LWP</t>
  </si>
  <si>
    <t>AC</t>
  </si>
  <si>
    <t>WSLWP1</t>
  </si>
  <si>
    <t>ウエハプロセス投入</t>
  </si>
  <si>
    <t>WS-I350-0</t>
  </si>
  <si>
    <t>001000</t>
  </si>
  <si>
    <t>000010</t>
  </si>
  <si>
    <t>WA4</t>
  </si>
  <si>
    <t>BD</t>
  </si>
  <si>
    <t>SMWA41</t>
  </si>
  <si>
    <t>塩酸（無）</t>
  </si>
  <si>
    <t>SM-I350-0</t>
  </si>
  <si>
    <t>ステッパマーク形成(キュア)</t>
  </si>
  <si>
    <t>H</t>
  </si>
  <si>
    <t>Y-ZZ</t>
  </si>
  <si>
    <t>SMP261</t>
  </si>
  <si>
    <t>001100</t>
  </si>
  <si>
    <t>000011</t>
  </si>
  <si>
    <t>P26</t>
  </si>
  <si>
    <t>DY</t>
  </si>
  <si>
    <t>ﾚｼﾞｽﾄ塗布(3ｲﾝﾁ表面)</t>
  </si>
  <si>
    <t>Y-F1-2</t>
  </si>
  <si>
    <t>001200</t>
  </si>
  <si>
    <t>000012</t>
  </si>
  <si>
    <t>P68</t>
  </si>
  <si>
    <t>SMP681</t>
  </si>
  <si>
    <t>ナンバー露光（3ｲﾝﾁ）</t>
  </si>
  <si>
    <t>001300</t>
  </si>
  <si>
    <t>000013</t>
  </si>
  <si>
    <t>P41</t>
  </si>
  <si>
    <t>DT</t>
  </si>
  <si>
    <t>SMP411</t>
  </si>
  <si>
    <t>ステッパ露光（3ｲﾝﾁ）</t>
  </si>
  <si>
    <t>001400</t>
  </si>
  <si>
    <t>000014</t>
  </si>
  <si>
    <t>P36</t>
  </si>
  <si>
    <t>CD</t>
  </si>
  <si>
    <t>SMP361</t>
  </si>
  <si>
    <t>ベーク（3インチHP）</t>
  </si>
  <si>
    <t>001500</t>
  </si>
  <si>
    <t>000015</t>
  </si>
  <si>
    <t>P33</t>
  </si>
  <si>
    <t>DM</t>
  </si>
  <si>
    <t>SMP331</t>
  </si>
  <si>
    <t>現像（3インチポジ）</t>
  </si>
  <si>
    <t>001600</t>
  </si>
  <si>
    <t>000016</t>
  </si>
  <si>
    <t>P57</t>
  </si>
  <si>
    <t>CF</t>
  </si>
  <si>
    <t>SMP571</t>
  </si>
  <si>
    <t>現像検査(3ｲﾝﾁｽﾃｯﾊﾟ)</t>
  </si>
  <si>
    <t>001700</t>
  </si>
  <si>
    <t>000017</t>
  </si>
  <si>
    <t>P19</t>
  </si>
  <si>
    <t>AZ</t>
  </si>
  <si>
    <t>SMP191</t>
  </si>
  <si>
    <t>ｵﾘﾌﾗ検査</t>
  </si>
  <si>
    <t>001800</t>
  </si>
  <si>
    <t>000018</t>
  </si>
  <si>
    <t>P64</t>
  </si>
  <si>
    <t>AT</t>
  </si>
  <si>
    <t>SMP641</t>
  </si>
  <si>
    <t>UVｷｭｱ</t>
  </si>
  <si>
    <t>Y-F1-3</t>
  </si>
  <si>
    <t>001900</t>
  </si>
  <si>
    <t>000019</t>
  </si>
  <si>
    <t>D33</t>
  </si>
  <si>
    <t>BB</t>
  </si>
  <si>
    <t>SMD331</t>
  </si>
  <si>
    <t>InPドライ加工（無）</t>
  </si>
  <si>
    <t>002000</t>
  </si>
  <si>
    <t>000020</t>
  </si>
  <si>
    <t>D31</t>
  </si>
  <si>
    <t>BQ</t>
  </si>
  <si>
    <t>SMD311</t>
  </si>
  <si>
    <t>アッシャ(無)</t>
  </si>
  <si>
    <t>002100</t>
  </si>
  <si>
    <t>000021</t>
  </si>
  <si>
    <t>W98</t>
  </si>
  <si>
    <t>SMW981</t>
  </si>
  <si>
    <t>レジスト除去（無）</t>
  </si>
  <si>
    <t>002200</t>
  </si>
  <si>
    <t>000022</t>
  </si>
  <si>
    <t>W51</t>
  </si>
  <si>
    <t>CC</t>
  </si>
  <si>
    <t>SMW511</t>
  </si>
  <si>
    <t>ｽｸﾗﾌﾞ（3ｲﾝﾁ）</t>
  </si>
  <si>
    <t>002300</t>
  </si>
  <si>
    <t>000023</t>
  </si>
  <si>
    <t>SMD312</t>
  </si>
  <si>
    <t>002400</t>
  </si>
  <si>
    <t>000024</t>
  </si>
  <si>
    <t>WA3</t>
  </si>
  <si>
    <t>BH</t>
  </si>
  <si>
    <t>SMWA31</t>
  </si>
  <si>
    <t>BHF（無）</t>
  </si>
  <si>
    <t>002500</t>
  </si>
  <si>
    <t>000025</t>
  </si>
  <si>
    <t>W73</t>
  </si>
  <si>
    <t>BS</t>
  </si>
  <si>
    <t>SMW731</t>
  </si>
  <si>
    <t>ﾏｰｶｰｴｯﾁ後金顕検査</t>
  </si>
  <si>
    <t>Y-G7-2</t>
  </si>
  <si>
    <t>002600</t>
  </si>
  <si>
    <t>000026</t>
  </si>
  <si>
    <t>T76</t>
  </si>
  <si>
    <t>AX</t>
  </si>
  <si>
    <t>SMT761</t>
  </si>
  <si>
    <t>ﾄﾞﾗｲｴｯﾁﾝｸﾞ深さ検査</t>
  </si>
  <si>
    <t>002700</t>
  </si>
  <si>
    <t>000027</t>
  </si>
  <si>
    <t>GRWA31</t>
  </si>
  <si>
    <t>GR-I350-0</t>
  </si>
  <si>
    <t>AG</t>
  </si>
  <si>
    <t>回折格子形成(熱ﾌﾛｰあり）</t>
  </si>
  <si>
    <t>E</t>
  </si>
  <si>
    <t>DP</t>
  </si>
  <si>
    <t>GRC081</t>
  </si>
  <si>
    <t>002800</t>
  </si>
  <si>
    <t>000028</t>
  </si>
  <si>
    <t>C08</t>
  </si>
  <si>
    <t>AN</t>
  </si>
  <si>
    <t>プラズマSiO</t>
  </si>
  <si>
    <t>Y-D1-2</t>
  </si>
  <si>
    <t>002900</t>
  </si>
  <si>
    <t>000029</t>
  </si>
  <si>
    <t>P28</t>
  </si>
  <si>
    <t>CB</t>
  </si>
  <si>
    <t>GRP281</t>
  </si>
  <si>
    <t>ﾚｼﾞｽﾄ塗布(3ｲﾝﾁﾈｶﾞ）</t>
  </si>
  <si>
    <t>PB</t>
  </si>
  <si>
    <t>003000</t>
  </si>
  <si>
    <t>000030</t>
  </si>
  <si>
    <t>AUM</t>
  </si>
  <si>
    <t>GRAUM1</t>
  </si>
  <si>
    <t>ｳｴﾊ送り(NVL1F→B2F)</t>
  </si>
  <si>
    <t>003100</t>
  </si>
  <si>
    <t>000031</t>
  </si>
  <si>
    <t>P61</t>
  </si>
  <si>
    <t>DL</t>
  </si>
  <si>
    <t>GRP611</t>
  </si>
  <si>
    <t>EB露光</t>
  </si>
  <si>
    <t>P61-GEB-2111-001</t>
  </si>
  <si>
    <t>EQSEL</t>
  </si>
  <si>
    <t>select</t>
  </si>
  <si>
    <t>003200</t>
  </si>
  <si>
    <t>000032</t>
  </si>
  <si>
    <t>AUN</t>
  </si>
  <si>
    <t>GRAUN1</t>
  </si>
  <si>
    <t>ｳｴﾊ送り(B2F→NVL1F)</t>
  </si>
  <si>
    <t>003300</t>
  </si>
  <si>
    <t>000033</t>
  </si>
  <si>
    <t>P30</t>
  </si>
  <si>
    <t>BE</t>
  </si>
  <si>
    <t>GRP301</t>
  </si>
  <si>
    <t>現像（表面ネガ）</t>
  </si>
  <si>
    <t>003400</t>
  </si>
  <si>
    <t>000034</t>
  </si>
  <si>
    <t>P59</t>
  </si>
  <si>
    <t>BA</t>
  </si>
  <si>
    <t>GRP591</t>
  </si>
  <si>
    <t>現像検査（EB）</t>
  </si>
  <si>
    <t>003500</t>
  </si>
  <si>
    <t>000035</t>
  </si>
  <si>
    <t>P10</t>
  </si>
  <si>
    <t>EL</t>
  </si>
  <si>
    <t>GRP101</t>
  </si>
  <si>
    <t>EB露光後検査（SEM）</t>
  </si>
  <si>
    <t>Y-A7-3</t>
  </si>
  <si>
    <t>003600</t>
  </si>
  <si>
    <t>000036</t>
  </si>
  <si>
    <t>GRP361</t>
  </si>
  <si>
    <t>003700</t>
  </si>
  <si>
    <t>000037</t>
  </si>
  <si>
    <t>GRP102</t>
  </si>
  <si>
    <t>003800</t>
  </si>
  <si>
    <t>000038</t>
  </si>
  <si>
    <t>D29</t>
  </si>
  <si>
    <t>BW</t>
  </si>
  <si>
    <t>GRD291</t>
  </si>
  <si>
    <t>絶縁膜ドライ加工(無)</t>
  </si>
  <si>
    <t>SD</t>
  </si>
  <si>
    <t>003900</t>
  </si>
  <si>
    <t>000039</t>
  </si>
  <si>
    <t>GRD311</t>
  </si>
  <si>
    <t>SJ</t>
  </si>
  <si>
    <t>004000</t>
  </si>
  <si>
    <t>000040</t>
  </si>
  <si>
    <t>GRW981</t>
  </si>
  <si>
    <t>004100</t>
  </si>
  <si>
    <t>000041</t>
  </si>
  <si>
    <t>GRW511</t>
  </si>
  <si>
    <t>004200</t>
  </si>
  <si>
    <t>000042</t>
  </si>
  <si>
    <t>GRD312</t>
  </si>
  <si>
    <t>004300</t>
  </si>
  <si>
    <t>000043</t>
  </si>
  <si>
    <t>W03</t>
  </si>
  <si>
    <t>FF</t>
  </si>
  <si>
    <t>GRW031</t>
  </si>
  <si>
    <t>PR除去検査</t>
  </si>
  <si>
    <t>004400</t>
  </si>
  <si>
    <t>000044</t>
  </si>
  <si>
    <t>P11</t>
  </si>
  <si>
    <t>ED</t>
  </si>
  <si>
    <t>GRP111</t>
  </si>
  <si>
    <t>EB露光RIE後検査(SEM)</t>
  </si>
  <si>
    <t>004500</t>
  </si>
  <si>
    <t>000045</t>
  </si>
  <si>
    <t>D35</t>
  </si>
  <si>
    <t>AH</t>
  </si>
  <si>
    <t>GRD351</t>
  </si>
  <si>
    <t>回折格子加工</t>
  </si>
  <si>
    <t>004600</t>
  </si>
  <si>
    <t>000046</t>
  </si>
  <si>
    <t>GRD313</t>
  </si>
  <si>
    <t>SW</t>
  </si>
  <si>
    <t>004700</t>
  </si>
  <si>
    <t>000047</t>
  </si>
  <si>
    <t>W14</t>
  </si>
  <si>
    <t>DF</t>
  </si>
  <si>
    <t>GRW141</t>
  </si>
  <si>
    <t>硫酸（無）</t>
  </si>
  <si>
    <t>004800</t>
  </si>
  <si>
    <t>000048</t>
  </si>
  <si>
    <t>GRWA32</t>
  </si>
  <si>
    <t>004900</t>
  </si>
  <si>
    <t>000049</t>
  </si>
  <si>
    <t>P17</t>
  </si>
  <si>
    <t>DC</t>
  </si>
  <si>
    <t>GRP171</t>
  </si>
  <si>
    <t>回折格子検査（AFM）</t>
  </si>
  <si>
    <t>005000</t>
  </si>
  <si>
    <t>000050</t>
  </si>
  <si>
    <t>P65</t>
  </si>
  <si>
    <t>GRP651</t>
  </si>
  <si>
    <t>回折格子幅検査(SEM)</t>
  </si>
  <si>
    <t>005100</t>
  </si>
  <si>
    <t>000051</t>
  </si>
  <si>
    <t>AUW</t>
  </si>
  <si>
    <t>GRAUW1</t>
  </si>
  <si>
    <t>ｳｴﾊ送り(NVL1F→2F)</t>
  </si>
  <si>
    <t>005200</t>
  </si>
  <si>
    <t>000052</t>
  </si>
  <si>
    <t>AE65E1</t>
  </si>
  <si>
    <t>AE-I353-0</t>
  </si>
  <si>
    <t>AB</t>
  </si>
  <si>
    <t>活性層形成(Al-nsub)</t>
  </si>
  <si>
    <t>005300</t>
  </si>
  <si>
    <t>000053</t>
  </si>
  <si>
    <t>01D</t>
  </si>
  <si>
    <t>BC</t>
  </si>
  <si>
    <t>AE01D1</t>
  </si>
  <si>
    <t>アッシャ（エピ前）</t>
  </si>
  <si>
    <t>005400</t>
  </si>
  <si>
    <t>000054</t>
  </si>
  <si>
    <t>21W</t>
  </si>
  <si>
    <t>BU</t>
  </si>
  <si>
    <t>AE21W1</t>
  </si>
  <si>
    <t>ｳｴﾊ前処理（加工ｳｴﾊ）</t>
  </si>
  <si>
    <t>AE93E1</t>
  </si>
  <si>
    <t>005500</t>
  </si>
  <si>
    <t>000055</t>
  </si>
  <si>
    <t>93E</t>
  </si>
  <si>
    <t>DX</t>
  </si>
  <si>
    <t>活性層成長（長波）</t>
  </si>
  <si>
    <t>005600</t>
  </si>
  <si>
    <t>000056</t>
  </si>
  <si>
    <t>AE17T1</t>
  </si>
  <si>
    <t>005700</t>
  </si>
  <si>
    <t>000057</t>
  </si>
  <si>
    <t>AE02T1</t>
  </si>
  <si>
    <t>02T-GEB-2201-003</t>
  </si>
  <si>
    <t>QP208</t>
  </si>
  <si>
    <t>AH1-LMG24A</t>
  </si>
  <si>
    <t>005800</t>
  </si>
  <si>
    <t>000058</t>
  </si>
  <si>
    <t>AE65E2</t>
  </si>
  <si>
    <t>005900</t>
  </si>
  <si>
    <t>000059</t>
  </si>
  <si>
    <t>T27</t>
  </si>
  <si>
    <t>BL</t>
  </si>
  <si>
    <t>AET271</t>
  </si>
  <si>
    <t>Haze測定</t>
  </si>
  <si>
    <t>006000</t>
  </si>
  <si>
    <t>000060</t>
  </si>
  <si>
    <t>AEAUV1</t>
  </si>
  <si>
    <t>006100</t>
  </si>
  <si>
    <t>000061</t>
  </si>
  <si>
    <t>LJWA31</t>
  </si>
  <si>
    <t>LJ-I353-0</t>
  </si>
  <si>
    <t>LD活性層除去（ｷｭｱ有）</t>
  </si>
  <si>
    <t>LJC081</t>
  </si>
  <si>
    <t>006200</t>
  </si>
  <si>
    <t>000062</t>
  </si>
  <si>
    <t>006300</t>
  </si>
  <si>
    <t>000063</t>
  </si>
  <si>
    <t>LJP261</t>
  </si>
  <si>
    <t>PS</t>
  </si>
  <si>
    <t>006400</t>
  </si>
  <si>
    <t>000064</t>
  </si>
  <si>
    <t>LJP411</t>
  </si>
  <si>
    <t>006500</t>
  </si>
  <si>
    <t>000065</t>
  </si>
  <si>
    <t>LJP361</t>
  </si>
  <si>
    <t>006600</t>
  </si>
  <si>
    <t>000066</t>
  </si>
  <si>
    <t>LJP331</t>
  </si>
  <si>
    <t>006700</t>
  </si>
  <si>
    <t>000067</t>
  </si>
  <si>
    <t>LJP571</t>
  </si>
  <si>
    <t>006800</t>
  </si>
  <si>
    <t>000068</t>
  </si>
  <si>
    <t>LJP641</t>
  </si>
  <si>
    <t>006900</t>
  </si>
  <si>
    <t>000069</t>
  </si>
  <si>
    <t>LJD291</t>
  </si>
  <si>
    <t>007000</t>
  </si>
  <si>
    <t>000070</t>
  </si>
  <si>
    <t>LJP642</t>
  </si>
  <si>
    <t>Y-F1-4</t>
  </si>
  <si>
    <t>007100</t>
  </si>
  <si>
    <t>000071</t>
  </si>
  <si>
    <t>LJD331</t>
  </si>
  <si>
    <t>007200</t>
  </si>
  <si>
    <t>000072</t>
  </si>
  <si>
    <t>LJWA41</t>
  </si>
  <si>
    <t>007300</t>
  </si>
  <si>
    <t>000073</t>
  </si>
  <si>
    <t>WA9</t>
  </si>
  <si>
    <t>AF</t>
  </si>
  <si>
    <t>LJWA91</t>
  </si>
  <si>
    <t>KOH（無）</t>
  </si>
  <si>
    <t>007400</t>
  </si>
  <si>
    <t>000074</t>
  </si>
  <si>
    <t>LJD311</t>
  </si>
  <si>
    <t>007500</t>
  </si>
  <si>
    <t>000075</t>
  </si>
  <si>
    <t>LJW981</t>
  </si>
  <si>
    <t>007600</t>
  </si>
  <si>
    <t>000076</t>
  </si>
  <si>
    <t>LJW511</t>
  </si>
  <si>
    <t>007700</t>
  </si>
  <si>
    <t>000077</t>
  </si>
  <si>
    <t>LJD312</t>
  </si>
  <si>
    <t>007800</t>
  </si>
  <si>
    <t>000078</t>
  </si>
  <si>
    <t>LJW141</t>
  </si>
  <si>
    <t>007900</t>
  </si>
  <si>
    <t>000079</t>
  </si>
  <si>
    <t>LJW031</t>
  </si>
  <si>
    <t>008000</t>
  </si>
  <si>
    <t>000080</t>
  </si>
  <si>
    <t>W70</t>
  </si>
  <si>
    <t>LJW701</t>
  </si>
  <si>
    <t>BJｴｯﾁ後検査</t>
  </si>
  <si>
    <t>008100</t>
  </si>
  <si>
    <t>000081</t>
  </si>
  <si>
    <t>WA2</t>
  </si>
  <si>
    <t>AO</t>
  </si>
  <si>
    <t>LJWA21</t>
  </si>
  <si>
    <t>酒石酸（無）</t>
  </si>
  <si>
    <t>008200</t>
  </si>
  <si>
    <t>000082</t>
  </si>
  <si>
    <t>LJW702</t>
  </si>
  <si>
    <t>008300</t>
  </si>
  <si>
    <t>000083</t>
  </si>
  <si>
    <t>LJAUW1</t>
  </si>
  <si>
    <t>008400</t>
  </si>
  <si>
    <t>000084</t>
  </si>
  <si>
    <t>04T</t>
  </si>
  <si>
    <t>AK</t>
  </si>
  <si>
    <t>JE04T1</t>
  </si>
  <si>
    <t>ｳｪﾊ受入検査</t>
  </si>
  <si>
    <t>JE-I353-0</t>
  </si>
  <si>
    <t>ﾊﾞｯﾄｼﾞｮｲﾝﾄ成長</t>
  </si>
  <si>
    <t>G</t>
  </si>
  <si>
    <t>008500</t>
  </si>
  <si>
    <t>000085</t>
  </si>
  <si>
    <t>JE01D1</t>
  </si>
  <si>
    <t>008600</t>
  </si>
  <si>
    <t>000086</t>
  </si>
  <si>
    <t>JE21W1</t>
  </si>
  <si>
    <t>008700</t>
  </si>
  <si>
    <t>000087</t>
  </si>
  <si>
    <t>96E</t>
  </si>
  <si>
    <t>BX</t>
  </si>
  <si>
    <t>JE96E1</t>
  </si>
  <si>
    <t>008800</t>
  </si>
  <si>
    <t>000088</t>
  </si>
  <si>
    <t>JE17T1</t>
  </si>
  <si>
    <t>008900</t>
  </si>
  <si>
    <t>000089</t>
  </si>
  <si>
    <t>JE02T1</t>
  </si>
  <si>
    <t>009000</t>
  </si>
  <si>
    <t>000090</t>
  </si>
  <si>
    <t>JE02T3</t>
  </si>
  <si>
    <t>009100</t>
  </si>
  <si>
    <t>000091</t>
  </si>
  <si>
    <t>JEAUV1</t>
  </si>
  <si>
    <t>009200</t>
  </si>
  <si>
    <t>000092</t>
  </si>
  <si>
    <t>WA5</t>
  </si>
  <si>
    <t>AM</t>
  </si>
  <si>
    <t>MPWA51</t>
  </si>
  <si>
    <t>フッ酸（無）</t>
  </si>
  <si>
    <t>MP-I351-0</t>
  </si>
  <si>
    <t>マーク部分保護(SiO2再生)</t>
  </si>
  <si>
    <t>F</t>
  </si>
  <si>
    <t>MPC081</t>
  </si>
  <si>
    <t>009300</t>
  </si>
  <si>
    <t>000093</t>
  </si>
  <si>
    <t>009400</t>
  </si>
  <si>
    <t>000094</t>
  </si>
  <si>
    <t>MPP261</t>
  </si>
  <si>
    <t>009500</t>
  </si>
  <si>
    <t>000095</t>
  </si>
  <si>
    <t>MPP411</t>
  </si>
  <si>
    <t>009600</t>
  </si>
  <si>
    <t>000096</t>
  </si>
  <si>
    <t>MPP361</t>
  </si>
  <si>
    <t>009700</t>
  </si>
  <si>
    <t>000097</t>
  </si>
  <si>
    <t>MPP331</t>
  </si>
  <si>
    <t>009800</t>
  </si>
  <si>
    <t>000098</t>
  </si>
  <si>
    <t>MPP571</t>
  </si>
  <si>
    <t>009900</t>
  </si>
  <si>
    <t>000099</t>
  </si>
  <si>
    <t>MPD311</t>
  </si>
  <si>
    <t>010000</t>
  </si>
  <si>
    <t>MPWA31</t>
  </si>
  <si>
    <t>010100</t>
  </si>
  <si>
    <t>000101</t>
  </si>
  <si>
    <t>MPW981</t>
  </si>
  <si>
    <t>010200</t>
  </si>
  <si>
    <t>000102</t>
  </si>
  <si>
    <t>MPW511</t>
  </si>
  <si>
    <t>010300</t>
  </si>
  <si>
    <t>000103</t>
  </si>
  <si>
    <t>MPD312</t>
  </si>
  <si>
    <t>010400</t>
  </si>
  <si>
    <t>000104</t>
  </si>
  <si>
    <t>MPW031</t>
  </si>
  <si>
    <t>010500</t>
  </si>
  <si>
    <t>000105</t>
  </si>
  <si>
    <t>RGW141</t>
  </si>
  <si>
    <t>RG-I358-0</t>
  </si>
  <si>
    <t>リッジ形成(Al-ﾄﾞﾗｲ),KOH</t>
  </si>
  <si>
    <t>RGC081</t>
  </si>
  <si>
    <t>010600</t>
  </si>
  <si>
    <t>000106</t>
  </si>
  <si>
    <t>010700</t>
  </si>
  <si>
    <t>000107</t>
  </si>
  <si>
    <t>RGP261</t>
  </si>
  <si>
    <t>010800</t>
  </si>
  <si>
    <t>000108</t>
  </si>
  <si>
    <t>RGP411</t>
  </si>
  <si>
    <t>010900</t>
  </si>
  <si>
    <t>000109</t>
  </si>
  <si>
    <t>RGP361</t>
  </si>
  <si>
    <t>011000</t>
  </si>
  <si>
    <t>000110</t>
  </si>
  <si>
    <t>RGP331</t>
  </si>
  <si>
    <t>011100</t>
  </si>
  <si>
    <t>000111</t>
  </si>
  <si>
    <t>RGP571</t>
  </si>
  <si>
    <t>011200</t>
  </si>
  <si>
    <t>000112</t>
  </si>
  <si>
    <t>P21</t>
  </si>
  <si>
    <t>CY</t>
  </si>
  <si>
    <t>RGP211</t>
  </si>
  <si>
    <t>3ｲﾝﾁ残しPR幅検査</t>
  </si>
  <si>
    <t>011300</t>
  </si>
  <si>
    <t>000113</t>
  </si>
  <si>
    <t>RGD291</t>
  </si>
  <si>
    <t>011400</t>
  </si>
  <si>
    <t>000114</t>
  </si>
  <si>
    <t>RGD311</t>
  </si>
  <si>
    <t>011500</t>
  </si>
  <si>
    <t>000115</t>
  </si>
  <si>
    <t>RGW981</t>
  </si>
  <si>
    <t>011600</t>
  </si>
  <si>
    <t>000116</t>
  </si>
  <si>
    <t>RGW511</t>
  </si>
  <si>
    <t>011700</t>
  </si>
  <si>
    <t>000117</t>
  </si>
  <si>
    <t>RGD312</t>
  </si>
  <si>
    <t>011800</t>
  </si>
  <si>
    <t>000118</t>
  </si>
  <si>
    <t>RGW142</t>
  </si>
  <si>
    <t>011900</t>
  </si>
  <si>
    <t>000119</t>
  </si>
  <si>
    <t>RGW031</t>
  </si>
  <si>
    <t>012000</t>
  </si>
  <si>
    <t>000120</t>
  </si>
  <si>
    <t>T07</t>
  </si>
  <si>
    <t>RGT071</t>
  </si>
  <si>
    <t>ｴｯﾁﾝｸﾞ残検査</t>
  </si>
  <si>
    <t>012100</t>
  </si>
  <si>
    <t>000121</t>
  </si>
  <si>
    <t>P05</t>
  </si>
  <si>
    <t>RGP051</t>
  </si>
  <si>
    <t>3ｲﾝﾁSiO2幅検査</t>
  </si>
  <si>
    <t>012200</t>
  </si>
  <si>
    <t>000122</t>
  </si>
  <si>
    <t>RGD331</t>
  </si>
  <si>
    <t>012300</t>
  </si>
  <si>
    <t>000123</t>
  </si>
  <si>
    <t>RGW512</t>
  </si>
  <si>
    <t>012400</t>
  </si>
  <si>
    <t>000124</t>
  </si>
  <si>
    <t>W61</t>
  </si>
  <si>
    <t>CN</t>
  </si>
  <si>
    <t>RGW611</t>
  </si>
  <si>
    <t>ARﾒｻ深さ検査</t>
  </si>
  <si>
    <t>012500</t>
  </si>
  <si>
    <t>000125</t>
  </si>
  <si>
    <t>RGWA41</t>
  </si>
  <si>
    <t>012600</t>
  </si>
  <si>
    <t>000126</t>
  </si>
  <si>
    <t>85T</t>
  </si>
  <si>
    <t>RG85T1</t>
  </si>
  <si>
    <t>ARﾄﾞﾗｲﾒｻ寸法検査</t>
  </si>
  <si>
    <t>012700</t>
  </si>
  <si>
    <t>000127</t>
  </si>
  <si>
    <t>RGWA91</t>
  </si>
  <si>
    <t>012800</t>
  </si>
  <si>
    <t>000128</t>
  </si>
  <si>
    <t>RGAUW1</t>
  </si>
  <si>
    <t>012900</t>
  </si>
  <si>
    <t>000129</t>
  </si>
  <si>
    <t>BE21W1</t>
  </si>
  <si>
    <t>21W-GEB-2110-007</t>
  </si>
  <si>
    <t>WE21304</t>
  </si>
  <si>
    <t>3-001-1M</t>
  </si>
  <si>
    <t>BE-I354-0</t>
  </si>
  <si>
    <t>ブロック層形成（Al-nsub）</t>
  </si>
  <si>
    <t>I</t>
  </si>
  <si>
    <t>013000</t>
  </si>
  <si>
    <t>000130</t>
  </si>
  <si>
    <t>BE21W2</t>
  </si>
  <si>
    <t>21W-GEB-2110-008</t>
  </si>
  <si>
    <t>WE21308</t>
  </si>
  <si>
    <t>3-NH4-3M</t>
  </si>
  <si>
    <t>013100</t>
  </si>
  <si>
    <t>000131</t>
  </si>
  <si>
    <t>98E</t>
  </si>
  <si>
    <t>EX</t>
  </si>
  <si>
    <t>BE98E1</t>
  </si>
  <si>
    <t>ﾌﾞﾛｯｸ層成長（長波）</t>
  </si>
  <si>
    <t>98E-GEB-2110-003</t>
  </si>
  <si>
    <t>MC251</t>
  </si>
  <si>
    <t>BECNFK</t>
  </si>
  <si>
    <t>013200</t>
  </si>
  <si>
    <t>000132</t>
  </si>
  <si>
    <t>BE17T1</t>
  </si>
  <si>
    <t>17T-GEB-2110-006</t>
  </si>
  <si>
    <t>CHO-SAI</t>
  </si>
  <si>
    <t>013300</t>
  </si>
  <si>
    <t>000133</t>
  </si>
  <si>
    <t>BEAUV1</t>
  </si>
  <si>
    <t>013400</t>
  </si>
  <si>
    <t>000134</t>
  </si>
  <si>
    <t>DJWA41</t>
  </si>
  <si>
    <t>DJ-I350-0</t>
  </si>
  <si>
    <t>段差除去(ﾊﾟﾀｰﾝ形成有)</t>
  </si>
  <si>
    <t>K</t>
  </si>
  <si>
    <t>PM</t>
  </si>
  <si>
    <t>DJP261</t>
  </si>
  <si>
    <t>013500</t>
  </si>
  <si>
    <t>000135</t>
  </si>
  <si>
    <t>B</t>
  </si>
  <si>
    <t>013600</t>
  </si>
  <si>
    <t>000136</t>
  </si>
  <si>
    <t>DJP411</t>
  </si>
  <si>
    <t>013700</t>
  </si>
  <si>
    <t>000137</t>
  </si>
  <si>
    <t>DJP361</t>
  </si>
  <si>
    <t>013800</t>
  </si>
  <si>
    <t>000138</t>
  </si>
  <si>
    <t>DJP331</t>
  </si>
  <si>
    <t>013900</t>
  </si>
  <si>
    <t>000139</t>
  </si>
  <si>
    <t>DJP571</t>
  </si>
  <si>
    <t>014000</t>
  </si>
  <si>
    <t>000140</t>
  </si>
  <si>
    <t>WDJ</t>
  </si>
  <si>
    <t>AP</t>
  </si>
  <si>
    <t>DJWDJ1</t>
  </si>
  <si>
    <t>段差除去</t>
  </si>
  <si>
    <t>J</t>
  </si>
  <si>
    <t>014100</t>
  </si>
  <si>
    <t>000141</t>
  </si>
  <si>
    <t>DJW981</t>
  </si>
  <si>
    <t>014200</t>
  </si>
  <si>
    <t>000142</t>
  </si>
  <si>
    <t>DJW511</t>
  </si>
  <si>
    <t>014300</t>
  </si>
  <si>
    <t>000143</t>
  </si>
  <si>
    <t>DJD311</t>
  </si>
  <si>
    <t>014400</t>
  </si>
  <si>
    <t>000144</t>
  </si>
  <si>
    <t>DJW031</t>
  </si>
  <si>
    <t>014500</t>
  </si>
  <si>
    <t>000145</t>
  </si>
  <si>
    <t>MHWA51</t>
  </si>
  <si>
    <t>MH-I350-0</t>
  </si>
  <si>
    <t>ﾏｰｸ部分保護(SiO2再生)</t>
  </si>
  <si>
    <t>MHC081</t>
  </si>
  <si>
    <t>014600</t>
  </si>
  <si>
    <t>000146</t>
  </si>
  <si>
    <t>014700</t>
  </si>
  <si>
    <t>000147</t>
  </si>
  <si>
    <t>MHP261</t>
  </si>
  <si>
    <t>014800</t>
  </si>
  <si>
    <t>000148</t>
  </si>
  <si>
    <t>MHP411</t>
  </si>
  <si>
    <t>014900</t>
  </si>
  <si>
    <t>000149</t>
  </si>
  <si>
    <t>MHP361</t>
  </si>
  <si>
    <t>015000</t>
  </si>
  <si>
    <t>000150</t>
  </si>
  <si>
    <t>MHP331</t>
  </si>
  <si>
    <t>015100</t>
  </si>
  <si>
    <t>000151</t>
  </si>
  <si>
    <t>MHP571</t>
  </si>
  <si>
    <t>015200</t>
  </si>
  <si>
    <t>000152</t>
  </si>
  <si>
    <t>MHD311</t>
  </si>
  <si>
    <t>015300</t>
  </si>
  <si>
    <t>000153</t>
  </si>
  <si>
    <t>MHWA31</t>
  </si>
  <si>
    <t>015400</t>
  </si>
  <si>
    <t>000154</t>
  </si>
  <si>
    <t>MHW981</t>
  </si>
  <si>
    <t>015500</t>
  </si>
  <si>
    <t>000155</t>
  </si>
  <si>
    <t>MHW511</t>
  </si>
  <si>
    <t>015600</t>
  </si>
  <si>
    <t>000156</t>
  </si>
  <si>
    <t>MHD312</t>
  </si>
  <si>
    <t>015700</t>
  </si>
  <si>
    <t>000157</t>
  </si>
  <si>
    <t>MHW031</t>
  </si>
  <si>
    <t>015800</t>
  </si>
  <si>
    <t>000158</t>
  </si>
  <si>
    <t>MHAUW1</t>
  </si>
  <si>
    <t>015900</t>
  </si>
  <si>
    <t>000159</t>
  </si>
  <si>
    <t>CE04T1</t>
  </si>
  <si>
    <t>CE-I353-0</t>
  </si>
  <si>
    <t>コンタクト層形成</t>
  </si>
  <si>
    <t>016000</t>
  </si>
  <si>
    <t>000160</t>
  </si>
  <si>
    <t>CE01D1</t>
  </si>
  <si>
    <t>016100</t>
  </si>
  <si>
    <t>000161</t>
  </si>
  <si>
    <t>CE21W1</t>
  </si>
  <si>
    <t>21W-GEB-2110-009</t>
  </si>
  <si>
    <t>3-001-2M</t>
  </si>
  <si>
    <t>CE99E1</t>
  </si>
  <si>
    <t>016200</t>
  </si>
  <si>
    <t>000162</t>
  </si>
  <si>
    <t>99E</t>
  </si>
  <si>
    <t>DR</t>
  </si>
  <si>
    <t>ｺﾝﾀｸﾄ層成長（長波）</t>
  </si>
  <si>
    <t>99E-GEB-2110-004</t>
  </si>
  <si>
    <t>CENAK</t>
  </si>
  <si>
    <t>016300</t>
  </si>
  <si>
    <t>000163</t>
  </si>
  <si>
    <t>CE17T1</t>
  </si>
  <si>
    <t>17T-GEB-2110-007</t>
  </si>
  <si>
    <t>016400</t>
  </si>
  <si>
    <t>000164</t>
  </si>
  <si>
    <t>CE65E1</t>
  </si>
  <si>
    <t>016500</t>
  </si>
  <si>
    <t>000165</t>
  </si>
  <si>
    <t>CEAUV1</t>
  </si>
  <si>
    <t>016600</t>
  </si>
  <si>
    <t>000166</t>
  </si>
  <si>
    <t>DKWA31</t>
  </si>
  <si>
    <t>DK-I351-0</t>
  </si>
  <si>
    <t>パッド下InP台座形成(NSR)</t>
  </si>
  <si>
    <t>016700</t>
  </si>
  <si>
    <t>000167</t>
  </si>
  <si>
    <t>DKWA41</t>
  </si>
  <si>
    <t>DKP351</t>
  </si>
  <si>
    <t>016800</t>
  </si>
  <si>
    <t>000168</t>
  </si>
  <si>
    <t>P35</t>
  </si>
  <si>
    <t>AW</t>
  </si>
  <si>
    <t>ﾍﾞｰｸ（140℃）</t>
  </si>
  <si>
    <t>DKP261</t>
  </si>
  <si>
    <t>016900</t>
  </si>
  <si>
    <t>000169</t>
  </si>
  <si>
    <t>017000</t>
  </si>
  <si>
    <t>000170</t>
  </si>
  <si>
    <t>DKP411</t>
  </si>
  <si>
    <t>017100</t>
  </si>
  <si>
    <t>000171</t>
  </si>
  <si>
    <t>DKP361</t>
  </si>
  <si>
    <t>017200</t>
  </si>
  <si>
    <t>000172</t>
  </si>
  <si>
    <t>DKP331</t>
  </si>
  <si>
    <t>017300</t>
  </si>
  <si>
    <t>000173</t>
  </si>
  <si>
    <t>DKP571</t>
  </si>
  <si>
    <t>017400</t>
  </si>
  <si>
    <t>000174</t>
  </si>
  <si>
    <t>P34</t>
  </si>
  <si>
    <t>BV</t>
  </si>
  <si>
    <t>DKP341</t>
  </si>
  <si>
    <t>ﾍﾞｰｸ（90℃）</t>
  </si>
  <si>
    <t>017500</t>
  </si>
  <si>
    <t>000175</t>
  </si>
  <si>
    <t>DKD311</t>
  </si>
  <si>
    <t>DKWA42</t>
  </si>
  <si>
    <t>017600</t>
  </si>
  <si>
    <t>000176</t>
  </si>
  <si>
    <t>017700</t>
  </si>
  <si>
    <t>000177</t>
  </si>
  <si>
    <t>DKW981</t>
  </si>
  <si>
    <t>017800</t>
  </si>
  <si>
    <t>000178</t>
  </si>
  <si>
    <t>DKW511</t>
  </si>
  <si>
    <t>017900</t>
  </si>
  <si>
    <t>000179</t>
  </si>
  <si>
    <t>DKD312</t>
  </si>
  <si>
    <t>018000</t>
  </si>
  <si>
    <t>000180</t>
  </si>
  <si>
    <t>DKW031</t>
  </si>
  <si>
    <t>018100</t>
  </si>
  <si>
    <t>000181</t>
  </si>
  <si>
    <t>MKWA31</t>
  </si>
  <si>
    <t>MK-I355-0</t>
  </si>
  <si>
    <t>メサ形成（ﾄﾞﾗｲ+ｳｪｯﾄ）</t>
  </si>
  <si>
    <t>DS</t>
  </si>
  <si>
    <t>MKC081</t>
  </si>
  <si>
    <t>018200</t>
  </si>
  <si>
    <t>000182</t>
  </si>
  <si>
    <t>018300</t>
  </si>
  <si>
    <t>000183</t>
  </si>
  <si>
    <t>MKC082</t>
  </si>
  <si>
    <t>018400</t>
  </si>
  <si>
    <t>000184</t>
  </si>
  <si>
    <t>MKP261</t>
  </si>
  <si>
    <t>018500</t>
  </si>
  <si>
    <t>000185</t>
  </si>
  <si>
    <t>MKP411</t>
  </si>
  <si>
    <t>018600</t>
  </si>
  <si>
    <t>000186</t>
  </si>
  <si>
    <t>MKP361</t>
  </si>
  <si>
    <t>018700</t>
  </si>
  <si>
    <t>000187</t>
  </si>
  <si>
    <t>MKP331</t>
  </si>
  <si>
    <t>018800</t>
  </si>
  <si>
    <t>000188</t>
  </si>
  <si>
    <t>MKP571</t>
  </si>
  <si>
    <t>018900</t>
  </si>
  <si>
    <t>000189</t>
  </si>
  <si>
    <t>MKD291</t>
  </si>
  <si>
    <t>019000</t>
  </si>
  <si>
    <t>000190</t>
  </si>
  <si>
    <t>MKD311</t>
  </si>
  <si>
    <t>019100</t>
  </si>
  <si>
    <t>000191</t>
  </si>
  <si>
    <t>MKW981</t>
  </si>
  <si>
    <t>019200</t>
  </si>
  <si>
    <t>000192</t>
  </si>
  <si>
    <t>MKW511</t>
  </si>
  <si>
    <t>019300</t>
  </si>
  <si>
    <t>000193</t>
  </si>
  <si>
    <t>MKD312</t>
  </si>
  <si>
    <t>019400</t>
  </si>
  <si>
    <t>000194</t>
  </si>
  <si>
    <t>MKW141</t>
  </si>
  <si>
    <t>019500</t>
  </si>
  <si>
    <t>000195</t>
  </si>
  <si>
    <t>MKW031</t>
  </si>
  <si>
    <t>019600</t>
  </si>
  <si>
    <t>000196</t>
  </si>
  <si>
    <t>MKD331</t>
  </si>
  <si>
    <t>019700</t>
  </si>
  <si>
    <t>000197</t>
  </si>
  <si>
    <t>MKWA41</t>
  </si>
  <si>
    <t>019800</t>
  </si>
  <si>
    <t>000198</t>
  </si>
  <si>
    <t>MKT761</t>
  </si>
  <si>
    <t>Y-M7-2</t>
  </si>
  <si>
    <t>019900</t>
  </si>
  <si>
    <t>000199</t>
  </si>
  <si>
    <t>W20</t>
  </si>
  <si>
    <t>AI</t>
  </si>
  <si>
    <t>MKW201</t>
  </si>
  <si>
    <t>過酸化水素水（無）</t>
  </si>
  <si>
    <t>020000</t>
  </si>
  <si>
    <t>MKWA32</t>
  </si>
  <si>
    <t>020100</t>
  </si>
  <si>
    <t>000201</t>
  </si>
  <si>
    <t>W80</t>
  </si>
  <si>
    <t>MKW801</t>
  </si>
  <si>
    <t>塩酸リン酸（無）</t>
  </si>
  <si>
    <t>020200</t>
  </si>
  <si>
    <t>000202</t>
  </si>
  <si>
    <t>W62</t>
  </si>
  <si>
    <t>CW</t>
  </si>
  <si>
    <t>MKW621</t>
  </si>
  <si>
    <t>表面ﾒｻ深さ検査</t>
  </si>
  <si>
    <t>020300</t>
  </si>
  <si>
    <t>000203</t>
  </si>
  <si>
    <t>MKWA33</t>
  </si>
  <si>
    <t>020400</t>
  </si>
  <si>
    <t>000204</t>
  </si>
  <si>
    <t>IMWA42</t>
  </si>
  <si>
    <t>IM-I350-0</t>
  </si>
  <si>
    <t>アイソレーションメサ形成</t>
  </si>
  <si>
    <t>IMP261</t>
  </si>
  <si>
    <t>020500</t>
  </si>
  <si>
    <t>000205</t>
  </si>
  <si>
    <t>020600</t>
  </si>
  <si>
    <t>000206</t>
  </si>
  <si>
    <t>IMP411</t>
  </si>
  <si>
    <t>020700</t>
  </si>
  <si>
    <t>000207</t>
  </si>
  <si>
    <t>IMP361</t>
  </si>
  <si>
    <t>020800</t>
  </si>
  <si>
    <t>000208</t>
  </si>
  <si>
    <t>IMP331</t>
  </si>
  <si>
    <t>020900</t>
  </si>
  <si>
    <t>000209</t>
  </si>
  <si>
    <t>IMP571</t>
  </si>
  <si>
    <t>021000</t>
  </si>
  <si>
    <t>000210</t>
  </si>
  <si>
    <t>IMD311</t>
  </si>
  <si>
    <t>021100</t>
  </si>
  <si>
    <t>000211</t>
  </si>
  <si>
    <t>IMWA41</t>
  </si>
  <si>
    <t>IMWA21</t>
  </si>
  <si>
    <t>021200</t>
  </si>
  <si>
    <t>000212</t>
  </si>
  <si>
    <t>021300</t>
  </si>
  <si>
    <t>000213</t>
  </si>
  <si>
    <t>IMW981</t>
  </si>
  <si>
    <t>021400</t>
  </si>
  <si>
    <t>000214</t>
  </si>
  <si>
    <t>IMW511</t>
  </si>
  <si>
    <t>021500</t>
  </si>
  <si>
    <t>000215</t>
  </si>
  <si>
    <t>IMD312</t>
  </si>
  <si>
    <t>021600</t>
  </si>
  <si>
    <t>000216</t>
  </si>
  <si>
    <t>IMW031</t>
  </si>
  <si>
    <t>021700</t>
  </si>
  <si>
    <t>000217</t>
  </si>
  <si>
    <t>T25</t>
  </si>
  <si>
    <t>IMT251</t>
  </si>
  <si>
    <t>InGaAs膜厚検査</t>
  </si>
  <si>
    <t>021800</t>
  </si>
  <si>
    <t>000218</t>
  </si>
  <si>
    <t>PLWA31</t>
  </si>
  <si>
    <t>PL-I350-0</t>
  </si>
  <si>
    <t>AE</t>
  </si>
  <si>
    <t>低容量絶縁膜形成（ﾎﾟｼﾞ）</t>
  </si>
  <si>
    <t>PLC081</t>
  </si>
  <si>
    <t>021900</t>
  </si>
  <si>
    <t>000219</t>
  </si>
  <si>
    <t>022000</t>
  </si>
  <si>
    <t>000220</t>
  </si>
  <si>
    <t>PLP261</t>
  </si>
  <si>
    <t>022100</t>
  </si>
  <si>
    <t>000221</t>
  </si>
  <si>
    <t>P43</t>
  </si>
  <si>
    <t>CO</t>
  </si>
  <si>
    <t>PLP431</t>
  </si>
  <si>
    <t>MPA露光（3インチ）</t>
  </si>
  <si>
    <t>022200</t>
  </si>
  <si>
    <t>000222</t>
  </si>
  <si>
    <t>PLP361</t>
  </si>
  <si>
    <t>022300</t>
  </si>
  <si>
    <t>000223</t>
  </si>
  <si>
    <t>PLP331</t>
  </si>
  <si>
    <t>022400</t>
  </si>
  <si>
    <t>000224</t>
  </si>
  <si>
    <t>P58</t>
  </si>
  <si>
    <t>PLP581</t>
  </si>
  <si>
    <t>現像検査（3ｲﾝﾁMPA）</t>
  </si>
  <si>
    <t>022500</t>
  </si>
  <si>
    <t>000225</t>
  </si>
  <si>
    <t>PLD311</t>
  </si>
  <si>
    <t>022600</t>
  </si>
  <si>
    <t>000226</t>
  </si>
  <si>
    <t>PLD291</t>
  </si>
  <si>
    <t>022700</t>
  </si>
  <si>
    <t>000227</t>
  </si>
  <si>
    <t>PLD312</t>
  </si>
  <si>
    <t>Y-S1-2</t>
  </si>
  <si>
    <t>022800</t>
  </si>
  <si>
    <t>000228</t>
  </si>
  <si>
    <t>PLW981</t>
  </si>
  <si>
    <t>022900</t>
  </si>
  <si>
    <t>000229</t>
  </si>
  <si>
    <t>PLW511</t>
  </si>
  <si>
    <t>023000</t>
  </si>
  <si>
    <t>000230</t>
  </si>
  <si>
    <t>PLD313</t>
  </si>
  <si>
    <t>023100</t>
  </si>
  <si>
    <t>000231</t>
  </si>
  <si>
    <t>PLW031</t>
  </si>
  <si>
    <t>023200</t>
  </si>
  <si>
    <t>000232</t>
  </si>
  <si>
    <t>T28</t>
  </si>
  <si>
    <t>PLT281</t>
  </si>
  <si>
    <t>ウエハ表面検査</t>
  </si>
  <si>
    <t>023300</t>
  </si>
  <si>
    <t>000233</t>
  </si>
  <si>
    <t>PVW141</t>
  </si>
  <si>
    <t>PV-I354-0</t>
  </si>
  <si>
    <t>絶縁膜形成（P-SiO熱、NSR）</t>
  </si>
  <si>
    <t>PVC081</t>
  </si>
  <si>
    <t>023400</t>
  </si>
  <si>
    <t>000234</t>
  </si>
  <si>
    <t>023500</t>
  </si>
  <si>
    <t>000235</t>
  </si>
  <si>
    <t>K11</t>
  </si>
  <si>
    <t>PVK111</t>
  </si>
  <si>
    <t>熱処理(3インチ)</t>
  </si>
  <si>
    <t>023600</t>
  </si>
  <si>
    <t>000236</t>
  </si>
  <si>
    <t>PVP261</t>
  </si>
  <si>
    <t>023700</t>
  </si>
  <si>
    <t>000237</t>
  </si>
  <si>
    <t>PVP411</t>
  </si>
  <si>
    <t>023800</t>
  </si>
  <si>
    <t>000238</t>
  </si>
  <si>
    <t>PVP361</t>
  </si>
  <si>
    <t>023900</t>
  </si>
  <si>
    <t>000239</t>
  </si>
  <si>
    <t>PVP331</t>
  </si>
  <si>
    <t>024000</t>
  </si>
  <si>
    <t>000240</t>
  </si>
  <si>
    <t>PVP571</t>
  </si>
  <si>
    <t>024100</t>
  </si>
  <si>
    <t>000241</t>
  </si>
  <si>
    <t>P66</t>
  </si>
  <si>
    <t>PVP661</t>
  </si>
  <si>
    <t>寸法測定（SEM）</t>
  </si>
  <si>
    <t>024200</t>
  </si>
  <si>
    <t>000242</t>
  </si>
  <si>
    <t>PVD311</t>
  </si>
  <si>
    <t>024300</t>
  </si>
  <si>
    <t>000243</t>
  </si>
  <si>
    <t>D30</t>
  </si>
  <si>
    <t>AQ</t>
  </si>
  <si>
    <t>PVD301</t>
  </si>
  <si>
    <t>コンタクト部窓開け</t>
  </si>
  <si>
    <t>024400</t>
  </si>
  <si>
    <t>000244</t>
  </si>
  <si>
    <t>W74</t>
  </si>
  <si>
    <t>PVW741</t>
  </si>
  <si>
    <t>PVエッチング後検査</t>
  </si>
  <si>
    <t>024500</t>
  </si>
  <si>
    <t>000245</t>
  </si>
  <si>
    <t>PVD312</t>
  </si>
  <si>
    <t>024600</t>
  </si>
  <si>
    <t>000246</t>
  </si>
  <si>
    <t>PVW981</t>
  </si>
  <si>
    <t>024700</t>
  </si>
  <si>
    <t>000247</t>
  </si>
  <si>
    <t>PVW511</t>
  </si>
  <si>
    <t>024800</t>
  </si>
  <si>
    <t>000248</t>
  </si>
  <si>
    <t>PVD313</t>
  </si>
  <si>
    <t>024900</t>
  </si>
  <si>
    <t>000249</t>
  </si>
  <si>
    <t>PVW142</t>
  </si>
  <si>
    <t>025000</t>
  </si>
  <si>
    <t>000250</t>
  </si>
  <si>
    <t>PVW031</t>
  </si>
  <si>
    <t>025100</t>
  </si>
  <si>
    <t>000251</t>
  </si>
  <si>
    <t>PVP662</t>
  </si>
  <si>
    <t>025200</t>
  </si>
  <si>
    <t>000252</t>
  </si>
  <si>
    <t>SCD311</t>
  </si>
  <si>
    <t>SC-I353-0</t>
  </si>
  <si>
    <t>表面電極ﾒｯｷ(希塩酸、ﾎﾟｼﾞ)</t>
  </si>
  <si>
    <t>O</t>
  </si>
  <si>
    <t>SCWA41</t>
  </si>
  <si>
    <t>025300</t>
  </si>
  <si>
    <t>000253</t>
  </si>
  <si>
    <t>SCM081</t>
  </si>
  <si>
    <t>025400</t>
  </si>
  <si>
    <t>000254</t>
  </si>
  <si>
    <t>M08</t>
  </si>
  <si>
    <t>メタルスパッタ</t>
  </si>
  <si>
    <t>025500</t>
  </si>
  <si>
    <t>000255</t>
  </si>
  <si>
    <t>SCP261</t>
  </si>
  <si>
    <t>Y-B7-2</t>
  </si>
  <si>
    <t>025600</t>
  </si>
  <si>
    <t>000256</t>
  </si>
  <si>
    <t>SCP431</t>
  </si>
  <si>
    <t>025700</t>
  </si>
  <si>
    <t>000257</t>
  </si>
  <si>
    <t>SCP331</t>
  </si>
  <si>
    <t>025800</t>
  </si>
  <si>
    <t>000258</t>
  </si>
  <si>
    <t>SCP581</t>
  </si>
  <si>
    <t>025900</t>
  </si>
  <si>
    <t>000259</t>
  </si>
  <si>
    <t>D32</t>
  </si>
  <si>
    <t>SCD321</t>
  </si>
  <si>
    <t>アッシャ(有)</t>
  </si>
  <si>
    <t>DA</t>
  </si>
  <si>
    <t>SCW831</t>
  </si>
  <si>
    <t>026000</t>
  </si>
  <si>
    <t>000260</t>
  </si>
  <si>
    <t>W83</t>
  </si>
  <si>
    <t>ｼｬﾜｰ水洗（3ｲﾝﾁ）</t>
  </si>
  <si>
    <t>SCR021</t>
  </si>
  <si>
    <t>026100</t>
  </si>
  <si>
    <t>000261</t>
  </si>
  <si>
    <t>R02</t>
  </si>
  <si>
    <t>3ｲﾝﾁ表Auﾒｯｷ</t>
  </si>
  <si>
    <t>026200</t>
  </si>
  <si>
    <t>000262</t>
  </si>
  <si>
    <t>R09</t>
  </si>
  <si>
    <t>SCR091</t>
  </si>
  <si>
    <t>蛍光X線めっき厚測定</t>
  </si>
  <si>
    <t>Y-G6-2</t>
  </si>
  <si>
    <t>026300</t>
  </si>
  <si>
    <t>000263</t>
  </si>
  <si>
    <t>W97</t>
  </si>
  <si>
    <t>SCW971</t>
  </si>
  <si>
    <t>レジスト除去（有）</t>
  </si>
  <si>
    <t>026400</t>
  </si>
  <si>
    <t>000264</t>
  </si>
  <si>
    <t>SCW832</t>
  </si>
  <si>
    <t>026500</t>
  </si>
  <si>
    <t>000265</t>
  </si>
  <si>
    <t>R08</t>
  </si>
  <si>
    <t>AV</t>
  </si>
  <si>
    <t>SCR081</t>
  </si>
  <si>
    <t>Auﾒｯｷ後検査</t>
  </si>
  <si>
    <t>Y-G5-2</t>
  </si>
  <si>
    <t>026600</t>
  </si>
  <si>
    <t>000266</t>
  </si>
  <si>
    <t>HEP351</t>
  </si>
  <si>
    <t>HE-I350-0</t>
  </si>
  <si>
    <t>表面電極エッチ（Ti/Au）</t>
  </si>
  <si>
    <t>P</t>
  </si>
  <si>
    <t>HEP281</t>
  </si>
  <si>
    <t>026700</t>
  </si>
  <si>
    <t>000267</t>
  </si>
  <si>
    <t>026800</t>
  </si>
  <si>
    <t>000268</t>
  </si>
  <si>
    <t>HEP431</t>
  </si>
  <si>
    <t>D</t>
  </si>
  <si>
    <t>026900</t>
  </si>
  <si>
    <t>000269</t>
  </si>
  <si>
    <t>HEP301</t>
  </si>
  <si>
    <t>027000</t>
  </si>
  <si>
    <t>000270</t>
  </si>
  <si>
    <t>HEP581</t>
  </si>
  <si>
    <t>027100</t>
  </si>
  <si>
    <t>000271</t>
  </si>
  <si>
    <t>HEP341</t>
  </si>
  <si>
    <t>027200</t>
  </si>
  <si>
    <t>000272</t>
  </si>
  <si>
    <t>HED321</t>
  </si>
  <si>
    <t>027300</t>
  </si>
  <si>
    <t>000273</t>
  </si>
  <si>
    <t>WA6</t>
  </si>
  <si>
    <t>HEWA61</t>
  </si>
  <si>
    <t>Ａｕエッチング</t>
  </si>
  <si>
    <t>027400</t>
  </si>
  <si>
    <t>000274</t>
  </si>
  <si>
    <t>W57</t>
  </si>
  <si>
    <t>AJ</t>
  </si>
  <si>
    <t>HEW571</t>
  </si>
  <si>
    <t>Auｴｯﾁ後検査（金顕）</t>
  </si>
  <si>
    <t>027500</t>
  </si>
  <si>
    <t>000275</t>
  </si>
  <si>
    <t>W21</t>
  </si>
  <si>
    <t>HEW211</t>
  </si>
  <si>
    <t>Tiエッチング</t>
  </si>
  <si>
    <t>027600</t>
  </si>
  <si>
    <t>000276</t>
  </si>
  <si>
    <t>W68</t>
  </si>
  <si>
    <t>HEW681</t>
  </si>
  <si>
    <t>Tiｴｯﾁ後検査（金顕）</t>
  </si>
  <si>
    <t>Y-E8</t>
  </si>
  <si>
    <t>027700</t>
  </si>
  <si>
    <t>000277</t>
  </si>
  <si>
    <t>HEW971</t>
  </si>
  <si>
    <t>027800</t>
  </si>
  <si>
    <t>000278</t>
  </si>
  <si>
    <t>HEW831</t>
  </si>
  <si>
    <t>027900</t>
  </si>
  <si>
    <t>000279</t>
  </si>
  <si>
    <t>T04</t>
  </si>
  <si>
    <t>HET041</t>
  </si>
  <si>
    <t>メタル膜厚検査</t>
  </si>
  <si>
    <t>DJ</t>
  </si>
  <si>
    <t>028000</t>
  </si>
  <si>
    <t>000280</t>
  </si>
  <si>
    <t>BHD321</t>
  </si>
  <si>
    <t>BH-I350-0</t>
  </si>
  <si>
    <t>表面保護膜形成</t>
  </si>
  <si>
    <t>R</t>
  </si>
  <si>
    <t>PH</t>
  </si>
  <si>
    <t>028100</t>
  </si>
  <si>
    <t>000281</t>
  </si>
  <si>
    <t>BHP281</t>
  </si>
  <si>
    <t>028200</t>
  </si>
  <si>
    <t>000282</t>
  </si>
  <si>
    <t>BHP361</t>
  </si>
  <si>
    <t>028300</t>
  </si>
  <si>
    <t>000283</t>
  </si>
  <si>
    <t>P37</t>
  </si>
  <si>
    <t>BHP371</t>
  </si>
  <si>
    <t>全面露光（3インチ）</t>
  </si>
  <si>
    <t>028400</t>
  </si>
  <si>
    <t>000284</t>
  </si>
  <si>
    <t>BHP362</t>
  </si>
  <si>
    <t>028500</t>
  </si>
  <si>
    <t>000285</t>
  </si>
  <si>
    <t>B09</t>
  </si>
  <si>
    <t>BLB091</t>
  </si>
  <si>
    <t>基板厚測定（貼付前）</t>
  </si>
  <si>
    <t>BL-I350-0</t>
  </si>
  <si>
    <t>裏面研磨</t>
  </si>
  <si>
    <t>S</t>
  </si>
  <si>
    <t>028600</t>
  </si>
  <si>
    <t>000286</t>
  </si>
  <si>
    <t>B11</t>
  </si>
  <si>
    <t>BLB111</t>
  </si>
  <si>
    <t>ワックス塗布</t>
  </si>
  <si>
    <t>Y-J5-2</t>
  </si>
  <si>
    <t>028700</t>
  </si>
  <si>
    <t>000287</t>
  </si>
  <si>
    <t>B01</t>
  </si>
  <si>
    <t>BLB011</t>
  </si>
  <si>
    <t>脱泡</t>
  </si>
  <si>
    <t>028800</t>
  </si>
  <si>
    <t>000288</t>
  </si>
  <si>
    <t>B02</t>
  </si>
  <si>
    <t>BLB021</t>
  </si>
  <si>
    <t>脱泡後洗浄</t>
  </si>
  <si>
    <t>028900</t>
  </si>
  <si>
    <t>000289</t>
  </si>
  <si>
    <t>B05</t>
  </si>
  <si>
    <t>BLB051</t>
  </si>
  <si>
    <t>脱泡検査</t>
  </si>
  <si>
    <t>Y-J1-2</t>
  </si>
  <si>
    <t>029000</t>
  </si>
  <si>
    <t>000290</t>
  </si>
  <si>
    <t>W52</t>
  </si>
  <si>
    <t>BLW521</t>
  </si>
  <si>
    <t>周辺Ａｕエッチ</t>
  </si>
  <si>
    <t>029100</t>
  </si>
  <si>
    <t>000291</t>
  </si>
  <si>
    <t>W72</t>
  </si>
  <si>
    <t>BLW721</t>
  </si>
  <si>
    <t>周辺Ａｕエッチ検査</t>
  </si>
  <si>
    <t>029200</t>
  </si>
  <si>
    <t>000292</t>
  </si>
  <si>
    <t>B12</t>
  </si>
  <si>
    <t>BLB121</t>
  </si>
  <si>
    <t>ワックス厚測定</t>
  </si>
  <si>
    <t>029300</t>
  </si>
  <si>
    <t>000293</t>
  </si>
  <si>
    <t>B07</t>
  </si>
  <si>
    <t>BLB071</t>
  </si>
  <si>
    <t>研削</t>
  </si>
  <si>
    <t>029400</t>
  </si>
  <si>
    <t>000294</t>
  </si>
  <si>
    <t>B10</t>
  </si>
  <si>
    <t>BLB101</t>
  </si>
  <si>
    <t>基板厚測定（研削後）</t>
  </si>
  <si>
    <t>029500</t>
  </si>
  <si>
    <t>000295</t>
  </si>
  <si>
    <t>W39</t>
  </si>
  <si>
    <t>BBW391</t>
  </si>
  <si>
    <t>Br（裏）</t>
  </si>
  <si>
    <t>BB-I350-0</t>
  </si>
  <si>
    <t>裏面エッチング</t>
  </si>
  <si>
    <t>T</t>
  </si>
  <si>
    <t>029600</t>
  </si>
  <si>
    <t>000296</t>
  </si>
  <si>
    <t>W66</t>
  </si>
  <si>
    <t>BM</t>
  </si>
  <si>
    <t>BBW661</t>
  </si>
  <si>
    <t>Br後基板厚測定</t>
  </si>
  <si>
    <t>029700</t>
  </si>
  <si>
    <t>000297</t>
  </si>
  <si>
    <t>BJD321</t>
  </si>
  <si>
    <t>BJ-I350-0</t>
  </si>
  <si>
    <t>裏面メタル形成</t>
  </si>
  <si>
    <t>BJW381</t>
  </si>
  <si>
    <t>BJM041</t>
  </si>
  <si>
    <t>029800</t>
  </si>
  <si>
    <t>000298</t>
  </si>
  <si>
    <t>W38</t>
  </si>
  <si>
    <t>塩酸リン酸（裏）</t>
  </si>
  <si>
    <t>029900</t>
  </si>
  <si>
    <t>000299</t>
  </si>
  <si>
    <t>M04</t>
  </si>
  <si>
    <t>CH</t>
  </si>
  <si>
    <t>裏面蒸着</t>
  </si>
  <si>
    <t>030000</t>
  </si>
  <si>
    <t>T05</t>
  </si>
  <si>
    <t>BN</t>
  </si>
  <si>
    <t>BJT051</t>
  </si>
  <si>
    <t>裏面蒸着検査</t>
  </si>
  <si>
    <t>030100</t>
  </si>
  <si>
    <t>000301</t>
  </si>
  <si>
    <t>P75</t>
  </si>
  <si>
    <t>BAP751</t>
  </si>
  <si>
    <t>裏面レジスト塗布</t>
  </si>
  <si>
    <t>BA-I352-0</t>
  </si>
  <si>
    <t>裏面金メッキ(両面ｱﾗｲﾅ)</t>
  </si>
  <si>
    <t>U</t>
  </si>
  <si>
    <t>Y-C7</t>
  </si>
  <si>
    <t>030200</t>
  </si>
  <si>
    <t>000302</t>
  </si>
  <si>
    <t>P76</t>
  </si>
  <si>
    <t>BAP761</t>
  </si>
  <si>
    <t>露光(両面ｱﾗｲﾅｰ･OPT)</t>
  </si>
  <si>
    <t>030300</t>
  </si>
  <si>
    <t>000303</t>
  </si>
  <si>
    <t>P78</t>
  </si>
  <si>
    <t>BAP781</t>
  </si>
  <si>
    <t>裏面現像</t>
  </si>
  <si>
    <t>030400</t>
  </si>
  <si>
    <t>000304</t>
  </si>
  <si>
    <t>P79</t>
  </si>
  <si>
    <t>BAP791</t>
  </si>
  <si>
    <t>現像検査(金顕･裏･OPT</t>
  </si>
  <si>
    <t>030500</t>
  </si>
  <si>
    <t>000305</t>
  </si>
  <si>
    <t>BAP341</t>
  </si>
  <si>
    <t>030600</t>
  </si>
  <si>
    <t>000306</t>
  </si>
  <si>
    <t>BAD321</t>
  </si>
  <si>
    <t>BAW821</t>
  </si>
  <si>
    <t>BAN021</t>
  </si>
  <si>
    <t>030700</t>
  </si>
  <si>
    <t>000307</t>
  </si>
  <si>
    <t>W82</t>
  </si>
  <si>
    <t>ｼｬﾜｰ水洗（4ｲﾝﾁ）</t>
  </si>
  <si>
    <t>030800</t>
  </si>
  <si>
    <t>000308</t>
  </si>
  <si>
    <t>N02</t>
  </si>
  <si>
    <t>BG</t>
  </si>
  <si>
    <t>3ｲﾝﾁ裏Auﾒｯｷ</t>
  </si>
  <si>
    <t>030900</t>
  </si>
  <si>
    <t>000309</t>
  </si>
  <si>
    <t>BAR091</t>
  </si>
  <si>
    <t>Y-I1-2</t>
  </si>
  <si>
    <t>031000</t>
  </si>
  <si>
    <t>000310</t>
  </si>
  <si>
    <t>W50</t>
  </si>
  <si>
    <t>BR</t>
  </si>
  <si>
    <t>BAW501</t>
  </si>
  <si>
    <t>レジスト除去（裏）</t>
  </si>
  <si>
    <t>031100</t>
  </si>
  <si>
    <t>000311</t>
  </si>
  <si>
    <t>BAW822</t>
  </si>
  <si>
    <t>031200</t>
  </si>
  <si>
    <t>000312</t>
  </si>
  <si>
    <t>BAD322</t>
  </si>
  <si>
    <t>031300</t>
  </si>
  <si>
    <t>000313</t>
  </si>
  <si>
    <t>BAR081</t>
  </si>
  <si>
    <t>YG-W1234</t>
  </si>
  <si>
    <t>031400</t>
  </si>
  <si>
    <t>000314</t>
  </si>
  <si>
    <t>BCP751</t>
  </si>
  <si>
    <t>BC-I350-0</t>
  </si>
  <si>
    <t>裏面電極エッチ</t>
  </si>
  <si>
    <t>031500</t>
  </si>
  <si>
    <t>000315</t>
  </si>
  <si>
    <t>P53</t>
  </si>
  <si>
    <t>BCP531</t>
  </si>
  <si>
    <t>裏面PLA露光（＃1）</t>
  </si>
  <si>
    <t>031600</t>
  </si>
  <si>
    <t>000316</t>
  </si>
  <si>
    <t>BCP781</t>
  </si>
  <si>
    <t>031700</t>
  </si>
  <si>
    <t>000317</t>
  </si>
  <si>
    <t>P54</t>
  </si>
  <si>
    <t>BO</t>
  </si>
  <si>
    <t>BCP541</t>
  </si>
  <si>
    <t>現像検査（裏面）</t>
  </si>
  <si>
    <t>031800</t>
  </si>
  <si>
    <t>000318</t>
  </si>
  <si>
    <t>BCP341</t>
  </si>
  <si>
    <t>031900</t>
  </si>
  <si>
    <t>000319</t>
  </si>
  <si>
    <t>BCD321</t>
  </si>
  <si>
    <t>032000</t>
  </si>
  <si>
    <t>000320</t>
  </si>
  <si>
    <t>BCW821</t>
  </si>
  <si>
    <t>032100</t>
  </si>
  <si>
    <t>000321</t>
  </si>
  <si>
    <t>D01</t>
  </si>
  <si>
    <t>BCD011</t>
  </si>
  <si>
    <t>ｲｵﾝﾐﾘﾝｸﾞ（裏面）</t>
  </si>
  <si>
    <t>032200</t>
  </si>
  <si>
    <t>000322</t>
  </si>
  <si>
    <t>D02</t>
  </si>
  <si>
    <t>BCD021</t>
  </si>
  <si>
    <t>ｲｵﾝﾐﾘﾝｸﾞ後検査(裏面)</t>
  </si>
  <si>
    <t>Y-T1</t>
  </si>
  <si>
    <t>032300</t>
  </si>
  <si>
    <t>000323</t>
  </si>
  <si>
    <t>BCD322</t>
  </si>
  <si>
    <t>032400</t>
  </si>
  <si>
    <t>000324</t>
  </si>
  <si>
    <t>BCW501</t>
  </si>
  <si>
    <t>032500</t>
  </si>
  <si>
    <t>000325</t>
  </si>
  <si>
    <t>BCW822</t>
  </si>
  <si>
    <t>032600</t>
  </si>
  <si>
    <t>000326</t>
  </si>
  <si>
    <t>BCD323</t>
  </si>
  <si>
    <t>032700</t>
  </si>
  <si>
    <t>000327</t>
  </si>
  <si>
    <t>BCW031</t>
  </si>
  <si>
    <t>032800</t>
  </si>
  <si>
    <t>000328</t>
  </si>
  <si>
    <t>B06</t>
  </si>
  <si>
    <t>WHB061</t>
  </si>
  <si>
    <t>ウエハ剥がし</t>
  </si>
  <si>
    <t>WH-I350-0</t>
  </si>
  <si>
    <t>ウエハはがし</t>
  </si>
  <si>
    <t>032900</t>
  </si>
  <si>
    <t>000329</t>
  </si>
  <si>
    <t>W49</t>
  </si>
  <si>
    <t>WHW491</t>
  </si>
  <si>
    <t>レジスト除去（最終）</t>
  </si>
  <si>
    <t>033000</t>
  </si>
  <si>
    <t>000330</t>
  </si>
  <si>
    <t>WHD321</t>
  </si>
  <si>
    <t>033100</t>
  </si>
  <si>
    <t>000331</t>
  </si>
  <si>
    <t>WHW031</t>
  </si>
  <si>
    <t>Y-L1-2</t>
  </si>
  <si>
    <t>033200</t>
  </si>
  <si>
    <t>000332</t>
  </si>
  <si>
    <t>K09</t>
  </si>
  <si>
    <t>BNK091</t>
  </si>
  <si>
    <t>裏シンタ（3インチ）</t>
  </si>
  <si>
    <t>BN-I350-0</t>
  </si>
  <si>
    <t>裏面シンタ</t>
  </si>
  <si>
    <t>033300</t>
  </si>
  <si>
    <t>000333</t>
  </si>
  <si>
    <t>T12</t>
  </si>
  <si>
    <t>BP</t>
  </si>
  <si>
    <t>WTT121</t>
  </si>
  <si>
    <t>ｲﾝﾗｲﾝﾃｽﾄ(表，長波）</t>
  </si>
  <si>
    <t>WT-I350-0</t>
  </si>
  <si>
    <t>ウエハテスト</t>
  </si>
  <si>
    <t>RW</t>
  </si>
  <si>
    <t>033400</t>
  </si>
  <si>
    <t>000334</t>
  </si>
  <si>
    <t>T13</t>
  </si>
  <si>
    <t>WTT131</t>
  </si>
  <si>
    <t>ｲﾝﾗｲﾝﾃｽﾄ(裏，長波）</t>
  </si>
  <si>
    <t>033500</t>
  </si>
  <si>
    <t>000335</t>
  </si>
  <si>
    <t>T10</t>
  </si>
  <si>
    <t>AU</t>
  </si>
  <si>
    <t>WTT101</t>
  </si>
  <si>
    <t>最終外観検査（長波）</t>
  </si>
  <si>
    <t>033600</t>
  </si>
  <si>
    <t>000336</t>
  </si>
  <si>
    <t>ウエハプロセス完了</t>
  </si>
  <si>
    <t>KL-I350-0</t>
  </si>
  <si>
    <t>ＷＰ完了</t>
  </si>
  <si>
    <t>V</t>
  </si>
  <si>
    <t>SH</t>
  </si>
  <si>
    <t>Process Procedure No.</t>
  </si>
  <si>
    <t>Process Procedure No.</t>
    <phoneticPr fontId="1"/>
  </si>
  <si>
    <t>Sub (1)</t>
  </si>
  <si>
    <t>Sub (1)</t>
    <phoneticPr fontId="1"/>
  </si>
  <si>
    <t>Sub (2)</t>
  </si>
  <si>
    <t>Sub (2)</t>
    <phoneticPr fontId="1"/>
  </si>
  <si>
    <t>Process Code</t>
  </si>
  <si>
    <t>Primary Process Code</t>
  </si>
  <si>
    <t>Primary Process Code</t>
    <phoneticPr fontId="1"/>
  </si>
  <si>
    <t>Reticle Layer</t>
  </si>
  <si>
    <t>Reticle Layer</t>
    <phoneticPr fontId="1"/>
  </si>
  <si>
    <t>Reticle Code (Primary)</t>
  </si>
  <si>
    <t>Reticle Code (Primary)</t>
    <phoneticPr fontId="1"/>
  </si>
  <si>
    <t>Reticle Code (Sub)</t>
  </si>
  <si>
    <t>Reticle Code (Sub)</t>
    <phoneticPr fontId="1"/>
  </si>
  <si>
    <t>Reticle Set Body</t>
  </si>
  <si>
    <t>Reticle Set Body</t>
    <phoneticPr fontId="1"/>
  </si>
  <si>
    <t>Process Name</t>
  </si>
  <si>
    <t>Major Line</t>
  </si>
  <si>
    <t>Logic Recipe</t>
  </si>
  <si>
    <t>Equipment No.</t>
  </si>
  <si>
    <t>Recipe</t>
  </si>
  <si>
    <t>ライン（工程）</t>
    <phoneticPr fontId="1"/>
  </si>
  <si>
    <t>Reticle Adjust</t>
  </si>
  <si>
    <t>Reticle Adjust</t>
    <phoneticPr fontId="1"/>
  </si>
  <si>
    <t>変更後・論理レシピ</t>
  </si>
  <si>
    <t>＜明細＞</t>
  </si>
  <si>
    <t>ＳＥＱ</t>
  </si>
  <si>
    <t>装置Ｇ</t>
  </si>
  <si>
    <t>*****</t>
  </si>
  <si>
    <t>区分</t>
    <rPh sb="0" eb="2">
      <t>クブン</t>
    </rPh>
    <phoneticPr fontId="1"/>
  </si>
  <si>
    <t>フロー連番</t>
    <rPh sb="3" eb="5">
      <t>レンバン</t>
    </rPh>
    <phoneticPr fontId="1"/>
  </si>
  <si>
    <t>row</t>
    <phoneticPr fontId="1"/>
  </si>
  <si>
    <t>column</t>
    <phoneticPr fontId="1"/>
  </si>
  <si>
    <t>max Parameter number</t>
    <phoneticPr fontId="1"/>
  </si>
  <si>
    <t>最終列</t>
    <rPh sb="0" eb="2">
      <t>サイシュウ</t>
    </rPh>
    <rPh sb="2" eb="3">
      <t>レツ</t>
    </rPh>
    <phoneticPr fontId="1"/>
  </si>
  <si>
    <t>XFD</t>
    <phoneticPr fontId="1"/>
  </si>
  <si>
    <t>Cells</t>
    <phoneticPr fontId="1"/>
  </si>
  <si>
    <t>Ini. Add.</t>
    <phoneticPr fontId="1"/>
  </si>
  <si>
    <t>Diff (max Process Flow number)</t>
    <phoneticPr fontId="1"/>
  </si>
  <si>
    <t>max number of Row</t>
    <phoneticPr fontId="1"/>
  </si>
  <si>
    <t>最終行</t>
    <rPh sb="0" eb="3">
      <t>サイシュウギョウ</t>
    </rPh>
    <phoneticPr fontId="1"/>
  </si>
  <si>
    <t>max number of input cell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</si>
</sst>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10"/>
      <color rgb="FF0000FF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000000"/>
      <name val="Times New Roman"/>
      <family val="1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quotePrefix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7" fillId="0" borderId="0" xfId="0" applyFont="1">
      <alignment vertical="center"/>
    </xf>
    <xf numFmtId="0" fontId="2" fillId="0" borderId="0" xfId="0" quotePrefix="1" applyFont="1">
      <alignment vertical="center"/>
    </xf>
    <xf numFmtId="0" fontId="8" fillId="2" borderId="0" xfId="0" applyFont="1" applyFill="1">
      <alignment vertical="center"/>
    </xf>
    <xf numFmtId="0" fontId="8" fillId="2" borderId="0" xfId="0" quotePrefix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510540</xdr:colOff>
          <xdr:row>1</xdr:row>
          <xdr:rowOff>99060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Make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510540</xdr:colOff>
          <xdr:row>3</xdr:row>
          <xdr:rowOff>99060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0</xdr:row>
          <xdr:rowOff>0</xdr:rowOff>
        </xdr:from>
        <xdr:to>
          <xdr:col>7</xdr:col>
          <xdr:colOff>1295400</xdr:colOff>
          <xdr:row>1</xdr:row>
          <xdr:rowOff>99060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2</xdr:row>
          <xdr:rowOff>0</xdr:rowOff>
        </xdr:from>
        <xdr:to>
          <xdr:col>7</xdr:col>
          <xdr:colOff>1295400</xdr:colOff>
          <xdr:row>3</xdr:row>
          <xdr:rowOff>99060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product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AB4DE-6092-4DDE-8DD7-72A91427E425}">
  <sheetPr codeName="Sheet1"/>
  <dimension ref="A1:Q1004"/>
  <sheetViews>
    <sheetView zoomScaleNormal="100" workbookViewId="0">
      <selection activeCell="C6" sqref="C6"/>
    </sheetView>
  </sheetViews>
  <sheetFormatPr defaultRowHeight="11.4" x14ac:dyDescent="0.45"/>
  <cols>
    <col min="1" max="1" width="7" style="3" customWidth="1"/>
    <col min="2" max="2" width="14" style="3" customWidth="1"/>
    <col min="3" max="3" width="12" style="3" customWidth="1"/>
    <col min="4" max="5" width="5" style="3" customWidth="1"/>
    <col min="6" max="7" width="10" style="3" customWidth="1"/>
    <col min="8" max="8" width="18.5" style="3" bestFit="1" customWidth="1"/>
    <col min="9" max="9" width="5" style="3" customWidth="1"/>
    <col min="10" max="10" width="17.09765625" style="3" bestFit="1" customWidth="1"/>
    <col min="11" max="12" width="12" style="3" customWidth="1"/>
    <col min="13" max="14" width="9" style="4" customWidth="1"/>
    <col min="15" max="15" width="6" style="4" customWidth="1"/>
    <col min="16" max="16" width="9" style="4" customWidth="1"/>
    <col min="17" max="17" width="6" style="4" customWidth="1"/>
    <col min="18" max="16384" width="8.796875" style="4"/>
  </cols>
  <sheetData>
    <row r="1" spans="1:17" ht="15" customHeight="1" x14ac:dyDescent="0.45">
      <c r="A1" s="2" t="s">
        <v>9</v>
      </c>
    </row>
    <row r="2" spans="1:17" ht="15" customHeight="1" x14ac:dyDescent="0.45">
      <c r="A2" s="2" t="s">
        <v>7</v>
      </c>
    </row>
    <row r="3" spans="1:17" ht="15" customHeight="1" x14ac:dyDescent="0.45">
      <c r="A3" s="2" t="s">
        <v>10</v>
      </c>
      <c r="B3" s="5"/>
      <c r="C3" s="5"/>
      <c r="D3" s="5"/>
      <c r="E3" s="5"/>
    </row>
    <row r="5" spans="1:17" ht="23.4" thickBot="1" x14ac:dyDescent="0.5">
      <c r="A5" s="6" t="s">
        <v>8</v>
      </c>
      <c r="B5" s="6" t="s">
        <v>1</v>
      </c>
      <c r="C5" s="7" t="s">
        <v>1556</v>
      </c>
      <c r="D5" s="7" t="s">
        <v>1558</v>
      </c>
      <c r="E5" s="7" t="s">
        <v>1560</v>
      </c>
      <c r="F5" s="7" t="s">
        <v>1563</v>
      </c>
      <c r="G5" s="7" t="s">
        <v>2</v>
      </c>
      <c r="H5" s="6" t="s">
        <v>3</v>
      </c>
      <c r="I5" s="7" t="s">
        <v>0</v>
      </c>
      <c r="J5" s="6" t="s">
        <v>4</v>
      </c>
      <c r="K5" s="6" t="s">
        <v>5</v>
      </c>
      <c r="L5" s="6" t="s">
        <v>6</v>
      </c>
      <c r="M5" s="7" t="s">
        <v>1567</v>
      </c>
      <c r="N5" s="7" t="s">
        <v>1571</v>
      </c>
      <c r="O5" s="7" t="s">
        <v>1565</v>
      </c>
      <c r="P5" s="7" t="s">
        <v>1569</v>
      </c>
      <c r="Q5" s="7" t="s">
        <v>1579</v>
      </c>
    </row>
    <row r="6" spans="1:17" ht="12" thickTop="1" x14ac:dyDescent="0.45">
      <c r="A6" s="8" t="str">
        <f>IF($B6="","",ROW($A6)-(ROW($A$5)))</f>
        <v/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10"/>
      <c r="N6" s="10"/>
      <c r="O6" s="10"/>
      <c r="P6" s="10"/>
      <c r="Q6" s="10"/>
    </row>
    <row r="7" spans="1:17" x14ac:dyDescent="0.45">
      <c r="A7" s="8" t="str">
        <f t="shared" ref="A7:A70" si="0">IF($B7="","",ROW($A7)-(ROW($A$5)))</f>
        <v/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10"/>
      <c r="N7" s="10"/>
      <c r="O7" s="10"/>
      <c r="P7" s="10"/>
      <c r="Q7" s="10"/>
    </row>
    <row r="8" spans="1:17" x14ac:dyDescent="0.45">
      <c r="A8" s="8" t="str">
        <f t="shared" si="0"/>
        <v/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10"/>
      <c r="N8" s="10"/>
      <c r="O8" s="10"/>
      <c r="P8" s="10"/>
      <c r="Q8" s="10"/>
    </row>
    <row r="9" spans="1:17" x14ac:dyDescent="0.45">
      <c r="A9" s="8" t="str">
        <f t="shared" si="0"/>
        <v/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10"/>
      <c r="N9" s="10"/>
      <c r="O9" s="10"/>
      <c r="P9" s="10"/>
      <c r="Q9" s="10"/>
    </row>
    <row r="10" spans="1:17" x14ac:dyDescent="0.45">
      <c r="A10" s="8" t="str">
        <f t="shared" si="0"/>
        <v/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10"/>
      <c r="N10" s="10"/>
      <c r="O10" s="10"/>
      <c r="P10" s="10"/>
      <c r="Q10" s="10"/>
    </row>
    <row r="11" spans="1:17" x14ac:dyDescent="0.45">
      <c r="A11" s="8" t="str">
        <f t="shared" si="0"/>
        <v/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10"/>
      <c r="N11" s="10"/>
      <c r="O11" s="10"/>
      <c r="P11" s="10"/>
      <c r="Q11" s="10"/>
    </row>
    <row r="12" spans="1:17" x14ac:dyDescent="0.45">
      <c r="A12" s="8" t="str">
        <f t="shared" si="0"/>
        <v/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10"/>
      <c r="N12" s="10"/>
      <c r="O12" s="10"/>
      <c r="P12" s="10"/>
      <c r="Q12" s="10"/>
    </row>
    <row r="13" spans="1:17" x14ac:dyDescent="0.45">
      <c r="A13" s="8" t="str">
        <f t="shared" si="0"/>
        <v/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10"/>
      <c r="N13" s="10"/>
      <c r="O13" s="10"/>
      <c r="P13" s="10"/>
      <c r="Q13" s="10"/>
    </row>
    <row r="14" spans="1:17" x14ac:dyDescent="0.45">
      <c r="A14" s="8" t="str">
        <f t="shared" si="0"/>
        <v/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10"/>
      <c r="N14" s="10"/>
      <c r="O14" s="10"/>
      <c r="P14" s="10"/>
      <c r="Q14" s="10"/>
    </row>
    <row r="15" spans="1:17" x14ac:dyDescent="0.45">
      <c r="A15" s="8" t="str">
        <f t="shared" si="0"/>
        <v/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10"/>
      <c r="N15" s="10"/>
      <c r="O15" s="10"/>
      <c r="P15" s="10"/>
      <c r="Q15" s="10"/>
    </row>
    <row r="16" spans="1:17" x14ac:dyDescent="0.45">
      <c r="A16" s="8" t="str">
        <f t="shared" si="0"/>
        <v/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10"/>
      <c r="N16" s="10"/>
      <c r="O16" s="10"/>
      <c r="P16" s="10"/>
      <c r="Q16" s="10"/>
    </row>
    <row r="17" spans="1:17" x14ac:dyDescent="0.45">
      <c r="A17" s="8" t="str">
        <f t="shared" si="0"/>
        <v/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10"/>
      <c r="N17" s="10"/>
      <c r="O17" s="10"/>
      <c r="P17" s="10"/>
      <c r="Q17" s="10"/>
    </row>
    <row r="18" spans="1:17" x14ac:dyDescent="0.45">
      <c r="A18" s="8" t="str">
        <f t="shared" si="0"/>
        <v/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10"/>
      <c r="N18" s="10"/>
      <c r="O18" s="10"/>
      <c r="P18" s="10"/>
      <c r="Q18" s="10"/>
    </row>
    <row r="19" spans="1:17" x14ac:dyDescent="0.45">
      <c r="A19" s="8" t="str">
        <f t="shared" si="0"/>
        <v/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10"/>
      <c r="N19" s="10"/>
      <c r="O19" s="10"/>
      <c r="P19" s="10"/>
      <c r="Q19" s="10"/>
    </row>
    <row r="20" spans="1:17" x14ac:dyDescent="0.45">
      <c r="A20" s="8" t="str">
        <f t="shared" si="0"/>
        <v/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10"/>
      <c r="N20" s="10"/>
      <c r="O20" s="10"/>
      <c r="P20" s="10"/>
      <c r="Q20" s="10"/>
    </row>
    <row r="21" spans="1:17" x14ac:dyDescent="0.45">
      <c r="A21" s="8" t="str">
        <f t="shared" si="0"/>
        <v/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10"/>
      <c r="N21" s="10"/>
      <c r="O21" s="10"/>
      <c r="P21" s="10"/>
      <c r="Q21" s="10"/>
    </row>
    <row r="22" spans="1:17" x14ac:dyDescent="0.45">
      <c r="A22" s="8" t="str">
        <f t="shared" si="0"/>
        <v/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10"/>
      <c r="N22" s="10"/>
      <c r="O22" s="10"/>
      <c r="P22" s="10"/>
      <c r="Q22" s="10"/>
    </row>
    <row r="23" spans="1:17" x14ac:dyDescent="0.45">
      <c r="A23" s="8" t="str">
        <f t="shared" si="0"/>
        <v/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10"/>
      <c r="N23" s="10"/>
      <c r="O23" s="10"/>
      <c r="P23" s="10"/>
      <c r="Q23" s="10"/>
    </row>
    <row r="24" spans="1:17" x14ac:dyDescent="0.45">
      <c r="A24" s="8" t="str">
        <f t="shared" si="0"/>
        <v/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10"/>
      <c r="N24" s="10"/>
      <c r="O24" s="10"/>
      <c r="P24" s="10"/>
      <c r="Q24" s="10"/>
    </row>
    <row r="25" spans="1:17" x14ac:dyDescent="0.45">
      <c r="A25" s="8" t="str">
        <f t="shared" si="0"/>
        <v/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10"/>
      <c r="N25" s="10"/>
      <c r="O25" s="10"/>
      <c r="P25" s="10"/>
      <c r="Q25" s="10"/>
    </row>
    <row r="26" spans="1:17" x14ac:dyDescent="0.45">
      <c r="A26" s="8" t="str">
        <f t="shared" si="0"/>
        <v/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10"/>
      <c r="N26" s="10"/>
      <c r="O26" s="10"/>
      <c r="P26" s="10"/>
      <c r="Q26" s="10"/>
    </row>
    <row r="27" spans="1:17" x14ac:dyDescent="0.45">
      <c r="A27" s="8" t="str">
        <f t="shared" si="0"/>
        <v/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10"/>
      <c r="N27" s="10"/>
      <c r="O27" s="10"/>
      <c r="P27" s="10"/>
      <c r="Q27" s="10"/>
    </row>
    <row r="28" spans="1:17" x14ac:dyDescent="0.45">
      <c r="A28" s="8" t="str">
        <f t="shared" si="0"/>
        <v/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10"/>
      <c r="N28" s="10"/>
      <c r="O28" s="10"/>
      <c r="P28" s="10"/>
      <c r="Q28" s="10"/>
    </row>
    <row r="29" spans="1:17" x14ac:dyDescent="0.45">
      <c r="A29" s="8" t="str">
        <f t="shared" si="0"/>
        <v/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10"/>
      <c r="N29" s="10"/>
      <c r="O29" s="10"/>
      <c r="P29" s="10"/>
      <c r="Q29" s="10"/>
    </row>
    <row r="30" spans="1:17" x14ac:dyDescent="0.45">
      <c r="A30" s="8" t="str">
        <f t="shared" si="0"/>
        <v/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  <c r="N30" s="10"/>
      <c r="O30" s="10"/>
      <c r="P30" s="10"/>
      <c r="Q30" s="10"/>
    </row>
    <row r="31" spans="1:17" x14ac:dyDescent="0.45">
      <c r="A31" s="8" t="str">
        <f t="shared" si="0"/>
        <v/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10"/>
      <c r="N31" s="10"/>
      <c r="O31" s="10"/>
      <c r="P31" s="10"/>
      <c r="Q31" s="10"/>
    </row>
    <row r="32" spans="1:17" x14ac:dyDescent="0.45">
      <c r="A32" s="8" t="str">
        <f t="shared" si="0"/>
        <v/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10"/>
      <c r="N32" s="10"/>
      <c r="O32" s="10"/>
      <c r="P32" s="10"/>
      <c r="Q32" s="10"/>
    </row>
    <row r="33" spans="1:17" x14ac:dyDescent="0.45">
      <c r="A33" s="8" t="str">
        <f t="shared" si="0"/>
        <v/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  <c r="N33" s="10"/>
      <c r="O33" s="10"/>
      <c r="P33" s="10"/>
      <c r="Q33" s="10"/>
    </row>
    <row r="34" spans="1:17" x14ac:dyDescent="0.45">
      <c r="A34" s="8" t="str">
        <f t="shared" si="0"/>
        <v/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  <c r="N34" s="10"/>
      <c r="O34" s="10"/>
      <c r="P34" s="10"/>
      <c r="Q34" s="10"/>
    </row>
    <row r="35" spans="1:17" x14ac:dyDescent="0.45">
      <c r="A35" s="8" t="str">
        <f t="shared" si="0"/>
        <v/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10"/>
      <c r="N35" s="10"/>
      <c r="O35" s="10"/>
      <c r="P35" s="10"/>
      <c r="Q35" s="10"/>
    </row>
    <row r="36" spans="1:17" x14ac:dyDescent="0.45">
      <c r="A36" s="8" t="str">
        <f t="shared" si="0"/>
        <v/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  <c r="N36" s="10"/>
      <c r="O36" s="10"/>
      <c r="P36" s="10"/>
      <c r="Q36" s="10"/>
    </row>
    <row r="37" spans="1:17" x14ac:dyDescent="0.45">
      <c r="A37" s="8" t="str">
        <f t="shared" si="0"/>
        <v/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10"/>
      <c r="N37" s="10"/>
      <c r="O37" s="10"/>
      <c r="P37" s="10"/>
      <c r="Q37" s="10"/>
    </row>
    <row r="38" spans="1:17" x14ac:dyDescent="0.45">
      <c r="A38" s="8" t="str">
        <f t="shared" si="0"/>
        <v/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0"/>
      <c r="N38" s="10"/>
      <c r="O38" s="10"/>
      <c r="P38" s="10"/>
      <c r="Q38" s="10"/>
    </row>
    <row r="39" spans="1:17" x14ac:dyDescent="0.45">
      <c r="A39" s="8" t="str">
        <f t="shared" si="0"/>
        <v/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  <c r="N39" s="10"/>
      <c r="O39" s="10"/>
      <c r="P39" s="10"/>
      <c r="Q39" s="10"/>
    </row>
    <row r="40" spans="1:17" x14ac:dyDescent="0.45">
      <c r="A40" s="8" t="str">
        <f t="shared" si="0"/>
        <v/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10"/>
      <c r="N40" s="10"/>
      <c r="O40" s="10"/>
      <c r="P40" s="10"/>
      <c r="Q40" s="10"/>
    </row>
    <row r="41" spans="1:17" x14ac:dyDescent="0.45">
      <c r="A41" s="8" t="str">
        <f t="shared" si="0"/>
        <v/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10"/>
      <c r="N41" s="10"/>
      <c r="O41" s="10"/>
      <c r="P41" s="10"/>
      <c r="Q41" s="10"/>
    </row>
    <row r="42" spans="1:17" x14ac:dyDescent="0.45">
      <c r="A42" s="8" t="str">
        <f t="shared" si="0"/>
        <v/>
      </c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10"/>
      <c r="N42" s="10"/>
      <c r="O42" s="10"/>
      <c r="P42" s="10"/>
      <c r="Q42" s="10"/>
    </row>
    <row r="43" spans="1:17" x14ac:dyDescent="0.45">
      <c r="A43" s="8" t="str">
        <f t="shared" si="0"/>
        <v/>
      </c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  <c r="N43" s="10"/>
      <c r="O43" s="10"/>
      <c r="P43" s="10"/>
      <c r="Q43" s="10"/>
    </row>
    <row r="44" spans="1:17" x14ac:dyDescent="0.45">
      <c r="A44" s="8" t="str">
        <f t="shared" si="0"/>
        <v/>
      </c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  <c r="N44" s="10"/>
      <c r="O44" s="10"/>
      <c r="P44" s="10"/>
      <c r="Q44" s="10"/>
    </row>
    <row r="45" spans="1:17" x14ac:dyDescent="0.45">
      <c r="A45" s="8" t="str">
        <f t="shared" si="0"/>
        <v/>
      </c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10"/>
      <c r="N45" s="10"/>
      <c r="O45" s="10"/>
      <c r="P45" s="10"/>
      <c r="Q45" s="10"/>
    </row>
    <row r="46" spans="1:17" x14ac:dyDescent="0.45">
      <c r="A46" s="8" t="str">
        <f t="shared" si="0"/>
        <v/>
      </c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10"/>
      <c r="N46" s="10"/>
      <c r="O46" s="10"/>
      <c r="P46" s="10"/>
      <c r="Q46" s="10"/>
    </row>
    <row r="47" spans="1:17" x14ac:dyDescent="0.45">
      <c r="A47" s="8" t="str">
        <f t="shared" si="0"/>
        <v/>
      </c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10"/>
      <c r="N47" s="10"/>
      <c r="O47" s="10"/>
      <c r="P47" s="10"/>
      <c r="Q47" s="10"/>
    </row>
    <row r="48" spans="1:17" x14ac:dyDescent="0.45">
      <c r="A48" s="8" t="str">
        <f t="shared" si="0"/>
        <v/>
      </c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10"/>
      <c r="N48" s="10"/>
      <c r="O48" s="10"/>
      <c r="P48" s="10"/>
      <c r="Q48" s="10"/>
    </row>
    <row r="49" spans="1:17" x14ac:dyDescent="0.45">
      <c r="A49" s="8" t="str">
        <f t="shared" si="0"/>
        <v/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10"/>
      <c r="N49" s="10"/>
      <c r="O49" s="10"/>
      <c r="P49" s="10"/>
      <c r="Q49" s="10"/>
    </row>
    <row r="50" spans="1:17" x14ac:dyDescent="0.45">
      <c r="A50" s="8" t="str">
        <f t="shared" si="0"/>
        <v/>
      </c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10"/>
      <c r="N50" s="10"/>
      <c r="O50" s="10"/>
      <c r="P50" s="10"/>
      <c r="Q50" s="10"/>
    </row>
    <row r="51" spans="1:17" x14ac:dyDescent="0.45">
      <c r="A51" s="8" t="str">
        <f t="shared" si="0"/>
        <v/>
      </c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10"/>
      <c r="N51" s="10"/>
      <c r="O51" s="10"/>
      <c r="P51" s="10"/>
      <c r="Q51" s="10"/>
    </row>
    <row r="52" spans="1:17" x14ac:dyDescent="0.45">
      <c r="A52" s="8" t="str">
        <f t="shared" si="0"/>
        <v/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10"/>
      <c r="N52" s="10"/>
      <c r="O52" s="10"/>
      <c r="P52" s="10"/>
      <c r="Q52" s="10"/>
    </row>
    <row r="53" spans="1:17" x14ac:dyDescent="0.45">
      <c r="A53" s="8" t="str">
        <f t="shared" si="0"/>
        <v/>
      </c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10"/>
      <c r="N53" s="10"/>
      <c r="O53" s="10"/>
      <c r="P53" s="10"/>
      <c r="Q53" s="10"/>
    </row>
    <row r="54" spans="1:17" x14ac:dyDescent="0.45">
      <c r="A54" s="8" t="str">
        <f t="shared" si="0"/>
        <v/>
      </c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10"/>
      <c r="N54" s="10"/>
      <c r="O54" s="10"/>
      <c r="P54" s="10"/>
      <c r="Q54" s="10"/>
    </row>
    <row r="55" spans="1:17" x14ac:dyDescent="0.45">
      <c r="A55" s="8" t="str">
        <f t="shared" si="0"/>
        <v/>
      </c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10"/>
      <c r="N55" s="10"/>
      <c r="O55" s="10"/>
      <c r="P55" s="10"/>
      <c r="Q55" s="10"/>
    </row>
    <row r="56" spans="1:17" x14ac:dyDescent="0.45">
      <c r="A56" s="8" t="str">
        <f t="shared" si="0"/>
        <v/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  <c r="N56" s="10"/>
      <c r="O56" s="10"/>
      <c r="P56" s="10"/>
      <c r="Q56" s="10"/>
    </row>
    <row r="57" spans="1:17" x14ac:dyDescent="0.45">
      <c r="A57" s="8" t="str">
        <f t="shared" si="0"/>
        <v/>
      </c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10"/>
      <c r="N57" s="10"/>
      <c r="O57" s="10"/>
      <c r="P57" s="10"/>
      <c r="Q57" s="10"/>
    </row>
    <row r="58" spans="1:17" x14ac:dyDescent="0.45">
      <c r="A58" s="8" t="str">
        <f t="shared" si="0"/>
        <v/>
      </c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10"/>
      <c r="N58" s="10"/>
      <c r="O58" s="10"/>
      <c r="P58" s="10"/>
      <c r="Q58" s="10"/>
    </row>
    <row r="59" spans="1:17" x14ac:dyDescent="0.45">
      <c r="A59" s="8" t="str">
        <f t="shared" si="0"/>
        <v/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10"/>
      <c r="N59" s="10"/>
      <c r="O59" s="10"/>
      <c r="P59" s="10"/>
      <c r="Q59" s="10"/>
    </row>
    <row r="60" spans="1:17" x14ac:dyDescent="0.45">
      <c r="A60" s="8" t="str">
        <f t="shared" si="0"/>
        <v/>
      </c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10"/>
      <c r="N60" s="10"/>
      <c r="O60" s="10"/>
      <c r="P60" s="10"/>
      <c r="Q60" s="10"/>
    </row>
    <row r="61" spans="1:17" x14ac:dyDescent="0.45">
      <c r="A61" s="8" t="str">
        <f t="shared" si="0"/>
        <v/>
      </c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10"/>
      <c r="N61" s="10"/>
      <c r="O61" s="10"/>
      <c r="P61" s="10"/>
      <c r="Q61" s="10"/>
    </row>
    <row r="62" spans="1:17" x14ac:dyDescent="0.45">
      <c r="A62" s="8" t="str">
        <f t="shared" si="0"/>
        <v/>
      </c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10"/>
      <c r="N62" s="10"/>
      <c r="O62" s="10"/>
      <c r="P62" s="10"/>
      <c r="Q62" s="10"/>
    </row>
    <row r="63" spans="1:17" x14ac:dyDescent="0.45">
      <c r="A63" s="8" t="str">
        <f t="shared" si="0"/>
        <v/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10"/>
      <c r="N63" s="10"/>
      <c r="O63" s="10"/>
      <c r="P63" s="10"/>
      <c r="Q63" s="10"/>
    </row>
    <row r="64" spans="1:17" x14ac:dyDescent="0.45">
      <c r="A64" s="8" t="str">
        <f t="shared" si="0"/>
        <v/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10"/>
      <c r="N64" s="10"/>
      <c r="O64" s="10"/>
      <c r="P64" s="10"/>
      <c r="Q64" s="10"/>
    </row>
    <row r="65" spans="1:17" x14ac:dyDescent="0.45">
      <c r="A65" s="8" t="str">
        <f t="shared" si="0"/>
        <v/>
      </c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10"/>
      <c r="N65" s="10"/>
      <c r="O65" s="10"/>
      <c r="P65" s="10"/>
      <c r="Q65" s="10"/>
    </row>
    <row r="66" spans="1:17" x14ac:dyDescent="0.45">
      <c r="A66" s="8" t="str">
        <f t="shared" si="0"/>
        <v/>
      </c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10"/>
      <c r="N66" s="10"/>
      <c r="O66" s="10"/>
      <c r="P66" s="10"/>
      <c r="Q66" s="10"/>
    </row>
    <row r="67" spans="1:17" x14ac:dyDescent="0.45">
      <c r="A67" s="8" t="str">
        <f t="shared" si="0"/>
        <v/>
      </c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10"/>
      <c r="N67" s="10"/>
      <c r="O67" s="10"/>
      <c r="P67" s="10"/>
      <c r="Q67" s="10"/>
    </row>
    <row r="68" spans="1:17" x14ac:dyDescent="0.45">
      <c r="A68" s="8" t="str">
        <f t="shared" si="0"/>
        <v/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10"/>
      <c r="N68" s="10"/>
      <c r="O68" s="10"/>
      <c r="P68" s="10"/>
      <c r="Q68" s="10"/>
    </row>
    <row r="69" spans="1:17" x14ac:dyDescent="0.45">
      <c r="A69" s="8" t="str">
        <f t="shared" si="0"/>
        <v/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10"/>
      <c r="N69" s="10"/>
      <c r="O69" s="10"/>
      <c r="P69" s="10"/>
      <c r="Q69" s="10"/>
    </row>
    <row r="70" spans="1:17" x14ac:dyDescent="0.45">
      <c r="A70" s="8" t="str">
        <f t="shared" si="0"/>
        <v/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10"/>
      <c r="N70" s="10"/>
      <c r="O70" s="10"/>
      <c r="P70" s="10"/>
      <c r="Q70" s="10"/>
    </row>
    <row r="71" spans="1:17" x14ac:dyDescent="0.45">
      <c r="A71" s="8" t="str">
        <f t="shared" ref="A71:A134" si="1">IF($B71="","",ROW($A71)-(ROW($A$5)))</f>
        <v/>
      </c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10"/>
      <c r="N71" s="10"/>
      <c r="O71" s="10"/>
      <c r="P71" s="10"/>
      <c r="Q71" s="10"/>
    </row>
    <row r="72" spans="1:17" x14ac:dyDescent="0.45">
      <c r="A72" s="8" t="str">
        <f t="shared" si="1"/>
        <v/>
      </c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10"/>
      <c r="N72" s="10"/>
      <c r="O72" s="10"/>
      <c r="P72" s="10"/>
      <c r="Q72" s="10"/>
    </row>
    <row r="73" spans="1:17" x14ac:dyDescent="0.45">
      <c r="A73" s="8" t="str">
        <f t="shared" si="1"/>
        <v/>
      </c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10"/>
      <c r="N73" s="10"/>
      <c r="O73" s="10"/>
      <c r="P73" s="10"/>
      <c r="Q73" s="10"/>
    </row>
    <row r="74" spans="1:17" x14ac:dyDescent="0.45">
      <c r="A74" s="8" t="str">
        <f t="shared" si="1"/>
        <v/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10"/>
      <c r="N74" s="10"/>
      <c r="O74" s="10"/>
      <c r="P74" s="10"/>
      <c r="Q74" s="10"/>
    </row>
    <row r="75" spans="1:17" x14ac:dyDescent="0.45">
      <c r="A75" s="8" t="str">
        <f t="shared" si="1"/>
        <v/>
      </c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10"/>
      <c r="N75" s="10"/>
      <c r="O75" s="10"/>
      <c r="P75" s="10"/>
      <c r="Q75" s="10"/>
    </row>
    <row r="76" spans="1:17" x14ac:dyDescent="0.45">
      <c r="A76" s="8" t="str">
        <f t="shared" si="1"/>
        <v/>
      </c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10"/>
      <c r="N76" s="10"/>
      <c r="O76" s="10"/>
      <c r="P76" s="10"/>
      <c r="Q76" s="10"/>
    </row>
    <row r="77" spans="1:17" x14ac:dyDescent="0.45">
      <c r="A77" s="8" t="str">
        <f t="shared" si="1"/>
        <v/>
      </c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10"/>
      <c r="N77" s="10"/>
      <c r="O77" s="10"/>
      <c r="P77" s="10"/>
      <c r="Q77" s="10"/>
    </row>
    <row r="78" spans="1:17" x14ac:dyDescent="0.45">
      <c r="A78" s="8" t="str">
        <f t="shared" si="1"/>
        <v/>
      </c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10"/>
      <c r="N78" s="10"/>
      <c r="O78" s="10"/>
      <c r="P78" s="10"/>
      <c r="Q78" s="10"/>
    </row>
    <row r="79" spans="1:17" x14ac:dyDescent="0.45">
      <c r="A79" s="8" t="str">
        <f t="shared" si="1"/>
        <v/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10"/>
      <c r="N79" s="10"/>
      <c r="O79" s="10"/>
      <c r="P79" s="10"/>
      <c r="Q79" s="10"/>
    </row>
    <row r="80" spans="1:17" x14ac:dyDescent="0.45">
      <c r="A80" s="8" t="str">
        <f t="shared" si="1"/>
        <v/>
      </c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10"/>
      <c r="N80" s="10"/>
      <c r="O80" s="10"/>
      <c r="P80" s="10"/>
      <c r="Q80" s="10"/>
    </row>
    <row r="81" spans="1:17" x14ac:dyDescent="0.45">
      <c r="A81" s="8" t="str">
        <f t="shared" si="1"/>
        <v/>
      </c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10"/>
      <c r="N81" s="10"/>
      <c r="O81" s="10"/>
      <c r="P81" s="10"/>
      <c r="Q81" s="10"/>
    </row>
    <row r="82" spans="1:17" x14ac:dyDescent="0.45">
      <c r="A82" s="8" t="str">
        <f t="shared" si="1"/>
        <v/>
      </c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10"/>
      <c r="N82" s="10"/>
      <c r="O82" s="10"/>
      <c r="P82" s="10"/>
      <c r="Q82" s="10"/>
    </row>
    <row r="83" spans="1:17" x14ac:dyDescent="0.45">
      <c r="A83" s="8" t="str">
        <f t="shared" si="1"/>
        <v/>
      </c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10"/>
      <c r="N83" s="10"/>
      <c r="O83" s="10"/>
      <c r="P83" s="10"/>
      <c r="Q83" s="10"/>
    </row>
    <row r="84" spans="1:17" x14ac:dyDescent="0.45">
      <c r="A84" s="8" t="str">
        <f t="shared" si="1"/>
        <v/>
      </c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10"/>
      <c r="N84" s="10"/>
      <c r="O84" s="10"/>
      <c r="P84" s="10"/>
      <c r="Q84" s="10"/>
    </row>
    <row r="85" spans="1:17" x14ac:dyDescent="0.45">
      <c r="A85" s="8" t="str">
        <f t="shared" si="1"/>
        <v/>
      </c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10"/>
      <c r="N85" s="10"/>
      <c r="O85" s="10"/>
      <c r="P85" s="10"/>
      <c r="Q85" s="10"/>
    </row>
    <row r="86" spans="1:17" x14ac:dyDescent="0.45">
      <c r="A86" s="8" t="str">
        <f t="shared" si="1"/>
        <v/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10"/>
      <c r="N86" s="10"/>
      <c r="O86" s="10"/>
      <c r="P86" s="10"/>
      <c r="Q86" s="10"/>
    </row>
    <row r="87" spans="1:17" x14ac:dyDescent="0.45">
      <c r="A87" s="8" t="str">
        <f t="shared" si="1"/>
        <v/>
      </c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10"/>
      <c r="N87" s="10"/>
      <c r="O87" s="10"/>
      <c r="P87" s="10"/>
      <c r="Q87" s="10"/>
    </row>
    <row r="88" spans="1:17" x14ac:dyDescent="0.45">
      <c r="A88" s="8" t="str">
        <f t="shared" si="1"/>
        <v/>
      </c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10"/>
      <c r="N88" s="10"/>
      <c r="O88" s="10"/>
      <c r="P88" s="10"/>
      <c r="Q88" s="10"/>
    </row>
    <row r="89" spans="1:17" x14ac:dyDescent="0.45">
      <c r="A89" s="8" t="str">
        <f t="shared" si="1"/>
        <v/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10"/>
      <c r="N89" s="10"/>
      <c r="O89" s="10"/>
      <c r="P89" s="10"/>
      <c r="Q89" s="10"/>
    </row>
    <row r="90" spans="1:17" x14ac:dyDescent="0.45">
      <c r="A90" s="8" t="str">
        <f t="shared" si="1"/>
        <v/>
      </c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10"/>
      <c r="N90" s="10"/>
      <c r="O90" s="10"/>
      <c r="P90" s="10"/>
      <c r="Q90" s="10"/>
    </row>
    <row r="91" spans="1:17" x14ac:dyDescent="0.45">
      <c r="A91" s="8" t="str">
        <f t="shared" si="1"/>
        <v/>
      </c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10"/>
      <c r="N91" s="10"/>
      <c r="O91" s="10"/>
      <c r="P91" s="10"/>
      <c r="Q91" s="10"/>
    </row>
    <row r="92" spans="1:17" x14ac:dyDescent="0.45">
      <c r="A92" s="8" t="str">
        <f t="shared" si="1"/>
        <v/>
      </c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10"/>
      <c r="N92" s="10"/>
      <c r="O92" s="10"/>
      <c r="P92" s="10"/>
      <c r="Q92" s="10"/>
    </row>
    <row r="93" spans="1:17" x14ac:dyDescent="0.45">
      <c r="A93" s="8" t="str">
        <f t="shared" si="1"/>
        <v/>
      </c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10"/>
      <c r="N93" s="10"/>
      <c r="O93" s="10"/>
      <c r="P93" s="10"/>
      <c r="Q93" s="10"/>
    </row>
    <row r="94" spans="1:17" x14ac:dyDescent="0.45">
      <c r="A94" s="8" t="str">
        <f t="shared" si="1"/>
        <v/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10"/>
      <c r="N94" s="10"/>
      <c r="O94" s="10"/>
      <c r="P94" s="10"/>
      <c r="Q94" s="10"/>
    </row>
    <row r="95" spans="1:17" x14ac:dyDescent="0.45">
      <c r="A95" s="8" t="str">
        <f t="shared" si="1"/>
        <v/>
      </c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10"/>
      <c r="N95" s="10"/>
      <c r="O95" s="10"/>
      <c r="P95" s="10"/>
      <c r="Q95" s="10"/>
    </row>
    <row r="96" spans="1:17" x14ac:dyDescent="0.45">
      <c r="A96" s="8" t="str">
        <f t="shared" si="1"/>
        <v/>
      </c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10"/>
      <c r="N96" s="10"/>
      <c r="O96" s="10"/>
      <c r="P96" s="10"/>
      <c r="Q96" s="10"/>
    </row>
    <row r="97" spans="1:17" x14ac:dyDescent="0.45">
      <c r="A97" s="8" t="str">
        <f t="shared" si="1"/>
        <v/>
      </c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10"/>
      <c r="N97" s="10"/>
      <c r="O97" s="10"/>
      <c r="P97" s="10"/>
      <c r="Q97" s="10"/>
    </row>
    <row r="98" spans="1:17" x14ac:dyDescent="0.45">
      <c r="A98" s="8" t="str">
        <f t="shared" si="1"/>
        <v/>
      </c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10"/>
      <c r="N98" s="10"/>
      <c r="O98" s="10"/>
      <c r="P98" s="10"/>
      <c r="Q98" s="10"/>
    </row>
    <row r="99" spans="1:17" x14ac:dyDescent="0.45">
      <c r="A99" s="8" t="str">
        <f t="shared" si="1"/>
        <v/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10"/>
      <c r="N99" s="10"/>
      <c r="O99" s="10"/>
      <c r="P99" s="10"/>
      <c r="Q99" s="10"/>
    </row>
    <row r="100" spans="1:17" x14ac:dyDescent="0.45">
      <c r="A100" s="8" t="str">
        <f t="shared" si="1"/>
        <v/>
      </c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10"/>
      <c r="N100" s="10"/>
      <c r="O100" s="10"/>
      <c r="P100" s="10"/>
      <c r="Q100" s="10"/>
    </row>
    <row r="101" spans="1:17" x14ac:dyDescent="0.45">
      <c r="A101" s="8" t="str">
        <f t="shared" si="1"/>
        <v/>
      </c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10"/>
      <c r="N101" s="10"/>
      <c r="O101" s="10"/>
      <c r="P101" s="10"/>
      <c r="Q101" s="10"/>
    </row>
    <row r="102" spans="1:17" x14ac:dyDescent="0.45">
      <c r="A102" s="8" t="str">
        <f t="shared" si="1"/>
        <v/>
      </c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10"/>
      <c r="N102" s="10"/>
      <c r="O102" s="10"/>
      <c r="P102" s="10"/>
      <c r="Q102" s="10"/>
    </row>
    <row r="103" spans="1:17" x14ac:dyDescent="0.45">
      <c r="A103" s="8" t="str">
        <f t="shared" si="1"/>
        <v/>
      </c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10"/>
      <c r="N103" s="10"/>
      <c r="O103" s="10"/>
      <c r="P103" s="10"/>
      <c r="Q103" s="10"/>
    </row>
    <row r="104" spans="1:17" x14ac:dyDescent="0.45">
      <c r="A104" s="8" t="str">
        <f t="shared" si="1"/>
        <v/>
      </c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10"/>
      <c r="N104" s="10"/>
      <c r="O104" s="10"/>
      <c r="P104" s="10"/>
      <c r="Q104" s="10"/>
    </row>
    <row r="105" spans="1:17" x14ac:dyDescent="0.45">
      <c r="A105" s="8" t="str">
        <f t="shared" si="1"/>
        <v/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10"/>
      <c r="N105" s="10"/>
      <c r="O105" s="10"/>
      <c r="P105" s="10"/>
      <c r="Q105" s="10"/>
    </row>
    <row r="106" spans="1:17" x14ac:dyDescent="0.45">
      <c r="A106" s="8" t="str">
        <f t="shared" si="1"/>
        <v/>
      </c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10"/>
      <c r="N106" s="10"/>
      <c r="O106" s="10"/>
      <c r="P106" s="10"/>
      <c r="Q106" s="10"/>
    </row>
    <row r="107" spans="1:17" x14ac:dyDescent="0.45">
      <c r="A107" s="8" t="str">
        <f t="shared" si="1"/>
        <v/>
      </c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10"/>
      <c r="N107" s="10"/>
      <c r="O107" s="10"/>
      <c r="P107" s="10"/>
      <c r="Q107" s="10"/>
    </row>
    <row r="108" spans="1:17" x14ac:dyDescent="0.45">
      <c r="A108" s="8" t="str">
        <f t="shared" si="1"/>
        <v/>
      </c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10"/>
      <c r="N108" s="10"/>
      <c r="O108" s="10"/>
      <c r="P108" s="10"/>
      <c r="Q108" s="10"/>
    </row>
    <row r="109" spans="1:17" x14ac:dyDescent="0.45">
      <c r="A109" s="8" t="str">
        <f t="shared" si="1"/>
        <v/>
      </c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10"/>
      <c r="N109" s="10"/>
      <c r="O109" s="10"/>
      <c r="P109" s="10"/>
      <c r="Q109" s="10"/>
    </row>
    <row r="110" spans="1:17" x14ac:dyDescent="0.45">
      <c r="A110" s="8" t="str">
        <f t="shared" si="1"/>
        <v/>
      </c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10"/>
      <c r="N110" s="10"/>
      <c r="O110" s="10"/>
      <c r="P110" s="10"/>
      <c r="Q110" s="10"/>
    </row>
    <row r="111" spans="1:17" x14ac:dyDescent="0.45">
      <c r="A111" s="8" t="str">
        <f t="shared" si="1"/>
        <v/>
      </c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10"/>
      <c r="N111" s="10"/>
      <c r="O111" s="10"/>
      <c r="P111" s="10"/>
      <c r="Q111" s="10"/>
    </row>
    <row r="112" spans="1:17" x14ac:dyDescent="0.45">
      <c r="A112" s="8" t="str">
        <f t="shared" si="1"/>
        <v/>
      </c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10"/>
      <c r="N112" s="10"/>
      <c r="O112" s="10"/>
      <c r="P112" s="10"/>
      <c r="Q112" s="10"/>
    </row>
    <row r="113" spans="1:17" x14ac:dyDescent="0.45">
      <c r="A113" s="8" t="str">
        <f t="shared" si="1"/>
        <v/>
      </c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10"/>
      <c r="N113" s="10"/>
      <c r="O113" s="10"/>
      <c r="P113" s="10"/>
      <c r="Q113" s="10"/>
    </row>
    <row r="114" spans="1:17" x14ac:dyDescent="0.45">
      <c r="A114" s="8" t="str">
        <f t="shared" si="1"/>
        <v/>
      </c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10"/>
      <c r="N114" s="10"/>
      <c r="O114" s="10"/>
      <c r="P114" s="10"/>
      <c r="Q114" s="10"/>
    </row>
    <row r="115" spans="1:17" x14ac:dyDescent="0.45">
      <c r="A115" s="8" t="str">
        <f t="shared" si="1"/>
        <v/>
      </c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10"/>
      <c r="N115" s="10"/>
      <c r="O115" s="10"/>
      <c r="P115" s="10"/>
      <c r="Q115" s="10"/>
    </row>
    <row r="116" spans="1:17" x14ac:dyDescent="0.45">
      <c r="A116" s="8" t="str">
        <f t="shared" si="1"/>
        <v/>
      </c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10"/>
      <c r="N116" s="10"/>
      <c r="O116" s="10"/>
      <c r="P116" s="10"/>
      <c r="Q116" s="10"/>
    </row>
    <row r="117" spans="1:17" x14ac:dyDescent="0.45">
      <c r="A117" s="8" t="str">
        <f t="shared" si="1"/>
        <v/>
      </c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10"/>
      <c r="N117" s="10"/>
      <c r="O117" s="10"/>
      <c r="P117" s="10"/>
      <c r="Q117" s="10"/>
    </row>
    <row r="118" spans="1:17" x14ac:dyDescent="0.45">
      <c r="A118" s="8" t="str">
        <f t="shared" si="1"/>
        <v/>
      </c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10"/>
      <c r="N118" s="10"/>
      <c r="O118" s="10"/>
      <c r="P118" s="10"/>
      <c r="Q118" s="10"/>
    </row>
    <row r="119" spans="1:17" x14ac:dyDescent="0.45">
      <c r="A119" s="8" t="str">
        <f t="shared" si="1"/>
        <v/>
      </c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10"/>
      <c r="N119" s="10"/>
      <c r="O119" s="10"/>
      <c r="P119" s="10"/>
      <c r="Q119" s="10"/>
    </row>
    <row r="120" spans="1:17" x14ac:dyDescent="0.45">
      <c r="A120" s="8" t="str">
        <f t="shared" si="1"/>
        <v/>
      </c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10"/>
      <c r="N120" s="10"/>
      <c r="O120" s="10"/>
      <c r="P120" s="10"/>
      <c r="Q120" s="10"/>
    </row>
    <row r="121" spans="1:17" x14ac:dyDescent="0.45">
      <c r="A121" s="8" t="str">
        <f t="shared" si="1"/>
        <v/>
      </c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10"/>
      <c r="N121" s="10"/>
      <c r="O121" s="10"/>
      <c r="P121" s="10"/>
      <c r="Q121" s="10"/>
    </row>
    <row r="122" spans="1:17" x14ac:dyDescent="0.45">
      <c r="A122" s="8" t="str">
        <f t="shared" si="1"/>
        <v/>
      </c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10"/>
      <c r="N122" s="10"/>
      <c r="O122" s="10"/>
      <c r="P122" s="10"/>
      <c r="Q122" s="10"/>
    </row>
    <row r="123" spans="1:17" x14ac:dyDescent="0.45">
      <c r="A123" s="8" t="str">
        <f t="shared" si="1"/>
        <v/>
      </c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10"/>
      <c r="N123" s="10"/>
      <c r="O123" s="10"/>
      <c r="P123" s="10"/>
      <c r="Q123" s="10"/>
    </row>
    <row r="124" spans="1:17" x14ac:dyDescent="0.45">
      <c r="A124" s="8" t="str">
        <f t="shared" si="1"/>
        <v/>
      </c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10"/>
      <c r="N124" s="10"/>
      <c r="O124" s="10"/>
      <c r="P124" s="10"/>
      <c r="Q124" s="10"/>
    </row>
    <row r="125" spans="1:17" x14ac:dyDescent="0.45">
      <c r="A125" s="8" t="str">
        <f t="shared" si="1"/>
        <v/>
      </c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10"/>
      <c r="N125" s="10"/>
      <c r="O125" s="10"/>
      <c r="P125" s="10"/>
      <c r="Q125" s="10"/>
    </row>
    <row r="126" spans="1:17" x14ac:dyDescent="0.45">
      <c r="A126" s="8" t="str">
        <f t="shared" si="1"/>
        <v/>
      </c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10"/>
      <c r="N126" s="10"/>
      <c r="O126" s="10"/>
      <c r="P126" s="10"/>
      <c r="Q126" s="10"/>
    </row>
    <row r="127" spans="1:17" x14ac:dyDescent="0.45">
      <c r="A127" s="8" t="str">
        <f t="shared" si="1"/>
        <v/>
      </c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10"/>
      <c r="N127" s="10"/>
      <c r="O127" s="10"/>
      <c r="P127" s="10"/>
      <c r="Q127" s="10"/>
    </row>
    <row r="128" spans="1:17" x14ac:dyDescent="0.45">
      <c r="A128" s="8" t="str">
        <f t="shared" si="1"/>
        <v/>
      </c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10"/>
      <c r="N128" s="10"/>
      <c r="O128" s="10"/>
      <c r="P128" s="10"/>
      <c r="Q128" s="10"/>
    </row>
    <row r="129" spans="1:17" x14ac:dyDescent="0.45">
      <c r="A129" s="8" t="str">
        <f t="shared" si="1"/>
        <v/>
      </c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10"/>
      <c r="N129" s="10"/>
      <c r="O129" s="10"/>
      <c r="P129" s="10"/>
      <c r="Q129" s="10"/>
    </row>
    <row r="130" spans="1:17" x14ac:dyDescent="0.45">
      <c r="A130" s="8" t="str">
        <f t="shared" si="1"/>
        <v/>
      </c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10"/>
      <c r="N130" s="10"/>
      <c r="O130" s="10"/>
      <c r="P130" s="10"/>
      <c r="Q130" s="10"/>
    </row>
    <row r="131" spans="1:17" x14ac:dyDescent="0.45">
      <c r="A131" s="8" t="str">
        <f t="shared" si="1"/>
        <v/>
      </c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10"/>
      <c r="N131" s="10"/>
      <c r="O131" s="10"/>
      <c r="P131" s="10"/>
      <c r="Q131" s="10"/>
    </row>
    <row r="132" spans="1:17" x14ac:dyDescent="0.45">
      <c r="A132" s="8" t="str">
        <f t="shared" si="1"/>
        <v/>
      </c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10"/>
      <c r="N132" s="10"/>
      <c r="O132" s="10"/>
      <c r="P132" s="10"/>
      <c r="Q132" s="10"/>
    </row>
    <row r="133" spans="1:17" x14ac:dyDescent="0.45">
      <c r="A133" s="8" t="str">
        <f t="shared" si="1"/>
        <v/>
      </c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10"/>
      <c r="N133" s="10"/>
      <c r="O133" s="10"/>
      <c r="P133" s="10"/>
      <c r="Q133" s="10"/>
    </row>
    <row r="134" spans="1:17" x14ac:dyDescent="0.45">
      <c r="A134" s="8" t="str">
        <f t="shared" si="1"/>
        <v/>
      </c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10"/>
      <c r="N134" s="10"/>
      <c r="O134" s="10"/>
      <c r="P134" s="10"/>
      <c r="Q134" s="10"/>
    </row>
    <row r="135" spans="1:17" x14ac:dyDescent="0.45">
      <c r="A135" s="8" t="str">
        <f t="shared" ref="A135:A198" si="2">IF($B135="","",ROW($A135)-(ROW($A$5)))</f>
        <v/>
      </c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10"/>
      <c r="N135" s="10"/>
      <c r="O135" s="10"/>
      <c r="P135" s="10"/>
      <c r="Q135" s="10"/>
    </row>
    <row r="136" spans="1:17" x14ac:dyDescent="0.45">
      <c r="A136" s="8" t="str">
        <f t="shared" si="2"/>
        <v/>
      </c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10"/>
      <c r="N136" s="10"/>
      <c r="O136" s="10"/>
      <c r="P136" s="10"/>
      <c r="Q136" s="10"/>
    </row>
    <row r="137" spans="1:17" x14ac:dyDescent="0.45">
      <c r="A137" s="8" t="str">
        <f t="shared" si="2"/>
        <v/>
      </c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10"/>
      <c r="N137" s="10"/>
      <c r="O137" s="10"/>
      <c r="P137" s="10"/>
      <c r="Q137" s="10"/>
    </row>
    <row r="138" spans="1:17" x14ac:dyDescent="0.45">
      <c r="A138" s="8" t="str">
        <f t="shared" si="2"/>
        <v/>
      </c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10"/>
      <c r="N138" s="10"/>
      <c r="O138" s="10"/>
      <c r="P138" s="10"/>
      <c r="Q138" s="10"/>
    </row>
    <row r="139" spans="1:17" x14ac:dyDescent="0.45">
      <c r="A139" s="8" t="str">
        <f t="shared" si="2"/>
        <v/>
      </c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10"/>
      <c r="N139" s="10"/>
      <c r="O139" s="10"/>
      <c r="P139" s="10"/>
      <c r="Q139" s="10"/>
    </row>
    <row r="140" spans="1:17" x14ac:dyDescent="0.45">
      <c r="A140" s="8" t="str">
        <f t="shared" si="2"/>
        <v/>
      </c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10"/>
      <c r="N140" s="10"/>
      <c r="O140" s="10"/>
      <c r="P140" s="10"/>
      <c r="Q140" s="10"/>
    </row>
    <row r="141" spans="1:17" x14ac:dyDescent="0.45">
      <c r="A141" s="8" t="str">
        <f t="shared" si="2"/>
        <v/>
      </c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10"/>
      <c r="N141" s="10"/>
      <c r="O141" s="10"/>
      <c r="P141" s="10"/>
      <c r="Q141" s="10"/>
    </row>
    <row r="142" spans="1:17" x14ac:dyDescent="0.45">
      <c r="A142" s="8" t="str">
        <f t="shared" si="2"/>
        <v/>
      </c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10"/>
      <c r="N142" s="10"/>
      <c r="O142" s="10"/>
      <c r="P142" s="10"/>
      <c r="Q142" s="10"/>
    </row>
    <row r="143" spans="1:17" x14ac:dyDescent="0.45">
      <c r="A143" s="8" t="str">
        <f t="shared" si="2"/>
        <v/>
      </c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10"/>
      <c r="N143" s="10"/>
      <c r="O143" s="10"/>
      <c r="P143" s="10"/>
      <c r="Q143" s="10"/>
    </row>
    <row r="144" spans="1:17" x14ac:dyDescent="0.45">
      <c r="A144" s="8" t="str">
        <f t="shared" si="2"/>
        <v/>
      </c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10"/>
      <c r="N144" s="10"/>
      <c r="O144" s="10"/>
      <c r="P144" s="10"/>
      <c r="Q144" s="10"/>
    </row>
    <row r="145" spans="1:17" x14ac:dyDescent="0.45">
      <c r="A145" s="8" t="str">
        <f t="shared" si="2"/>
        <v/>
      </c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10"/>
      <c r="N145" s="10"/>
      <c r="O145" s="10"/>
      <c r="P145" s="10"/>
      <c r="Q145" s="10"/>
    </row>
    <row r="146" spans="1:17" x14ac:dyDescent="0.45">
      <c r="A146" s="8" t="str">
        <f t="shared" si="2"/>
        <v/>
      </c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10"/>
      <c r="N146" s="10"/>
      <c r="O146" s="10"/>
      <c r="P146" s="10"/>
      <c r="Q146" s="10"/>
    </row>
    <row r="147" spans="1:17" x14ac:dyDescent="0.45">
      <c r="A147" s="8" t="str">
        <f t="shared" si="2"/>
        <v/>
      </c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10"/>
      <c r="N147" s="10"/>
      <c r="O147" s="10"/>
      <c r="P147" s="10"/>
      <c r="Q147" s="10"/>
    </row>
    <row r="148" spans="1:17" x14ac:dyDescent="0.45">
      <c r="A148" s="8" t="str">
        <f t="shared" si="2"/>
        <v/>
      </c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10"/>
      <c r="N148" s="10"/>
      <c r="O148" s="10"/>
      <c r="P148" s="10"/>
      <c r="Q148" s="10"/>
    </row>
    <row r="149" spans="1:17" x14ac:dyDescent="0.45">
      <c r="A149" s="8" t="str">
        <f t="shared" si="2"/>
        <v/>
      </c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10"/>
      <c r="N149" s="10"/>
      <c r="O149" s="10"/>
      <c r="P149" s="10"/>
      <c r="Q149" s="10"/>
    </row>
    <row r="150" spans="1:17" x14ac:dyDescent="0.45">
      <c r="A150" s="8" t="str">
        <f t="shared" si="2"/>
        <v/>
      </c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10"/>
      <c r="N150" s="10"/>
      <c r="O150" s="10"/>
      <c r="P150" s="10"/>
      <c r="Q150" s="10"/>
    </row>
    <row r="151" spans="1:17" x14ac:dyDescent="0.45">
      <c r="A151" s="8" t="str">
        <f t="shared" si="2"/>
        <v/>
      </c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10"/>
      <c r="N151" s="10"/>
      <c r="O151" s="10"/>
      <c r="P151" s="10"/>
      <c r="Q151" s="10"/>
    </row>
    <row r="152" spans="1:17" x14ac:dyDescent="0.45">
      <c r="A152" s="8" t="str">
        <f t="shared" si="2"/>
        <v/>
      </c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10"/>
      <c r="N152" s="10"/>
      <c r="O152" s="10"/>
      <c r="P152" s="10"/>
      <c r="Q152" s="10"/>
    </row>
    <row r="153" spans="1:17" x14ac:dyDescent="0.45">
      <c r="A153" s="8" t="str">
        <f t="shared" si="2"/>
        <v/>
      </c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10"/>
      <c r="N153" s="10"/>
      <c r="O153" s="10"/>
      <c r="P153" s="10"/>
      <c r="Q153" s="10"/>
    </row>
    <row r="154" spans="1:17" x14ac:dyDescent="0.45">
      <c r="A154" s="8" t="str">
        <f t="shared" si="2"/>
        <v/>
      </c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10"/>
      <c r="N154" s="10"/>
      <c r="O154" s="10"/>
      <c r="P154" s="10"/>
      <c r="Q154" s="10"/>
    </row>
    <row r="155" spans="1:17" x14ac:dyDescent="0.45">
      <c r="A155" s="8" t="str">
        <f t="shared" si="2"/>
        <v/>
      </c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10"/>
      <c r="N155" s="10"/>
      <c r="O155" s="10"/>
      <c r="P155" s="10"/>
      <c r="Q155" s="10"/>
    </row>
    <row r="156" spans="1:17" x14ac:dyDescent="0.45">
      <c r="A156" s="8" t="str">
        <f t="shared" si="2"/>
        <v/>
      </c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10"/>
      <c r="N156" s="10"/>
      <c r="O156" s="10"/>
      <c r="P156" s="10"/>
      <c r="Q156" s="10"/>
    </row>
    <row r="157" spans="1:17" x14ac:dyDescent="0.45">
      <c r="A157" s="8" t="str">
        <f t="shared" si="2"/>
        <v/>
      </c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10"/>
      <c r="N157" s="10"/>
      <c r="O157" s="10"/>
      <c r="P157" s="10"/>
      <c r="Q157" s="10"/>
    </row>
    <row r="158" spans="1:17" x14ac:dyDescent="0.45">
      <c r="A158" s="8" t="str">
        <f t="shared" si="2"/>
        <v/>
      </c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10"/>
      <c r="N158" s="10"/>
      <c r="O158" s="10"/>
      <c r="P158" s="10"/>
      <c r="Q158" s="10"/>
    </row>
    <row r="159" spans="1:17" x14ac:dyDescent="0.45">
      <c r="A159" s="8" t="str">
        <f t="shared" si="2"/>
        <v/>
      </c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10"/>
      <c r="N159" s="10"/>
      <c r="O159" s="10"/>
      <c r="P159" s="10"/>
      <c r="Q159" s="10"/>
    </row>
    <row r="160" spans="1:17" x14ac:dyDescent="0.45">
      <c r="A160" s="8" t="str">
        <f t="shared" si="2"/>
        <v/>
      </c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10"/>
      <c r="N160" s="10"/>
      <c r="O160" s="10"/>
      <c r="P160" s="10"/>
      <c r="Q160" s="10"/>
    </row>
    <row r="161" spans="1:17" x14ac:dyDescent="0.45">
      <c r="A161" s="8" t="str">
        <f t="shared" si="2"/>
        <v/>
      </c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10"/>
      <c r="N161" s="10"/>
      <c r="O161" s="10"/>
      <c r="P161" s="10"/>
      <c r="Q161" s="10"/>
    </row>
    <row r="162" spans="1:17" x14ac:dyDescent="0.45">
      <c r="A162" s="8" t="str">
        <f t="shared" si="2"/>
        <v/>
      </c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10"/>
      <c r="N162" s="10"/>
      <c r="O162" s="10"/>
      <c r="P162" s="10"/>
      <c r="Q162" s="10"/>
    </row>
    <row r="163" spans="1:17" x14ac:dyDescent="0.45">
      <c r="A163" s="8" t="str">
        <f t="shared" si="2"/>
        <v/>
      </c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10"/>
      <c r="N163" s="10"/>
      <c r="O163" s="10"/>
      <c r="P163" s="10"/>
      <c r="Q163" s="10"/>
    </row>
    <row r="164" spans="1:17" x14ac:dyDescent="0.45">
      <c r="A164" s="8" t="str">
        <f t="shared" si="2"/>
        <v/>
      </c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10"/>
      <c r="N164" s="10"/>
      <c r="O164" s="10"/>
      <c r="P164" s="10"/>
      <c r="Q164" s="10"/>
    </row>
    <row r="165" spans="1:17" x14ac:dyDescent="0.45">
      <c r="A165" s="8" t="str">
        <f t="shared" si="2"/>
        <v/>
      </c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10"/>
      <c r="N165" s="10"/>
      <c r="O165" s="10"/>
      <c r="P165" s="10"/>
      <c r="Q165" s="10"/>
    </row>
    <row r="166" spans="1:17" x14ac:dyDescent="0.45">
      <c r="A166" s="8" t="str">
        <f t="shared" si="2"/>
        <v/>
      </c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10"/>
      <c r="N166" s="10"/>
      <c r="O166" s="10"/>
      <c r="P166" s="10"/>
      <c r="Q166" s="10"/>
    </row>
    <row r="167" spans="1:17" x14ac:dyDescent="0.45">
      <c r="A167" s="8" t="str">
        <f t="shared" si="2"/>
        <v/>
      </c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10"/>
      <c r="N167" s="10"/>
      <c r="O167" s="10"/>
      <c r="P167" s="10"/>
      <c r="Q167" s="10"/>
    </row>
    <row r="168" spans="1:17" x14ac:dyDescent="0.45">
      <c r="A168" s="8" t="str">
        <f t="shared" si="2"/>
        <v/>
      </c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10"/>
      <c r="N168" s="10"/>
      <c r="O168" s="10"/>
      <c r="P168" s="10"/>
      <c r="Q168" s="10"/>
    </row>
    <row r="169" spans="1:17" x14ac:dyDescent="0.45">
      <c r="A169" s="8" t="str">
        <f t="shared" si="2"/>
        <v/>
      </c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10"/>
      <c r="N169" s="10"/>
      <c r="O169" s="10"/>
      <c r="P169" s="10"/>
      <c r="Q169" s="10"/>
    </row>
    <row r="170" spans="1:17" x14ac:dyDescent="0.45">
      <c r="A170" s="8" t="str">
        <f t="shared" si="2"/>
        <v/>
      </c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10"/>
      <c r="N170" s="10"/>
      <c r="O170" s="10"/>
      <c r="P170" s="10"/>
      <c r="Q170" s="10"/>
    </row>
    <row r="171" spans="1:17" x14ac:dyDescent="0.45">
      <c r="A171" s="8" t="str">
        <f t="shared" si="2"/>
        <v/>
      </c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10"/>
      <c r="N171" s="10"/>
      <c r="O171" s="10"/>
      <c r="P171" s="10"/>
      <c r="Q171" s="10"/>
    </row>
    <row r="172" spans="1:17" x14ac:dyDescent="0.45">
      <c r="A172" s="8" t="str">
        <f t="shared" si="2"/>
        <v/>
      </c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10"/>
      <c r="N172" s="10"/>
      <c r="O172" s="10"/>
      <c r="P172" s="10"/>
      <c r="Q172" s="10"/>
    </row>
    <row r="173" spans="1:17" x14ac:dyDescent="0.45">
      <c r="A173" s="8" t="str">
        <f t="shared" si="2"/>
        <v/>
      </c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10"/>
      <c r="N173" s="10"/>
      <c r="O173" s="10"/>
      <c r="P173" s="10"/>
      <c r="Q173" s="10"/>
    </row>
    <row r="174" spans="1:17" x14ac:dyDescent="0.45">
      <c r="A174" s="8" t="str">
        <f t="shared" si="2"/>
        <v/>
      </c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10"/>
      <c r="N174" s="10"/>
      <c r="O174" s="10"/>
      <c r="P174" s="10"/>
      <c r="Q174" s="10"/>
    </row>
    <row r="175" spans="1:17" x14ac:dyDescent="0.45">
      <c r="A175" s="8" t="str">
        <f t="shared" si="2"/>
        <v/>
      </c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10"/>
      <c r="N175" s="10"/>
      <c r="O175" s="10"/>
      <c r="P175" s="10"/>
      <c r="Q175" s="10"/>
    </row>
    <row r="176" spans="1:17" x14ac:dyDescent="0.45">
      <c r="A176" s="8" t="str">
        <f t="shared" si="2"/>
        <v/>
      </c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10"/>
      <c r="N176" s="10"/>
      <c r="O176" s="10"/>
      <c r="P176" s="10"/>
      <c r="Q176" s="10"/>
    </row>
    <row r="177" spans="1:17" x14ac:dyDescent="0.45">
      <c r="A177" s="8" t="str">
        <f t="shared" si="2"/>
        <v/>
      </c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10"/>
      <c r="N177" s="10"/>
      <c r="O177" s="10"/>
      <c r="P177" s="10"/>
      <c r="Q177" s="10"/>
    </row>
    <row r="178" spans="1:17" x14ac:dyDescent="0.45">
      <c r="A178" s="8" t="str">
        <f t="shared" si="2"/>
        <v/>
      </c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10"/>
      <c r="N178" s="10"/>
      <c r="O178" s="10"/>
      <c r="P178" s="10"/>
      <c r="Q178" s="10"/>
    </row>
    <row r="179" spans="1:17" x14ac:dyDescent="0.45">
      <c r="A179" s="8" t="str">
        <f t="shared" si="2"/>
        <v/>
      </c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10"/>
      <c r="N179" s="10"/>
      <c r="O179" s="10"/>
      <c r="P179" s="10"/>
      <c r="Q179" s="10"/>
    </row>
    <row r="180" spans="1:17" x14ac:dyDescent="0.45">
      <c r="A180" s="8" t="str">
        <f t="shared" si="2"/>
        <v/>
      </c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10"/>
      <c r="N180" s="10"/>
      <c r="O180" s="10"/>
      <c r="P180" s="10"/>
      <c r="Q180" s="10"/>
    </row>
    <row r="181" spans="1:17" x14ac:dyDescent="0.45">
      <c r="A181" s="8" t="str">
        <f t="shared" si="2"/>
        <v/>
      </c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10"/>
      <c r="N181" s="10"/>
      <c r="O181" s="10"/>
      <c r="P181" s="10"/>
      <c r="Q181" s="10"/>
    </row>
    <row r="182" spans="1:17" x14ac:dyDescent="0.45">
      <c r="A182" s="8" t="str">
        <f t="shared" si="2"/>
        <v/>
      </c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10"/>
      <c r="N182" s="10"/>
      <c r="O182" s="10"/>
      <c r="P182" s="10"/>
      <c r="Q182" s="10"/>
    </row>
    <row r="183" spans="1:17" x14ac:dyDescent="0.45">
      <c r="A183" s="8" t="str">
        <f t="shared" si="2"/>
        <v/>
      </c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10"/>
      <c r="N183" s="10"/>
      <c r="O183" s="10"/>
      <c r="P183" s="10"/>
      <c r="Q183" s="10"/>
    </row>
    <row r="184" spans="1:17" x14ac:dyDescent="0.45">
      <c r="A184" s="8" t="str">
        <f t="shared" si="2"/>
        <v/>
      </c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10"/>
      <c r="N184" s="10"/>
      <c r="O184" s="10"/>
      <c r="P184" s="10"/>
      <c r="Q184" s="10"/>
    </row>
    <row r="185" spans="1:17" x14ac:dyDescent="0.45">
      <c r="A185" s="8" t="str">
        <f t="shared" si="2"/>
        <v/>
      </c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10"/>
      <c r="N185" s="10"/>
      <c r="O185" s="10"/>
      <c r="P185" s="10"/>
      <c r="Q185" s="10"/>
    </row>
    <row r="186" spans="1:17" x14ac:dyDescent="0.45">
      <c r="A186" s="8" t="str">
        <f t="shared" si="2"/>
        <v/>
      </c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10"/>
      <c r="N186" s="10"/>
      <c r="O186" s="10"/>
      <c r="P186" s="10"/>
      <c r="Q186" s="10"/>
    </row>
    <row r="187" spans="1:17" x14ac:dyDescent="0.45">
      <c r="A187" s="8" t="str">
        <f t="shared" si="2"/>
        <v/>
      </c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10"/>
      <c r="N187" s="10"/>
      <c r="O187" s="10"/>
      <c r="P187" s="10"/>
      <c r="Q187" s="10"/>
    </row>
    <row r="188" spans="1:17" x14ac:dyDescent="0.45">
      <c r="A188" s="8" t="str">
        <f t="shared" si="2"/>
        <v/>
      </c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10"/>
      <c r="N188" s="10"/>
      <c r="O188" s="10"/>
      <c r="P188" s="10"/>
      <c r="Q188" s="10"/>
    </row>
    <row r="189" spans="1:17" x14ac:dyDescent="0.45">
      <c r="A189" s="8" t="str">
        <f t="shared" si="2"/>
        <v/>
      </c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10"/>
      <c r="N189" s="10"/>
      <c r="O189" s="10"/>
      <c r="P189" s="10"/>
      <c r="Q189" s="10"/>
    </row>
    <row r="190" spans="1:17" x14ac:dyDescent="0.45">
      <c r="A190" s="8" t="str">
        <f t="shared" si="2"/>
        <v/>
      </c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10"/>
      <c r="N190" s="10"/>
      <c r="O190" s="10"/>
      <c r="P190" s="10"/>
      <c r="Q190" s="10"/>
    </row>
    <row r="191" spans="1:17" x14ac:dyDescent="0.45">
      <c r="A191" s="8" t="str">
        <f t="shared" si="2"/>
        <v/>
      </c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10"/>
      <c r="N191" s="10"/>
      <c r="O191" s="10"/>
      <c r="P191" s="10"/>
      <c r="Q191" s="10"/>
    </row>
    <row r="192" spans="1:17" x14ac:dyDescent="0.45">
      <c r="A192" s="8" t="str">
        <f t="shared" si="2"/>
        <v/>
      </c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10"/>
      <c r="N192" s="10"/>
      <c r="O192" s="10"/>
      <c r="P192" s="10"/>
      <c r="Q192" s="10"/>
    </row>
    <row r="193" spans="1:17" x14ac:dyDescent="0.45">
      <c r="A193" s="8" t="str">
        <f t="shared" si="2"/>
        <v/>
      </c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10"/>
      <c r="N193" s="10"/>
      <c r="O193" s="10"/>
      <c r="P193" s="10"/>
      <c r="Q193" s="10"/>
    </row>
    <row r="194" spans="1:17" x14ac:dyDescent="0.45">
      <c r="A194" s="8" t="str">
        <f t="shared" si="2"/>
        <v/>
      </c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10"/>
      <c r="N194" s="10"/>
      <c r="O194" s="10"/>
      <c r="P194" s="10"/>
      <c r="Q194" s="10"/>
    </row>
    <row r="195" spans="1:17" x14ac:dyDescent="0.45">
      <c r="A195" s="8" t="str">
        <f t="shared" si="2"/>
        <v/>
      </c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10"/>
      <c r="N195" s="10"/>
      <c r="O195" s="10"/>
      <c r="P195" s="10"/>
      <c r="Q195" s="10"/>
    </row>
    <row r="196" spans="1:17" x14ac:dyDescent="0.45">
      <c r="A196" s="8" t="str">
        <f t="shared" si="2"/>
        <v/>
      </c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10"/>
      <c r="N196" s="10"/>
      <c r="O196" s="10"/>
      <c r="P196" s="10"/>
      <c r="Q196" s="10"/>
    </row>
    <row r="197" spans="1:17" x14ac:dyDescent="0.45">
      <c r="A197" s="8" t="str">
        <f t="shared" si="2"/>
        <v/>
      </c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10"/>
      <c r="N197" s="10"/>
      <c r="O197" s="10"/>
      <c r="P197" s="10"/>
      <c r="Q197" s="10"/>
    </row>
    <row r="198" spans="1:17" x14ac:dyDescent="0.45">
      <c r="A198" s="8" t="str">
        <f t="shared" si="2"/>
        <v/>
      </c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10"/>
      <c r="N198" s="10"/>
      <c r="O198" s="10"/>
      <c r="P198" s="10"/>
      <c r="Q198" s="10"/>
    </row>
    <row r="199" spans="1:17" x14ac:dyDescent="0.45">
      <c r="A199" s="8" t="str">
        <f t="shared" ref="A199:A262" si="3">IF($B199="","",ROW($A199)-(ROW($A$5)))</f>
        <v/>
      </c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10"/>
      <c r="N199" s="10"/>
      <c r="O199" s="10"/>
      <c r="P199" s="10"/>
      <c r="Q199" s="10"/>
    </row>
    <row r="200" spans="1:17" x14ac:dyDescent="0.45">
      <c r="A200" s="8" t="str">
        <f t="shared" si="3"/>
        <v/>
      </c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10"/>
      <c r="N200" s="10"/>
      <c r="O200" s="10"/>
      <c r="P200" s="10"/>
      <c r="Q200" s="10"/>
    </row>
    <row r="201" spans="1:17" x14ac:dyDescent="0.45">
      <c r="A201" s="8" t="str">
        <f t="shared" si="3"/>
        <v/>
      </c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10"/>
      <c r="N201" s="10"/>
      <c r="O201" s="10"/>
      <c r="P201" s="10"/>
      <c r="Q201" s="10"/>
    </row>
    <row r="202" spans="1:17" x14ac:dyDescent="0.45">
      <c r="A202" s="8" t="str">
        <f t="shared" si="3"/>
        <v/>
      </c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10"/>
      <c r="N202" s="10"/>
      <c r="O202" s="10"/>
      <c r="P202" s="10"/>
      <c r="Q202" s="10"/>
    </row>
    <row r="203" spans="1:17" x14ac:dyDescent="0.45">
      <c r="A203" s="8" t="str">
        <f t="shared" si="3"/>
        <v/>
      </c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10"/>
      <c r="N203" s="10"/>
      <c r="O203" s="10"/>
      <c r="P203" s="10"/>
      <c r="Q203" s="10"/>
    </row>
    <row r="204" spans="1:17" x14ac:dyDescent="0.45">
      <c r="A204" s="8" t="str">
        <f t="shared" si="3"/>
        <v/>
      </c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10"/>
      <c r="N204" s="10"/>
      <c r="O204" s="10"/>
      <c r="P204" s="10"/>
      <c r="Q204" s="10"/>
    </row>
    <row r="205" spans="1:17" x14ac:dyDescent="0.45">
      <c r="A205" s="8" t="str">
        <f t="shared" si="3"/>
        <v/>
      </c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10"/>
      <c r="N205" s="10"/>
      <c r="O205" s="10"/>
      <c r="P205" s="10"/>
      <c r="Q205" s="10"/>
    </row>
    <row r="206" spans="1:17" x14ac:dyDescent="0.45">
      <c r="A206" s="8" t="str">
        <f t="shared" si="3"/>
        <v/>
      </c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10"/>
      <c r="N206" s="10"/>
      <c r="O206" s="10"/>
      <c r="P206" s="10"/>
      <c r="Q206" s="10"/>
    </row>
    <row r="207" spans="1:17" x14ac:dyDescent="0.45">
      <c r="A207" s="8" t="str">
        <f t="shared" si="3"/>
        <v/>
      </c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10"/>
      <c r="N207" s="10"/>
      <c r="O207" s="10"/>
      <c r="P207" s="10"/>
      <c r="Q207" s="10"/>
    </row>
    <row r="208" spans="1:17" x14ac:dyDescent="0.45">
      <c r="A208" s="8" t="str">
        <f t="shared" si="3"/>
        <v/>
      </c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10"/>
      <c r="N208" s="10"/>
      <c r="O208" s="10"/>
      <c r="P208" s="10"/>
      <c r="Q208" s="10"/>
    </row>
    <row r="209" spans="1:17" x14ac:dyDescent="0.45">
      <c r="A209" s="8" t="str">
        <f t="shared" si="3"/>
        <v/>
      </c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10"/>
      <c r="N209" s="10"/>
      <c r="O209" s="10"/>
      <c r="P209" s="10"/>
      <c r="Q209" s="10"/>
    </row>
    <row r="210" spans="1:17" x14ac:dyDescent="0.45">
      <c r="A210" s="8" t="str">
        <f t="shared" si="3"/>
        <v/>
      </c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10"/>
      <c r="N210" s="10"/>
      <c r="O210" s="10"/>
      <c r="P210" s="10"/>
      <c r="Q210" s="10"/>
    </row>
    <row r="211" spans="1:17" x14ac:dyDescent="0.45">
      <c r="A211" s="8" t="str">
        <f t="shared" si="3"/>
        <v/>
      </c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10"/>
      <c r="N211" s="10"/>
      <c r="O211" s="10"/>
      <c r="P211" s="10"/>
      <c r="Q211" s="10"/>
    </row>
    <row r="212" spans="1:17" x14ac:dyDescent="0.45">
      <c r="A212" s="8" t="str">
        <f t="shared" si="3"/>
        <v/>
      </c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10"/>
      <c r="N212" s="10"/>
      <c r="O212" s="10"/>
      <c r="P212" s="10"/>
      <c r="Q212" s="10"/>
    </row>
    <row r="213" spans="1:17" x14ac:dyDescent="0.45">
      <c r="A213" s="8" t="str">
        <f t="shared" si="3"/>
        <v/>
      </c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10"/>
      <c r="N213" s="10"/>
      <c r="O213" s="10"/>
      <c r="P213" s="10"/>
      <c r="Q213" s="10"/>
    </row>
    <row r="214" spans="1:17" x14ac:dyDescent="0.45">
      <c r="A214" s="8" t="str">
        <f t="shared" si="3"/>
        <v/>
      </c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10"/>
      <c r="N214" s="10"/>
      <c r="O214" s="10"/>
      <c r="P214" s="10"/>
      <c r="Q214" s="10"/>
    </row>
    <row r="215" spans="1:17" x14ac:dyDescent="0.45">
      <c r="A215" s="8" t="str">
        <f t="shared" si="3"/>
        <v/>
      </c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10"/>
      <c r="N215" s="10"/>
      <c r="O215" s="10"/>
      <c r="P215" s="10"/>
      <c r="Q215" s="10"/>
    </row>
    <row r="216" spans="1:17" x14ac:dyDescent="0.45">
      <c r="A216" s="8" t="str">
        <f t="shared" si="3"/>
        <v/>
      </c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10"/>
      <c r="N216" s="10"/>
      <c r="O216" s="10"/>
      <c r="P216" s="10"/>
      <c r="Q216" s="10"/>
    </row>
    <row r="217" spans="1:17" x14ac:dyDescent="0.45">
      <c r="A217" s="8" t="str">
        <f t="shared" si="3"/>
        <v/>
      </c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10"/>
      <c r="N217" s="10"/>
      <c r="O217" s="10"/>
      <c r="P217" s="10"/>
      <c r="Q217" s="10"/>
    </row>
    <row r="218" spans="1:17" x14ac:dyDescent="0.45">
      <c r="A218" s="8" t="str">
        <f t="shared" si="3"/>
        <v/>
      </c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10"/>
      <c r="N218" s="10"/>
      <c r="O218" s="10"/>
      <c r="P218" s="10"/>
      <c r="Q218" s="10"/>
    </row>
    <row r="219" spans="1:17" x14ac:dyDescent="0.45">
      <c r="A219" s="8" t="str">
        <f t="shared" si="3"/>
        <v/>
      </c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10"/>
      <c r="N219" s="10"/>
      <c r="O219" s="10"/>
      <c r="P219" s="10"/>
      <c r="Q219" s="10"/>
    </row>
    <row r="220" spans="1:17" x14ac:dyDescent="0.45">
      <c r="A220" s="8" t="str">
        <f t="shared" si="3"/>
        <v/>
      </c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10"/>
      <c r="N220" s="10"/>
      <c r="O220" s="10"/>
      <c r="P220" s="10"/>
      <c r="Q220" s="10"/>
    </row>
    <row r="221" spans="1:17" x14ac:dyDescent="0.45">
      <c r="A221" s="8" t="str">
        <f t="shared" si="3"/>
        <v/>
      </c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10"/>
      <c r="N221" s="10"/>
      <c r="O221" s="10"/>
      <c r="P221" s="10"/>
      <c r="Q221" s="10"/>
    </row>
    <row r="222" spans="1:17" x14ac:dyDescent="0.45">
      <c r="A222" s="8" t="str">
        <f t="shared" si="3"/>
        <v/>
      </c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10"/>
      <c r="N222" s="10"/>
      <c r="O222" s="10"/>
      <c r="P222" s="10"/>
      <c r="Q222" s="10"/>
    </row>
    <row r="223" spans="1:17" x14ac:dyDescent="0.45">
      <c r="A223" s="8" t="str">
        <f t="shared" si="3"/>
        <v/>
      </c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10"/>
      <c r="N223" s="10"/>
      <c r="O223" s="10"/>
      <c r="P223" s="10"/>
      <c r="Q223" s="10"/>
    </row>
    <row r="224" spans="1:17" x14ac:dyDescent="0.45">
      <c r="A224" s="8" t="str">
        <f t="shared" si="3"/>
        <v/>
      </c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10"/>
      <c r="N224" s="10"/>
      <c r="O224" s="10"/>
      <c r="P224" s="10"/>
      <c r="Q224" s="10"/>
    </row>
    <row r="225" spans="1:17" x14ac:dyDescent="0.45">
      <c r="A225" s="8" t="str">
        <f t="shared" si="3"/>
        <v/>
      </c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10"/>
      <c r="N225" s="10"/>
      <c r="O225" s="10"/>
      <c r="P225" s="10"/>
      <c r="Q225" s="10"/>
    </row>
    <row r="226" spans="1:17" x14ac:dyDescent="0.45">
      <c r="A226" s="8" t="str">
        <f t="shared" si="3"/>
        <v/>
      </c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10"/>
      <c r="N226" s="10"/>
      <c r="O226" s="10"/>
      <c r="P226" s="10"/>
      <c r="Q226" s="10"/>
    </row>
    <row r="227" spans="1:17" x14ac:dyDescent="0.45">
      <c r="A227" s="8" t="str">
        <f t="shared" si="3"/>
        <v/>
      </c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10"/>
      <c r="N227" s="10"/>
      <c r="O227" s="10"/>
      <c r="P227" s="10"/>
      <c r="Q227" s="10"/>
    </row>
    <row r="228" spans="1:17" x14ac:dyDescent="0.45">
      <c r="A228" s="8" t="str">
        <f t="shared" si="3"/>
        <v/>
      </c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10"/>
      <c r="N228" s="10"/>
      <c r="O228" s="10"/>
      <c r="P228" s="10"/>
      <c r="Q228" s="10"/>
    </row>
    <row r="229" spans="1:17" x14ac:dyDescent="0.45">
      <c r="A229" s="8" t="str">
        <f t="shared" si="3"/>
        <v/>
      </c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10"/>
      <c r="N229" s="10"/>
      <c r="O229" s="10"/>
      <c r="P229" s="10"/>
      <c r="Q229" s="10"/>
    </row>
    <row r="230" spans="1:17" x14ac:dyDescent="0.45">
      <c r="A230" s="8" t="str">
        <f t="shared" si="3"/>
        <v/>
      </c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10"/>
      <c r="N230" s="10"/>
      <c r="O230" s="10"/>
      <c r="P230" s="10"/>
      <c r="Q230" s="10"/>
    </row>
    <row r="231" spans="1:17" x14ac:dyDescent="0.45">
      <c r="A231" s="8" t="str">
        <f t="shared" si="3"/>
        <v/>
      </c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10"/>
      <c r="N231" s="10"/>
      <c r="O231" s="10"/>
      <c r="P231" s="10"/>
      <c r="Q231" s="10"/>
    </row>
    <row r="232" spans="1:17" x14ac:dyDescent="0.45">
      <c r="A232" s="8" t="str">
        <f t="shared" si="3"/>
        <v/>
      </c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10"/>
      <c r="N232" s="10"/>
      <c r="O232" s="10"/>
      <c r="P232" s="10"/>
      <c r="Q232" s="10"/>
    </row>
    <row r="233" spans="1:17" x14ac:dyDescent="0.45">
      <c r="A233" s="8" t="str">
        <f t="shared" si="3"/>
        <v/>
      </c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10"/>
      <c r="N233" s="10"/>
      <c r="O233" s="10"/>
      <c r="P233" s="10"/>
      <c r="Q233" s="10"/>
    </row>
    <row r="234" spans="1:17" x14ac:dyDescent="0.45">
      <c r="A234" s="8" t="str">
        <f t="shared" si="3"/>
        <v/>
      </c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10"/>
      <c r="N234" s="10"/>
      <c r="O234" s="10"/>
      <c r="P234" s="10"/>
      <c r="Q234" s="10"/>
    </row>
    <row r="235" spans="1:17" x14ac:dyDescent="0.45">
      <c r="A235" s="8" t="str">
        <f t="shared" si="3"/>
        <v/>
      </c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10"/>
      <c r="N235" s="10"/>
      <c r="O235" s="10"/>
      <c r="P235" s="10"/>
      <c r="Q235" s="10"/>
    </row>
    <row r="236" spans="1:17" x14ac:dyDescent="0.45">
      <c r="A236" s="8" t="str">
        <f t="shared" si="3"/>
        <v/>
      </c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10"/>
      <c r="N236" s="10"/>
      <c r="O236" s="10"/>
      <c r="P236" s="10"/>
      <c r="Q236" s="10"/>
    </row>
    <row r="237" spans="1:17" x14ac:dyDescent="0.45">
      <c r="A237" s="8" t="str">
        <f t="shared" si="3"/>
        <v/>
      </c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10"/>
      <c r="N237" s="10"/>
      <c r="O237" s="10"/>
      <c r="P237" s="10"/>
      <c r="Q237" s="10"/>
    </row>
    <row r="238" spans="1:17" x14ac:dyDescent="0.45">
      <c r="A238" s="8" t="str">
        <f t="shared" si="3"/>
        <v/>
      </c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10"/>
      <c r="N238" s="10"/>
      <c r="O238" s="10"/>
      <c r="P238" s="10"/>
      <c r="Q238" s="10"/>
    </row>
    <row r="239" spans="1:17" x14ac:dyDescent="0.45">
      <c r="A239" s="8" t="str">
        <f t="shared" si="3"/>
        <v/>
      </c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10"/>
      <c r="N239" s="10"/>
      <c r="O239" s="10"/>
      <c r="P239" s="10"/>
      <c r="Q239" s="10"/>
    </row>
    <row r="240" spans="1:17" x14ac:dyDescent="0.45">
      <c r="A240" s="8" t="str">
        <f t="shared" si="3"/>
        <v/>
      </c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10"/>
      <c r="N240" s="10"/>
      <c r="O240" s="10"/>
      <c r="P240" s="10"/>
      <c r="Q240" s="10"/>
    </row>
    <row r="241" spans="1:17" x14ac:dyDescent="0.45">
      <c r="A241" s="8" t="str">
        <f t="shared" si="3"/>
        <v/>
      </c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10"/>
      <c r="N241" s="10"/>
      <c r="O241" s="10"/>
      <c r="P241" s="10"/>
      <c r="Q241" s="10"/>
    </row>
    <row r="242" spans="1:17" x14ac:dyDescent="0.45">
      <c r="A242" s="8" t="str">
        <f t="shared" si="3"/>
        <v/>
      </c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10"/>
      <c r="N242" s="10"/>
      <c r="O242" s="10"/>
      <c r="P242" s="10"/>
      <c r="Q242" s="10"/>
    </row>
    <row r="243" spans="1:17" x14ac:dyDescent="0.45">
      <c r="A243" s="8" t="str">
        <f t="shared" si="3"/>
        <v/>
      </c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10"/>
      <c r="N243" s="10"/>
      <c r="O243" s="10"/>
      <c r="P243" s="10"/>
      <c r="Q243" s="10"/>
    </row>
    <row r="244" spans="1:17" x14ac:dyDescent="0.45">
      <c r="A244" s="8" t="str">
        <f t="shared" si="3"/>
        <v/>
      </c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10"/>
      <c r="N244" s="10"/>
      <c r="O244" s="10"/>
      <c r="P244" s="10"/>
      <c r="Q244" s="10"/>
    </row>
    <row r="245" spans="1:17" x14ac:dyDescent="0.45">
      <c r="A245" s="8" t="str">
        <f t="shared" si="3"/>
        <v/>
      </c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10"/>
      <c r="N245" s="10"/>
      <c r="O245" s="10"/>
      <c r="P245" s="10"/>
      <c r="Q245" s="10"/>
    </row>
    <row r="246" spans="1:17" x14ac:dyDescent="0.45">
      <c r="A246" s="8" t="str">
        <f t="shared" si="3"/>
        <v/>
      </c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10"/>
      <c r="N246" s="10"/>
      <c r="O246" s="10"/>
      <c r="P246" s="10"/>
      <c r="Q246" s="10"/>
    </row>
    <row r="247" spans="1:17" x14ac:dyDescent="0.45">
      <c r="A247" s="8" t="str">
        <f t="shared" si="3"/>
        <v/>
      </c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10"/>
      <c r="N247" s="10"/>
      <c r="O247" s="10"/>
      <c r="P247" s="10"/>
      <c r="Q247" s="10"/>
    </row>
    <row r="248" spans="1:17" x14ac:dyDescent="0.45">
      <c r="A248" s="8" t="str">
        <f t="shared" si="3"/>
        <v/>
      </c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10"/>
      <c r="N248" s="10"/>
      <c r="O248" s="10"/>
      <c r="P248" s="10"/>
      <c r="Q248" s="10"/>
    </row>
    <row r="249" spans="1:17" x14ac:dyDescent="0.45">
      <c r="A249" s="8" t="str">
        <f t="shared" si="3"/>
        <v/>
      </c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10"/>
      <c r="N249" s="10"/>
      <c r="O249" s="10"/>
      <c r="P249" s="10"/>
      <c r="Q249" s="10"/>
    </row>
    <row r="250" spans="1:17" x14ac:dyDescent="0.45">
      <c r="A250" s="8" t="str">
        <f t="shared" si="3"/>
        <v/>
      </c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10"/>
      <c r="N250" s="10"/>
      <c r="O250" s="10"/>
      <c r="P250" s="10"/>
      <c r="Q250" s="10"/>
    </row>
    <row r="251" spans="1:17" x14ac:dyDescent="0.45">
      <c r="A251" s="8" t="str">
        <f t="shared" si="3"/>
        <v/>
      </c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10"/>
      <c r="N251" s="10"/>
      <c r="O251" s="10"/>
      <c r="P251" s="10"/>
      <c r="Q251" s="10"/>
    </row>
    <row r="252" spans="1:17" x14ac:dyDescent="0.45">
      <c r="A252" s="8" t="str">
        <f t="shared" si="3"/>
        <v/>
      </c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10"/>
      <c r="N252" s="10"/>
      <c r="O252" s="10"/>
      <c r="P252" s="10"/>
      <c r="Q252" s="10"/>
    </row>
    <row r="253" spans="1:17" x14ac:dyDescent="0.45">
      <c r="A253" s="8" t="str">
        <f t="shared" si="3"/>
        <v/>
      </c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10"/>
      <c r="N253" s="10"/>
      <c r="O253" s="10"/>
      <c r="P253" s="10"/>
      <c r="Q253" s="10"/>
    </row>
    <row r="254" spans="1:17" x14ac:dyDescent="0.45">
      <c r="A254" s="8" t="str">
        <f t="shared" si="3"/>
        <v/>
      </c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10"/>
      <c r="N254" s="10"/>
      <c r="O254" s="10"/>
      <c r="P254" s="10"/>
      <c r="Q254" s="10"/>
    </row>
    <row r="255" spans="1:17" x14ac:dyDescent="0.45">
      <c r="A255" s="8" t="str">
        <f t="shared" si="3"/>
        <v/>
      </c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10"/>
      <c r="N255" s="10"/>
      <c r="O255" s="10"/>
      <c r="P255" s="10"/>
      <c r="Q255" s="10"/>
    </row>
    <row r="256" spans="1:17" x14ac:dyDescent="0.45">
      <c r="A256" s="8" t="str">
        <f t="shared" si="3"/>
        <v/>
      </c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10"/>
      <c r="N256" s="10"/>
      <c r="O256" s="10"/>
      <c r="P256" s="10"/>
      <c r="Q256" s="10"/>
    </row>
    <row r="257" spans="1:17" x14ac:dyDescent="0.45">
      <c r="A257" s="8" t="str">
        <f t="shared" si="3"/>
        <v/>
      </c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10"/>
      <c r="N257" s="10"/>
      <c r="O257" s="10"/>
      <c r="P257" s="10"/>
      <c r="Q257" s="10"/>
    </row>
    <row r="258" spans="1:17" x14ac:dyDescent="0.45">
      <c r="A258" s="8" t="str">
        <f t="shared" si="3"/>
        <v/>
      </c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10"/>
      <c r="N258" s="10"/>
      <c r="O258" s="10"/>
      <c r="P258" s="10"/>
      <c r="Q258" s="10"/>
    </row>
    <row r="259" spans="1:17" x14ac:dyDescent="0.45">
      <c r="A259" s="8" t="str">
        <f t="shared" si="3"/>
        <v/>
      </c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10"/>
      <c r="N259" s="10"/>
      <c r="O259" s="10"/>
      <c r="P259" s="10"/>
      <c r="Q259" s="10"/>
    </row>
    <row r="260" spans="1:17" x14ac:dyDescent="0.45">
      <c r="A260" s="8" t="str">
        <f t="shared" si="3"/>
        <v/>
      </c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10"/>
      <c r="N260" s="10"/>
      <c r="O260" s="10"/>
      <c r="P260" s="10"/>
      <c r="Q260" s="10"/>
    </row>
    <row r="261" spans="1:17" x14ac:dyDescent="0.45">
      <c r="A261" s="8" t="str">
        <f t="shared" si="3"/>
        <v/>
      </c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10"/>
      <c r="N261" s="10"/>
      <c r="O261" s="10"/>
      <c r="P261" s="10"/>
      <c r="Q261" s="10"/>
    </row>
    <row r="262" spans="1:17" x14ac:dyDescent="0.45">
      <c r="A262" s="8" t="str">
        <f t="shared" si="3"/>
        <v/>
      </c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10"/>
      <c r="N262" s="10"/>
      <c r="O262" s="10"/>
      <c r="P262" s="10"/>
      <c r="Q262" s="10"/>
    </row>
    <row r="263" spans="1:17" x14ac:dyDescent="0.45">
      <c r="A263" s="8" t="str">
        <f t="shared" ref="A263:A326" si="4">IF($B263="","",ROW($A263)-(ROW($A$5)))</f>
        <v/>
      </c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10"/>
      <c r="N263" s="10"/>
      <c r="O263" s="10"/>
      <c r="P263" s="10"/>
      <c r="Q263" s="10"/>
    </row>
    <row r="264" spans="1:17" x14ac:dyDescent="0.45">
      <c r="A264" s="8" t="str">
        <f t="shared" si="4"/>
        <v/>
      </c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10"/>
      <c r="N264" s="10"/>
      <c r="O264" s="10"/>
      <c r="P264" s="10"/>
      <c r="Q264" s="10"/>
    </row>
    <row r="265" spans="1:17" x14ac:dyDescent="0.45">
      <c r="A265" s="8" t="str">
        <f t="shared" si="4"/>
        <v/>
      </c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10"/>
      <c r="N265" s="10"/>
      <c r="O265" s="10"/>
      <c r="P265" s="10"/>
      <c r="Q265" s="10"/>
    </row>
    <row r="266" spans="1:17" x14ac:dyDescent="0.45">
      <c r="A266" s="8" t="str">
        <f t="shared" si="4"/>
        <v/>
      </c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10"/>
      <c r="N266" s="10"/>
      <c r="O266" s="10"/>
      <c r="P266" s="10"/>
      <c r="Q266" s="10"/>
    </row>
    <row r="267" spans="1:17" x14ac:dyDescent="0.45">
      <c r="A267" s="8" t="str">
        <f t="shared" si="4"/>
        <v/>
      </c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10"/>
      <c r="N267" s="10"/>
      <c r="O267" s="10"/>
      <c r="P267" s="10"/>
      <c r="Q267" s="10"/>
    </row>
    <row r="268" spans="1:17" x14ac:dyDescent="0.45">
      <c r="A268" s="8" t="str">
        <f t="shared" si="4"/>
        <v/>
      </c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10"/>
      <c r="N268" s="10"/>
      <c r="O268" s="10"/>
      <c r="P268" s="10"/>
      <c r="Q268" s="10"/>
    </row>
    <row r="269" spans="1:17" x14ac:dyDescent="0.45">
      <c r="A269" s="8" t="str">
        <f t="shared" si="4"/>
        <v/>
      </c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10"/>
      <c r="N269" s="10"/>
      <c r="O269" s="10"/>
      <c r="P269" s="10"/>
      <c r="Q269" s="10"/>
    </row>
    <row r="270" spans="1:17" x14ac:dyDescent="0.45">
      <c r="A270" s="8" t="str">
        <f t="shared" si="4"/>
        <v/>
      </c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10"/>
      <c r="N270" s="10"/>
      <c r="O270" s="10"/>
      <c r="P270" s="10"/>
      <c r="Q270" s="10"/>
    </row>
    <row r="271" spans="1:17" x14ac:dyDescent="0.45">
      <c r="A271" s="8" t="str">
        <f t="shared" si="4"/>
        <v/>
      </c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10"/>
      <c r="N271" s="10"/>
      <c r="O271" s="10"/>
      <c r="P271" s="10"/>
      <c r="Q271" s="10"/>
    </row>
    <row r="272" spans="1:17" x14ac:dyDescent="0.45">
      <c r="A272" s="8" t="str">
        <f t="shared" si="4"/>
        <v/>
      </c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10"/>
      <c r="N272" s="10"/>
      <c r="O272" s="10"/>
      <c r="P272" s="10"/>
      <c r="Q272" s="10"/>
    </row>
    <row r="273" spans="1:17" x14ac:dyDescent="0.45">
      <c r="A273" s="8" t="str">
        <f t="shared" si="4"/>
        <v/>
      </c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10"/>
      <c r="N273" s="10"/>
      <c r="O273" s="10"/>
      <c r="P273" s="10"/>
      <c r="Q273" s="10"/>
    </row>
    <row r="274" spans="1:17" x14ac:dyDescent="0.45">
      <c r="A274" s="8" t="str">
        <f t="shared" si="4"/>
        <v/>
      </c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10"/>
      <c r="N274" s="10"/>
      <c r="O274" s="10"/>
      <c r="P274" s="10"/>
      <c r="Q274" s="10"/>
    </row>
    <row r="275" spans="1:17" x14ac:dyDescent="0.45">
      <c r="A275" s="8" t="str">
        <f t="shared" si="4"/>
        <v/>
      </c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10"/>
      <c r="N275" s="10"/>
      <c r="O275" s="10"/>
      <c r="P275" s="10"/>
      <c r="Q275" s="10"/>
    </row>
    <row r="276" spans="1:17" x14ac:dyDescent="0.45">
      <c r="A276" s="8" t="str">
        <f t="shared" si="4"/>
        <v/>
      </c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10"/>
      <c r="N276" s="10"/>
      <c r="O276" s="10"/>
      <c r="P276" s="10"/>
      <c r="Q276" s="10"/>
    </row>
    <row r="277" spans="1:17" x14ac:dyDescent="0.45">
      <c r="A277" s="8" t="str">
        <f t="shared" si="4"/>
        <v/>
      </c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10"/>
      <c r="N277" s="10"/>
      <c r="O277" s="10"/>
      <c r="P277" s="10"/>
      <c r="Q277" s="10"/>
    </row>
    <row r="278" spans="1:17" x14ac:dyDescent="0.45">
      <c r="A278" s="8" t="str">
        <f t="shared" si="4"/>
        <v/>
      </c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10"/>
      <c r="N278" s="10"/>
      <c r="O278" s="10"/>
      <c r="P278" s="10"/>
      <c r="Q278" s="10"/>
    </row>
    <row r="279" spans="1:17" x14ac:dyDescent="0.45">
      <c r="A279" s="8" t="str">
        <f t="shared" si="4"/>
        <v/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10"/>
      <c r="N279" s="10"/>
      <c r="O279" s="10"/>
      <c r="P279" s="10"/>
      <c r="Q279" s="10"/>
    </row>
    <row r="280" spans="1:17" x14ac:dyDescent="0.45">
      <c r="A280" s="8" t="str">
        <f t="shared" si="4"/>
        <v/>
      </c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10"/>
      <c r="N280" s="10"/>
      <c r="O280" s="10"/>
      <c r="P280" s="10"/>
      <c r="Q280" s="10"/>
    </row>
    <row r="281" spans="1:17" x14ac:dyDescent="0.45">
      <c r="A281" s="8" t="str">
        <f t="shared" si="4"/>
        <v/>
      </c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10"/>
      <c r="N281" s="10"/>
      <c r="O281" s="10"/>
      <c r="P281" s="10"/>
      <c r="Q281" s="10"/>
    </row>
    <row r="282" spans="1:17" x14ac:dyDescent="0.45">
      <c r="A282" s="8" t="str">
        <f t="shared" si="4"/>
        <v/>
      </c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10"/>
      <c r="N282" s="10"/>
      <c r="O282" s="10"/>
      <c r="P282" s="10"/>
      <c r="Q282" s="10"/>
    </row>
    <row r="283" spans="1:17" x14ac:dyDescent="0.45">
      <c r="A283" s="8" t="str">
        <f t="shared" si="4"/>
        <v/>
      </c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10"/>
      <c r="N283" s="10"/>
      <c r="O283" s="10"/>
      <c r="P283" s="10"/>
      <c r="Q283" s="10"/>
    </row>
    <row r="284" spans="1:17" x14ac:dyDescent="0.45">
      <c r="A284" s="8" t="str">
        <f t="shared" si="4"/>
        <v/>
      </c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10"/>
      <c r="N284" s="10"/>
      <c r="O284" s="10"/>
      <c r="P284" s="10"/>
      <c r="Q284" s="10"/>
    </row>
    <row r="285" spans="1:17" x14ac:dyDescent="0.45">
      <c r="A285" s="8" t="str">
        <f t="shared" si="4"/>
        <v/>
      </c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10"/>
      <c r="N285" s="10"/>
      <c r="O285" s="10"/>
      <c r="P285" s="10"/>
      <c r="Q285" s="10"/>
    </row>
    <row r="286" spans="1:17" x14ac:dyDescent="0.45">
      <c r="A286" s="8" t="str">
        <f t="shared" si="4"/>
        <v/>
      </c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10"/>
      <c r="N286" s="10"/>
      <c r="O286" s="10"/>
      <c r="P286" s="10"/>
      <c r="Q286" s="10"/>
    </row>
    <row r="287" spans="1:17" x14ac:dyDescent="0.45">
      <c r="A287" s="8" t="str">
        <f t="shared" si="4"/>
        <v/>
      </c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10"/>
      <c r="N287" s="10"/>
      <c r="O287" s="10"/>
      <c r="P287" s="10"/>
      <c r="Q287" s="10"/>
    </row>
    <row r="288" spans="1:17" x14ac:dyDescent="0.45">
      <c r="A288" s="8" t="str">
        <f t="shared" si="4"/>
        <v/>
      </c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10"/>
      <c r="N288" s="10"/>
      <c r="O288" s="10"/>
      <c r="P288" s="10"/>
      <c r="Q288" s="10"/>
    </row>
    <row r="289" spans="1:17" x14ac:dyDescent="0.45">
      <c r="A289" s="8" t="str">
        <f t="shared" si="4"/>
        <v/>
      </c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10"/>
      <c r="N289" s="10"/>
      <c r="O289" s="10"/>
      <c r="P289" s="10"/>
      <c r="Q289" s="10"/>
    </row>
    <row r="290" spans="1:17" x14ac:dyDescent="0.45">
      <c r="A290" s="8" t="str">
        <f t="shared" si="4"/>
        <v/>
      </c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10"/>
      <c r="N290" s="10"/>
      <c r="O290" s="10"/>
      <c r="P290" s="10"/>
      <c r="Q290" s="10"/>
    </row>
    <row r="291" spans="1:17" x14ac:dyDescent="0.45">
      <c r="A291" s="8" t="str">
        <f t="shared" si="4"/>
        <v/>
      </c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10"/>
      <c r="N291" s="10"/>
      <c r="O291" s="10"/>
      <c r="P291" s="10"/>
      <c r="Q291" s="10"/>
    </row>
    <row r="292" spans="1:17" x14ac:dyDescent="0.45">
      <c r="A292" s="8" t="str">
        <f t="shared" si="4"/>
        <v/>
      </c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10"/>
      <c r="N292" s="10"/>
      <c r="O292" s="10"/>
      <c r="P292" s="10"/>
      <c r="Q292" s="10"/>
    </row>
    <row r="293" spans="1:17" x14ac:dyDescent="0.45">
      <c r="A293" s="8" t="str">
        <f t="shared" si="4"/>
        <v/>
      </c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10"/>
      <c r="N293" s="10"/>
      <c r="O293" s="10"/>
      <c r="P293" s="10"/>
      <c r="Q293" s="10"/>
    </row>
    <row r="294" spans="1:17" x14ac:dyDescent="0.45">
      <c r="A294" s="8" t="str">
        <f t="shared" si="4"/>
        <v/>
      </c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10"/>
      <c r="N294" s="10"/>
      <c r="O294" s="10"/>
      <c r="P294" s="10"/>
      <c r="Q294" s="10"/>
    </row>
    <row r="295" spans="1:17" x14ac:dyDescent="0.45">
      <c r="A295" s="8" t="str">
        <f t="shared" si="4"/>
        <v/>
      </c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10"/>
      <c r="N295" s="10"/>
      <c r="O295" s="10"/>
      <c r="P295" s="10"/>
      <c r="Q295" s="10"/>
    </row>
    <row r="296" spans="1:17" x14ac:dyDescent="0.45">
      <c r="A296" s="8" t="str">
        <f t="shared" si="4"/>
        <v/>
      </c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10"/>
      <c r="N296" s="10"/>
      <c r="O296" s="10"/>
      <c r="P296" s="10"/>
      <c r="Q296" s="10"/>
    </row>
    <row r="297" spans="1:17" x14ac:dyDescent="0.45">
      <c r="A297" s="8" t="str">
        <f t="shared" si="4"/>
        <v/>
      </c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10"/>
      <c r="N297" s="10"/>
      <c r="O297" s="10"/>
      <c r="P297" s="10"/>
      <c r="Q297" s="10"/>
    </row>
    <row r="298" spans="1:17" x14ac:dyDescent="0.45">
      <c r="A298" s="8" t="str">
        <f t="shared" si="4"/>
        <v/>
      </c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10"/>
      <c r="N298" s="10"/>
      <c r="O298" s="10"/>
      <c r="P298" s="10"/>
      <c r="Q298" s="10"/>
    </row>
    <row r="299" spans="1:17" x14ac:dyDescent="0.45">
      <c r="A299" s="8" t="str">
        <f t="shared" si="4"/>
        <v/>
      </c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10"/>
      <c r="N299" s="10"/>
      <c r="O299" s="10"/>
      <c r="P299" s="10"/>
      <c r="Q299" s="10"/>
    </row>
    <row r="300" spans="1:17" x14ac:dyDescent="0.45">
      <c r="A300" s="8" t="str">
        <f t="shared" si="4"/>
        <v/>
      </c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10"/>
      <c r="N300" s="10"/>
      <c r="O300" s="10"/>
      <c r="P300" s="10"/>
      <c r="Q300" s="10"/>
    </row>
    <row r="301" spans="1:17" x14ac:dyDescent="0.45">
      <c r="A301" s="8" t="str">
        <f t="shared" si="4"/>
        <v/>
      </c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10"/>
      <c r="N301" s="10"/>
      <c r="O301" s="10"/>
      <c r="P301" s="10"/>
      <c r="Q301" s="10"/>
    </row>
    <row r="302" spans="1:17" x14ac:dyDescent="0.45">
      <c r="A302" s="8" t="str">
        <f t="shared" si="4"/>
        <v/>
      </c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10"/>
      <c r="N302" s="10"/>
      <c r="O302" s="10"/>
      <c r="P302" s="10"/>
      <c r="Q302" s="10"/>
    </row>
    <row r="303" spans="1:17" x14ac:dyDescent="0.45">
      <c r="A303" s="8" t="str">
        <f t="shared" si="4"/>
        <v/>
      </c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10"/>
      <c r="N303" s="10"/>
      <c r="O303" s="10"/>
      <c r="P303" s="10"/>
      <c r="Q303" s="10"/>
    </row>
    <row r="304" spans="1:17" x14ac:dyDescent="0.45">
      <c r="A304" s="8" t="str">
        <f t="shared" si="4"/>
        <v/>
      </c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10"/>
      <c r="N304" s="10"/>
      <c r="O304" s="10"/>
      <c r="P304" s="10"/>
      <c r="Q304" s="10"/>
    </row>
    <row r="305" spans="1:17" x14ac:dyDescent="0.45">
      <c r="A305" s="8" t="str">
        <f t="shared" si="4"/>
        <v/>
      </c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10"/>
      <c r="N305" s="10"/>
      <c r="O305" s="10"/>
      <c r="P305" s="10"/>
      <c r="Q305" s="10"/>
    </row>
    <row r="306" spans="1:17" x14ac:dyDescent="0.45">
      <c r="A306" s="8" t="str">
        <f t="shared" si="4"/>
        <v/>
      </c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10"/>
      <c r="N306" s="10"/>
      <c r="O306" s="10"/>
      <c r="P306" s="10"/>
      <c r="Q306" s="10"/>
    </row>
    <row r="307" spans="1:17" x14ac:dyDescent="0.45">
      <c r="A307" s="8" t="str">
        <f t="shared" si="4"/>
        <v/>
      </c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10"/>
      <c r="N307" s="10"/>
      <c r="O307" s="10"/>
      <c r="P307" s="10"/>
      <c r="Q307" s="10"/>
    </row>
    <row r="308" spans="1:17" x14ac:dyDescent="0.45">
      <c r="A308" s="8" t="str">
        <f t="shared" si="4"/>
        <v/>
      </c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10"/>
      <c r="N308" s="10"/>
      <c r="O308" s="10"/>
      <c r="P308" s="10"/>
      <c r="Q308" s="10"/>
    </row>
    <row r="309" spans="1:17" x14ac:dyDescent="0.45">
      <c r="A309" s="8" t="str">
        <f t="shared" si="4"/>
        <v/>
      </c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10"/>
      <c r="N309" s="10"/>
      <c r="O309" s="10"/>
      <c r="P309" s="10"/>
      <c r="Q309" s="10"/>
    </row>
    <row r="310" spans="1:17" x14ac:dyDescent="0.45">
      <c r="A310" s="8" t="str">
        <f t="shared" si="4"/>
        <v/>
      </c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10"/>
      <c r="N310" s="10"/>
      <c r="O310" s="10"/>
      <c r="P310" s="10"/>
      <c r="Q310" s="10"/>
    </row>
    <row r="311" spans="1:17" x14ac:dyDescent="0.45">
      <c r="A311" s="8" t="str">
        <f t="shared" si="4"/>
        <v/>
      </c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10"/>
      <c r="N311" s="10"/>
      <c r="O311" s="10"/>
      <c r="P311" s="10"/>
      <c r="Q311" s="10"/>
    </row>
    <row r="312" spans="1:17" x14ac:dyDescent="0.45">
      <c r="A312" s="8" t="str">
        <f t="shared" si="4"/>
        <v/>
      </c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10"/>
      <c r="N312" s="10"/>
      <c r="O312" s="10"/>
      <c r="P312" s="10"/>
      <c r="Q312" s="10"/>
    </row>
    <row r="313" spans="1:17" x14ac:dyDescent="0.45">
      <c r="A313" s="8" t="str">
        <f t="shared" si="4"/>
        <v/>
      </c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10"/>
      <c r="N313" s="10"/>
      <c r="O313" s="10"/>
      <c r="P313" s="10"/>
      <c r="Q313" s="10"/>
    </row>
    <row r="314" spans="1:17" x14ac:dyDescent="0.45">
      <c r="A314" s="8" t="str">
        <f t="shared" si="4"/>
        <v/>
      </c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10"/>
      <c r="N314" s="10"/>
      <c r="O314" s="10"/>
      <c r="P314" s="10"/>
      <c r="Q314" s="10"/>
    </row>
    <row r="315" spans="1:17" x14ac:dyDescent="0.45">
      <c r="A315" s="8" t="str">
        <f t="shared" si="4"/>
        <v/>
      </c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10"/>
      <c r="N315" s="10"/>
      <c r="O315" s="10"/>
      <c r="P315" s="10"/>
      <c r="Q315" s="10"/>
    </row>
    <row r="316" spans="1:17" x14ac:dyDescent="0.45">
      <c r="A316" s="8" t="str">
        <f t="shared" si="4"/>
        <v/>
      </c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10"/>
      <c r="N316" s="10"/>
      <c r="O316" s="10"/>
      <c r="P316" s="10"/>
      <c r="Q316" s="10"/>
    </row>
    <row r="317" spans="1:17" x14ac:dyDescent="0.45">
      <c r="A317" s="8" t="str">
        <f t="shared" si="4"/>
        <v/>
      </c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10"/>
      <c r="N317" s="10"/>
      <c r="O317" s="10"/>
      <c r="P317" s="10"/>
      <c r="Q317" s="10"/>
    </row>
    <row r="318" spans="1:17" x14ac:dyDescent="0.45">
      <c r="A318" s="8" t="str">
        <f t="shared" si="4"/>
        <v/>
      </c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10"/>
      <c r="N318" s="10"/>
      <c r="O318" s="10"/>
      <c r="P318" s="10"/>
      <c r="Q318" s="10"/>
    </row>
    <row r="319" spans="1:17" x14ac:dyDescent="0.45">
      <c r="A319" s="8" t="str">
        <f t="shared" si="4"/>
        <v/>
      </c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10"/>
      <c r="N319" s="10"/>
      <c r="O319" s="10"/>
      <c r="P319" s="10"/>
      <c r="Q319" s="10"/>
    </row>
    <row r="320" spans="1:17" x14ac:dyDescent="0.45">
      <c r="A320" s="8" t="str">
        <f t="shared" si="4"/>
        <v/>
      </c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10"/>
      <c r="N320" s="10"/>
      <c r="O320" s="10"/>
      <c r="P320" s="10"/>
      <c r="Q320" s="10"/>
    </row>
    <row r="321" spans="1:17" x14ac:dyDescent="0.45">
      <c r="A321" s="8" t="str">
        <f t="shared" si="4"/>
        <v/>
      </c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10"/>
      <c r="N321" s="10"/>
      <c r="O321" s="10"/>
      <c r="P321" s="10"/>
      <c r="Q321" s="10"/>
    </row>
    <row r="322" spans="1:17" x14ac:dyDescent="0.45">
      <c r="A322" s="8" t="str">
        <f t="shared" si="4"/>
        <v/>
      </c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10"/>
      <c r="N322" s="10"/>
      <c r="O322" s="10"/>
      <c r="P322" s="10"/>
      <c r="Q322" s="10"/>
    </row>
    <row r="323" spans="1:17" x14ac:dyDescent="0.45">
      <c r="A323" s="8" t="str">
        <f t="shared" si="4"/>
        <v/>
      </c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10"/>
      <c r="N323" s="10"/>
      <c r="O323" s="10"/>
      <c r="P323" s="10"/>
      <c r="Q323" s="10"/>
    </row>
    <row r="324" spans="1:17" x14ac:dyDescent="0.45">
      <c r="A324" s="8" t="str">
        <f t="shared" si="4"/>
        <v/>
      </c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10"/>
      <c r="N324" s="10"/>
      <c r="O324" s="10"/>
      <c r="P324" s="10"/>
      <c r="Q324" s="10"/>
    </row>
    <row r="325" spans="1:17" x14ac:dyDescent="0.45">
      <c r="A325" s="8" t="str">
        <f t="shared" si="4"/>
        <v/>
      </c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10"/>
      <c r="N325" s="10"/>
      <c r="O325" s="10"/>
      <c r="P325" s="10"/>
      <c r="Q325" s="10"/>
    </row>
    <row r="326" spans="1:17" x14ac:dyDescent="0.45">
      <c r="A326" s="8" t="str">
        <f t="shared" si="4"/>
        <v/>
      </c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10"/>
      <c r="N326" s="10"/>
      <c r="O326" s="10"/>
      <c r="P326" s="10"/>
      <c r="Q326" s="10"/>
    </row>
    <row r="327" spans="1:17" x14ac:dyDescent="0.45">
      <c r="A327" s="8" t="str">
        <f t="shared" ref="A327:A390" si="5">IF($B327="","",ROW($A327)-(ROW($A$5)))</f>
        <v/>
      </c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10"/>
      <c r="N327" s="10"/>
      <c r="O327" s="10"/>
      <c r="P327" s="10"/>
      <c r="Q327" s="10"/>
    </row>
    <row r="328" spans="1:17" x14ac:dyDescent="0.45">
      <c r="A328" s="8" t="str">
        <f t="shared" si="5"/>
        <v/>
      </c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10"/>
      <c r="N328" s="10"/>
      <c r="O328" s="10"/>
      <c r="P328" s="10"/>
      <c r="Q328" s="10"/>
    </row>
    <row r="329" spans="1:17" x14ac:dyDescent="0.45">
      <c r="A329" s="8" t="str">
        <f t="shared" si="5"/>
        <v/>
      </c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10"/>
      <c r="N329" s="10"/>
      <c r="O329" s="10"/>
      <c r="P329" s="10"/>
      <c r="Q329" s="10"/>
    </row>
    <row r="330" spans="1:17" x14ac:dyDescent="0.45">
      <c r="A330" s="8" t="str">
        <f t="shared" si="5"/>
        <v/>
      </c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10"/>
      <c r="N330" s="10"/>
      <c r="O330" s="10"/>
      <c r="P330" s="10"/>
      <c r="Q330" s="10"/>
    </row>
    <row r="331" spans="1:17" x14ac:dyDescent="0.45">
      <c r="A331" s="8" t="str">
        <f t="shared" si="5"/>
        <v/>
      </c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10"/>
      <c r="N331" s="10"/>
      <c r="O331" s="10"/>
      <c r="P331" s="10"/>
      <c r="Q331" s="10"/>
    </row>
    <row r="332" spans="1:17" x14ac:dyDescent="0.45">
      <c r="A332" s="8" t="str">
        <f t="shared" si="5"/>
        <v/>
      </c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10"/>
      <c r="N332" s="10"/>
      <c r="O332" s="10"/>
      <c r="P332" s="10"/>
      <c r="Q332" s="10"/>
    </row>
    <row r="333" spans="1:17" x14ac:dyDescent="0.45">
      <c r="A333" s="8" t="str">
        <f t="shared" si="5"/>
        <v/>
      </c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10"/>
      <c r="N333" s="10"/>
      <c r="O333" s="10"/>
      <c r="P333" s="10"/>
      <c r="Q333" s="10"/>
    </row>
    <row r="334" spans="1:17" x14ac:dyDescent="0.45">
      <c r="A334" s="8" t="str">
        <f t="shared" si="5"/>
        <v/>
      </c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10"/>
      <c r="N334" s="10"/>
      <c r="O334" s="10"/>
      <c r="P334" s="10"/>
      <c r="Q334" s="10"/>
    </row>
    <row r="335" spans="1:17" x14ac:dyDescent="0.45">
      <c r="A335" s="8" t="str">
        <f t="shared" si="5"/>
        <v/>
      </c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10"/>
      <c r="N335" s="10"/>
      <c r="O335" s="10"/>
      <c r="P335" s="10"/>
      <c r="Q335" s="10"/>
    </row>
    <row r="336" spans="1:17" x14ac:dyDescent="0.45">
      <c r="A336" s="8" t="str">
        <f t="shared" si="5"/>
        <v/>
      </c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10"/>
      <c r="N336" s="10"/>
      <c r="O336" s="10"/>
      <c r="P336" s="10"/>
      <c r="Q336" s="10"/>
    </row>
    <row r="337" spans="1:17" x14ac:dyDescent="0.45">
      <c r="A337" s="8" t="str">
        <f t="shared" si="5"/>
        <v/>
      </c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10"/>
      <c r="N337" s="10"/>
      <c r="O337" s="10"/>
      <c r="P337" s="10"/>
      <c r="Q337" s="10"/>
    </row>
    <row r="338" spans="1:17" x14ac:dyDescent="0.45">
      <c r="A338" s="8" t="str">
        <f t="shared" si="5"/>
        <v/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10"/>
      <c r="N338" s="10"/>
      <c r="O338" s="10"/>
      <c r="P338" s="10"/>
      <c r="Q338" s="10"/>
    </row>
    <row r="339" spans="1:17" x14ac:dyDescent="0.45">
      <c r="A339" s="8" t="str">
        <f t="shared" si="5"/>
        <v/>
      </c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10"/>
      <c r="N339" s="10"/>
      <c r="O339" s="10"/>
      <c r="P339" s="10"/>
      <c r="Q339" s="10"/>
    </row>
    <row r="340" spans="1:17" x14ac:dyDescent="0.45">
      <c r="A340" s="8" t="str">
        <f t="shared" si="5"/>
        <v/>
      </c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10"/>
      <c r="N340" s="10"/>
      <c r="O340" s="10"/>
      <c r="P340" s="10"/>
      <c r="Q340" s="10"/>
    </row>
    <row r="341" spans="1:17" x14ac:dyDescent="0.45">
      <c r="A341" s="8" t="str">
        <f t="shared" si="5"/>
        <v/>
      </c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10"/>
      <c r="N341" s="10"/>
      <c r="O341" s="10"/>
      <c r="P341" s="10"/>
      <c r="Q341" s="10"/>
    </row>
    <row r="342" spans="1:17" x14ac:dyDescent="0.45">
      <c r="A342" s="8" t="str">
        <f t="shared" si="5"/>
        <v/>
      </c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10"/>
      <c r="N342" s="10"/>
      <c r="O342" s="10"/>
      <c r="P342" s="10"/>
      <c r="Q342" s="10"/>
    </row>
    <row r="343" spans="1:17" x14ac:dyDescent="0.45">
      <c r="A343" s="8" t="str">
        <f t="shared" si="5"/>
        <v/>
      </c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10"/>
      <c r="N343" s="10"/>
      <c r="O343" s="10"/>
      <c r="P343" s="10"/>
      <c r="Q343" s="10"/>
    </row>
    <row r="344" spans="1:17" x14ac:dyDescent="0.45">
      <c r="A344" s="8" t="str">
        <f t="shared" si="5"/>
        <v/>
      </c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10"/>
      <c r="N344" s="10"/>
      <c r="O344" s="10"/>
      <c r="P344" s="10"/>
      <c r="Q344" s="10"/>
    </row>
    <row r="345" spans="1:17" x14ac:dyDescent="0.45">
      <c r="A345" s="8" t="str">
        <f t="shared" si="5"/>
        <v/>
      </c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10"/>
      <c r="N345" s="10"/>
      <c r="O345" s="10"/>
      <c r="P345" s="10"/>
      <c r="Q345" s="10"/>
    </row>
    <row r="346" spans="1:17" x14ac:dyDescent="0.45">
      <c r="A346" s="8" t="str">
        <f t="shared" si="5"/>
        <v/>
      </c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10"/>
      <c r="N346" s="10"/>
      <c r="O346" s="10"/>
      <c r="P346" s="10"/>
      <c r="Q346" s="10"/>
    </row>
    <row r="347" spans="1:17" x14ac:dyDescent="0.45">
      <c r="A347" s="8" t="str">
        <f t="shared" si="5"/>
        <v/>
      </c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10"/>
      <c r="N347" s="10"/>
      <c r="O347" s="10"/>
      <c r="P347" s="10"/>
      <c r="Q347" s="10"/>
    </row>
    <row r="348" spans="1:17" x14ac:dyDescent="0.45">
      <c r="A348" s="8" t="str">
        <f t="shared" si="5"/>
        <v/>
      </c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10"/>
      <c r="N348" s="10"/>
      <c r="O348" s="10"/>
      <c r="P348" s="10"/>
      <c r="Q348" s="10"/>
    </row>
    <row r="349" spans="1:17" x14ac:dyDescent="0.45">
      <c r="A349" s="8" t="str">
        <f t="shared" si="5"/>
        <v/>
      </c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10"/>
      <c r="N349" s="10"/>
      <c r="O349" s="10"/>
      <c r="P349" s="10"/>
      <c r="Q349" s="10"/>
    </row>
    <row r="350" spans="1:17" x14ac:dyDescent="0.45">
      <c r="A350" s="8" t="str">
        <f t="shared" si="5"/>
        <v/>
      </c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10"/>
      <c r="N350" s="10"/>
      <c r="O350" s="10"/>
      <c r="P350" s="10"/>
      <c r="Q350" s="10"/>
    </row>
    <row r="351" spans="1:17" x14ac:dyDescent="0.45">
      <c r="A351" s="8" t="str">
        <f t="shared" si="5"/>
        <v/>
      </c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10"/>
      <c r="N351" s="10"/>
      <c r="O351" s="10"/>
      <c r="P351" s="10"/>
      <c r="Q351" s="10"/>
    </row>
    <row r="352" spans="1:17" x14ac:dyDescent="0.45">
      <c r="A352" s="8" t="str">
        <f t="shared" si="5"/>
        <v/>
      </c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10"/>
      <c r="N352" s="10"/>
      <c r="O352" s="10"/>
      <c r="P352" s="10"/>
      <c r="Q352" s="10"/>
    </row>
    <row r="353" spans="1:17" x14ac:dyDescent="0.45">
      <c r="A353" s="8" t="str">
        <f t="shared" si="5"/>
        <v/>
      </c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10"/>
      <c r="N353" s="10"/>
      <c r="O353" s="10"/>
      <c r="P353" s="10"/>
      <c r="Q353" s="10"/>
    </row>
    <row r="354" spans="1:17" x14ac:dyDescent="0.45">
      <c r="A354" s="8" t="str">
        <f t="shared" si="5"/>
        <v/>
      </c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10"/>
      <c r="N354" s="10"/>
      <c r="O354" s="10"/>
      <c r="P354" s="10"/>
      <c r="Q354" s="10"/>
    </row>
    <row r="355" spans="1:17" x14ac:dyDescent="0.45">
      <c r="A355" s="8" t="str">
        <f t="shared" si="5"/>
        <v/>
      </c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10"/>
      <c r="N355" s="10"/>
      <c r="O355" s="10"/>
      <c r="P355" s="10"/>
      <c r="Q355" s="10"/>
    </row>
    <row r="356" spans="1:17" x14ac:dyDescent="0.45">
      <c r="A356" s="8" t="str">
        <f t="shared" si="5"/>
        <v/>
      </c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10"/>
      <c r="N356" s="10"/>
      <c r="O356" s="10"/>
      <c r="P356" s="10"/>
      <c r="Q356" s="10"/>
    </row>
    <row r="357" spans="1:17" x14ac:dyDescent="0.45">
      <c r="A357" s="8" t="str">
        <f t="shared" si="5"/>
        <v/>
      </c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10"/>
      <c r="N357" s="10"/>
      <c r="O357" s="10"/>
      <c r="P357" s="10"/>
      <c r="Q357" s="10"/>
    </row>
    <row r="358" spans="1:17" x14ac:dyDescent="0.45">
      <c r="A358" s="8" t="str">
        <f t="shared" si="5"/>
        <v/>
      </c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10"/>
      <c r="N358" s="10"/>
      <c r="O358" s="10"/>
      <c r="P358" s="10"/>
      <c r="Q358" s="10"/>
    </row>
    <row r="359" spans="1:17" x14ac:dyDescent="0.45">
      <c r="A359" s="8" t="str">
        <f t="shared" si="5"/>
        <v/>
      </c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10"/>
      <c r="N359" s="10"/>
      <c r="O359" s="10"/>
      <c r="P359" s="10"/>
      <c r="Q359" s="10"/>
    </row>
    <row r="360" spans="1:17" x14ac:dyDescent="0.45">
      <c r="A360" s="8" t="str">
        <f t="shared" si="5"/>
        <v/>
      </c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10"/>
      <c r="N360" s="10"/>
      <c r="O360" s="10"/>
      <c r="P360" s="10"/>
      <c r="Q360" s="10"/>
    </row>
    <row r="361" spans="1:17" x14ac:dyDescent="0.45">
      <c r="A361" s="8" t="str">
        <f t="shared" si="5"/>
        <v/>
      </c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10"/>
      <c r="N361" s="10"/>
      <c r="O361" s="10"/>
      <c r="P361" s="10"/>
      <c r="Q361" s="10"/>
    </row>
    <row r="362" spans="1:17" x14ac:dyDescent="0.45">
      <c r="A362" s="8" t="str">
        <f t="shared" si="5"/>
        <v/>
      </c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10"/>
      <c r="N362" s="10"/>
      <c r="O362" s="10"/>
      <c r="P362" s="10"/>
      <c r="Q362" s="10"/>
    </row>
    <row r="363" spans="1:17" x14ac:dyDescent="0.45">
      <c r="A363" s="8" t="str">
        <f t="shared" si="5"/>
        <v/>
      </c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10"/>
      <c r="N363" s="10"/>
      <c r="O363" s="10"/>
      <c r="P363" s="10"/>
      <c r="Q363" s="10"/>
    </row>
    <row r="364" spans="1:17" x14ac:dyDescent="0.45">
      <c r="A364" s="8" t="str">
        <f t="shared" si="5"/>
        <v/>
      </c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10"/>
      <c r="N364" s="10"/>
      <c r="O364" s="10"/>
      <c r="P364" s="10"/>
      <c r="Q364" s="10"/>
    </row>
    <row r="365" spans="1:17" x14ac:dyDescent="0.45">
      <c r="A365" s="8" t="str">
        <f t="shared" si="5"/>
        <v/>
      </c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10"/>
      <c r="N365" s="10"/>
      <c r="O365" s="10"/>
      <c r="P365" s="10"/>
      <c r="Q365" s="10"/>
    </row>
    <row r="366" spans="1:17" x14ac:dyDescent="0.45">
      <c r="A366" s="8" t="str">
        <f t="shared" si="5"/>
        <v/>
      </c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10"/>
      <c r="N366" s="10"/>
      <c r="O366" s="10"/>
      <c r="P366" s="10"/>
      <c r="Q366" s="10"/>
    </row>
    <row r="367" spans="1:17" x14ac:dyDescent="0.45">
      <c r="A367" s="8" t="str">
        <f t="shared" si="5"/>
        <v/>
      </c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10"/>
      <c r="N367" s="10"/>
      <c r="O367" s="10"/>
      <c r="P367" s="10"/>
      <c r="Q367" s="10"/>
    </row>
    <row r="368" spans="1:17" x14ac:dyDescent="0.45">
      <c r="A368" s="8" t="str">
        <f t="shared" si="5"/>
        <v/>
      </c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10"/>
      <c r="N368" s="10"/>
      <c r="O368" s="10"/>
      <c r="P368" s="10"/>
      <c r="Q368" s="10"/>
    </row>
    <row r="369" spans="1:17" x14ac:dyDescent="0.45">
      <c r="A369" s="8" t="str">
        <f t="shared" si="5"/>
        <v/>
      </c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10"/>
      <c r="N369" s="10"/>
      <c r="O369" s="10"/>
      <c r="P369" s="10"/>
      <c r="Q369" s="10"/>
    </row>
    <row r="370" spans="1:17" x14ac:dyDescent="0.45">
      <c r="A370" s="8" t="str">
        <f t="shared" si="5"/>
        <v/>
      </c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10"/>
      <c r="N370" s="10"/>
      <c r="O370" s="10"/>
      <c r="P370" s="10"/>
      <c r="Q370" s="10"/>
    </row>
    <row r="371" spans="1:17" x14ac:dyDescent="0.45">
      <c r="A371" s="8" t="str">
        <f t="shared" si="5"/>
        <v/>
      </c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10"/>
      <c r="N371" s="10"/>
      <c r="O371" s="10"/>
      <c r="P371" s="10"/>
      <c r="Q371" s="10"/>
    </row>
    <row r="372" spans="1:17" x14ac:dyDescent="0.45">
      <c r="A372" s="8" t="str">
        <f t="shared" si="5"/>
        <v/>
      </c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10"/>
      <c r="N372" s="10"/>
      <c r="O372" s="10"/>
      <c r="P372" s="10"/>
      <c r="Q372" s="10"/>
    </row>
    <row r="373" spans="1:17" x14ac:dyDescent="0.45">
      <c r="A373" s="8" t="str">
        <f t="shared" si="5"/>
        <v/>
      </c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10"/>
      <c r="N373" s="10"/>
      <c r="O373" s="10"/>
      <c r="P373" s="10"/>
      <c r="Q373" s="10"/>
    </row>
    <row r="374" spans="1:17" x14ac:dyDescent="0.45">
      <c r="A374" s="8" t="str">
        <f t="shared" si="5"/>
        <v/>
      </c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10"/>
      <c r="N374" s="10"/>
      <c r="O374" s="10"/>
      <c r="P374" s="10"/>
      <c r="Q374" s="10"/>
    </row>
    <row r="375" spans="1:17" x14ac:dyDescent="0.45">
      <c r="A375" s="8" t="str">
        <f t="shared" si="5"/>
        <v/>
      </c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10"/>
      <c r="N375" s="10"/>
      <c r="O375" s="10"/>
      <c r="P375" s="10"/>
      <c r="Q375" s="10"/>
    </row>
    <row r="376" spans="1:17" x14ac:dyDescent="0.45">
      <c r="A376" s="8" t="str">
        <f t="shared" si="5"/>
        <v/>
      </c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10"/>
      <c r="N376" s="10"/>
      <c r="O376" s="10"/>
      <c r="P376" s="10"/>
      <c r="Q376" s="10"/>
    </row>
    <row r="377" spans="1:17" x14ac:dyDescent="0.45">
      <c r="A377" s="8" t="str">
        <f t="shared" si="5"/>
        <v/>
      </c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10"/>
      <c r="N377" s="10"/>
      <c r="O377" s="10"/>
      <c r="P377" s="10"/>
      <c r="Q377" s="10"/>
    </row>
    <row r="378" spans="1:17" x14ac:dyDescent="0.45">
      <c r="A378" s="8" t="str">
        <f t="shared" si="5"/>
        <v/>
      </c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10"/>
      <c r="N378" s="10"/>
      <c r="O378" s="10"/>
      <c r="P378" s="10"/>
      <c r="Q378" s="10"/>
    </row>
    <row r="379" spans="1:17" x14ac:dyDescent="0.45">
      <c r="A379" s="8" t="str">
        <f t="shared" si="5"/>
        <v/>
      </c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10"/>
      <c r="N379" s="10"/>
      <c r="O379" s="10"/>
      <c r="P379" s="10"/>
      <c r="Q379" s="10"/>
    </row>
    <row r="380" spans="1:17" x14ac:dyDescent="0.45">
      <c r="A380" s="8" t="str">
        <f t="shared" si="5"/>
        <v/>
      </c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10"/>
      <c r="N380" s="10"/>
      <c r="O380" s="10"/>
      <c r="P380" s="10"/>
      <c r="Q380" s="10"/>
    </row>
    <row r="381" spans="1:17" x14ac:dyDescent="0.45">
      <c r="A381" s="8" t="str">
        <f t="shared" si="5"/>
        <v/>
      </c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10"/>
      <c r="N381" s="10"/>
      <c r="O381" s="10"/>
      <c r="P381" s="10"/>
      <c r="Q381" s="10"/>
    </row>
    <row r="382" spans="1:17" x14ac:dyDescent="0.45">
      <c r="A382" s="8" t="str">
        <f t="shared" si="5"/>
        <v/>
      </c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10"/>
      <c r="N382" s="10"/>
      <c r="O382" s="10"/>
      <c r="P382" s="10"/>
      <c r="Q382" s="10"/>
    </row>
    <row r="383" spans="1:17" x14ac:dyDescent="0.45">
      <c r="A383" s="8" t="str">
        <f t="shared" si="5"/>
        <v/>
      </c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10"/>
      <c r="N383" s="10"/>
      <c r="O383" s="10"/>
      <c r="P383" s="10"/>
      <c r="Q383" s="10"/>
    </row>
    <row r="384" spans="1:17" x14ac:dyDescent="0.45">
      <c r="A384" s="8" t="str">
        <f t="shared" si="5"/>
        <v/>
      </c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10"/>
      <c r="N384" s="10"/>
      <c r="O384" s="10"/>
      <c r="P384" s="10"/>
      <c r="Q384" s="10"/>
    </row>
    <row r="385" spans="1:17" x14ac:dyDescent="0.45">
      <c r="A385" s="8" t="str">
        <f t="shared" si="5"/>
        <v/>
      </c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10"/>
      <c r="N385" s="10"/>
      <c r="O385" s="10"/>
      <c r="P385" s="10"/>
      <c r="Q385" s="10"/>
    </row>
    <row r="386" spans="1:17" x14ac:dyDescent="0.45">
      <c r="A386" s="8" t="str">
        <f t="shared" si="5"/>
        <v/>
      </c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10"/>
      <c r="N386" s="10"/>
      <c r="O386" s="10"/>
      <c r="P386" s="10"/>
      <c r="Q386" s="10"/>
    </row>
    <row r="387" spans="1:17" x14ac:dyDescent="0.45">
      <c r="A387" s="8" t="str">
        <f t="shared" si="5"/>
        <v/>
      </c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10"/>
      <c r="N387" s="10"/>
      <c r="O387" s="10"/>
      <c r="P387" s="10"/>
      <c r="Q387" s="10"/>
    </row>
    <row r="388" spans="1:17" x14ac:dyDescent="0.45">
      <c r="A388" s="8" t="str">
        <f t="shared" si="5"/>
        <v/>
      </c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10"/>
      <c r="N388" s="10"/>
      <c r="O388" s="10"/>
      <c r="P388" s="10"/>
      <c r="Q388" s="10"/>
    </row>
    <row r="389" spans="1:17" x14ac:dyDescent="0.45">
      <c r="A389" s="8" t="str">
        <f t="shared" si="5"/>
        <v/>
      </c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10"/>
      <c r="N389" s="10"/>
      <c r="O389" s="10"/>
      <c r="P389" s="10"/>
      <c r="Q389" s="10"/>
    </row>
    <row r="390" spans="1:17" x14ac:dyDescent="0.45">
      <c r="A390" s="8" t="str">
        <f t="shared" si="5"/>
        <v/>
      </c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10"/>
      <c r="N390" s="10"/>
      <c r="O390" s="10"/>
      <c r="P390" s="10"/>
      <c r="Q390" s="10"/>
    </row>
    <row r="391" spans="1:17" x14ac:dyDescent="0.45">
      <c r="A391" s="8" t="str">
        <f t="shared" ref="A391:A454" si="6">IF($B391="","",ROW($A391)-(ROW($A$5)))</f>
        <v/>
      </c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10"/>
      <c r="N391" s="10"/>
      <c r="O391" s="10"/>
      <c r="P391" s="10"/>
      <c r="Q391" s="10"/>
    </row>
    <row r="392" spans="1:17" x14ac:dyDescent="0.45">
      <c r="A392" s="8" t="str">
        <f t="shared" si="6"/>
        <v/>
      </c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10"/>
      <c r="N392" s="10"/>
      <c r="O392" s="10"/>
      <c r="P392" s="10"/>
      <c r="Q392" s="10"/>
    </row>
    <row r="393" spans="1:17" x14ac:dyDescent="0.45">
      <c r="A393" s="8" t="str">
        <f t="shared" si="6"/>
        <v/>
      </c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10"/>
      <c r="N393" s="10"/>
      <c r="O393" s="10"/>
      <c r="P393" s="10"/>
      <c r="Q393" s="10"/>
    </row>
    <row r="394" spans="1:17" x14ac:dyDescent="0.45">
      <c r="A394" s="8" t="str">
        <f t="shared" si="6"/>
        <v/>
      </c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10"/>
      <c r="N394" s="10"/>
      <c r="O394" s="10"/>
      <c r="P394" s="10"/>
      <c r="Q394" s="10"/>
    </row>
    <row r="395" spans="1:17" x14ac:dyDescent="0.45">
      <c r="A395" s="8" t="str">
        <f t="shared" si="6"/>
        <v/>
      </c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10"/>
      <c r="N395" s="10"/>
      <c r="O395" s="10"/>
      <c r="P395" s="10"/>
      <c r="Q395" s="10"/>
    </row>
    <row r="396" spans="1:17" x14ac:dyDescent="0.45">
      <c r="A396" s="8" t="str">
        <f t="shared" si="6"/>
        <v/>
      </c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10"/>
      <c r="N396" s="10"/>
      <c r="O396" s="10"/>
      <c r="P396" s="10"/>
      <c r="Q396" s="10"/>
    </row>
    <row r="397" spans="1:17" x14ac:dyDescent="0.45">
      <c r="A397" s="8" t="str">
        <f t="shared" si="6"/>
        <v/>
      </c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10"/>
      <c r="N397" s="10"/>
      <c r="O397" s="10"/>
      <c r="P397" s="10"/>
      <c r="Q397" s="10"/>
    </row>
    <row r="398" spans="1:17" x14ac:dyDescent="0.45">
      <c r="A398" s="8" t="str">
        <f t="shared" si="6"/>
        <v/>
      </c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10"/>
      <c r="N398" s="10"/>
      <c r="O398" s="10"/>
      <c r="P398" s="10"/>
      <c r="Q398" s="10"/>
    </row>
    <row r="399" spans="1:17" x14ac:dyDescent="0.45">
      <c r="A399" s="8" t="str">
        <f t="shared" si="6"/>
        <v/>
      </c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10"/>
      <c r="N399" s="10"/>
      <c r="O399" s="10"/>
      <c r="P399" s="10"/>
      <c r="Q399" s="10"/>
    </row>
    <row r="400" spans="1:17" x14ac:dyDescent="0.45">
      <c r="A400" s="8" t="str">
        <f t="shared" si="6"/>
        <v/>
      </c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10"/>
      <c r="N400" s="10"/>
      <c r="O400" s="10"/>
      <c r="P400" s="10"/>
      <c r="Q400" s="10"/>
    </row>
    <row r="401" spans="1:17" x14ac:dyDescent="0.45">
      <c r="A401" s="8" t="str">
        <f t="shared" si="6"/>
        <v/>
      </c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10"/>
      <c r="N401" s="10"/>
      <c r="O401" s="10"/>
      <c r="P401" s="10"/>
      <c r="Q401" s="10"/>
    </row>
    <row r="402" spans="1:17" x14ac:dyDescent="0.45">
      <c r="A402" s="8" t="str">
        <f t="shared" si="6"/>
        <v/>
      </c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10"/>
      <c r="N402" s="10"/>
      <c r="O402" s="10"/>
      <c r="P402" s="10"/>
      <c r="Q402" s="10"/>
    </row>
    <row r="403" spans="1:17" x14ac:dyDescent="0.45">
      <c r="A403" s="8" t="str">
        <f t="shared" si="6"/>
        <v/>
      </c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10"/>
      <c r="N403" s="10"/>
      <c r="O403" s="10"/>
      <c r="P403" s="10"/>
      <c r="Q403" s="10"/>
    </row>
    <row r="404" spans="1:17" x14ac:dyDescent="0.45">
      <c r="A404" s="8" t="str">
        <f t="shared" si="6"/>
        <v/>
      </c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10"/>
      <c r="N404" s="10"/>
      <c r="O404" s="10"/>
      <c r="P404" s="10"/>
      <c r="Q404" s="10"/>
    </row>
    <row r="405" spans="1:17" x14ac:dyDescent="0.45">
      <c r="A405" s="8" t="str">
        <f t="shared" si="6"/>
        <v/>
      </c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10"/>
      <c r="N405" s="10"/>
      <c r="O405" s="10"/>
      <c r="P405" s="10"/>
      <c r="Q405" s="10"/>
    </row>
    <row r="406" spans="1:17" x14ac:dyDescent="0.45">
      <c r="A406" s="8" t="str">
        <f t="shared" si="6"/>
        <v/>
      </c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10"/>
      <c r="N406" s="10"/>
      <c r="O406" s="10"/>
      <c r="P406" s="10"/>
      <c r="Q406" s="10"/>
    </row>
    <row r="407" spans="1:17" x14ac:dyDescent="0.45">
      <c r="A407" s="8" t="str">
        <f t="shared" si="6"/>
        <v/>
      </c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10"/>
      <c r="N407" s="10"/>
      <c r="O407" s="10"/>
      <c r="P407" s="10"/>
      <c r="Q407" s="10"/>
    </row>
    <row r="408" spans="1:17" x14ac:dyDescent="0.45">
      <c r="A408" s="8" t="str">
        <f t="shared" si="6"/>
        <v/>
      </c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10"/>
      <c r="N408" s="10"/>
      <c r="O408" s="10"/>
      <c r="P408" s="10"/>
      <c r="Q408" s="10"/>
    </row>
    <row r="409" spans="1:17" x14ac:dyDescent="0.45">
      <c r="A409" s="8" t="str">
        <f t="shared" si="6"/>
        <v/>
      </c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10"/>
      <c r="N409" s="10"/>
      <c r="O409" s="10"/>
      <c r="P409" s="10"/>
      <c r="Q409" s="10"/>
    </row>
    <row r="410" spans="1:17" x14ac:dyDescent="0.45">
      <c r="A410" s="8" t="str">
        <f t="shared" si="6"/>
        <v/>
      </c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10"/>
      <c r="N410" s="10"/>
      <c r="O410" s="10"/>
      <c r="P410" s="10"/>
      <c r="Q410" s="10"/>
    </row>
    <row r="411" spans="1:17" x14ac:dyDescent="0.45">
      <c r="A411" s="8" t="str">
        <f t="shared" si="6"/>
        <v/>
      </c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10"/>
      <c r="N411" s="10"/>
      <c r="O411" s="10"/>
      <c r="P411" s="10"/>
      <c r="Q411" s="10"/>
    </row>
    <row r="412" spans="1:17" x14ac:dyDescent="0.45">
      <c r="A412" s="8" t="str">
        <f t="shared" si="6"/>
        <v/>
      </c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10"/>
      <c r="N412" s="10"/>
      <c r="O412" s="10"/>
      <c r="P412" s="10"/>
      <c r="Q412" s="10"/>
    </row>
    <row r="413" spans="1:17" x14ac:dyDescent="0.45">
      <c r="A413" s="8" t="str">
        <f t="shared" si="6"/>
        <v/>
      </c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10"/>
      <c r="N413" s="10"/>
      <c r="O413" s="10"/>
      <c r="P413" s="10"/>
      <c r="Q413" s="10"/>
    </row>
    <row r="414" spans="1:17" x14ac:dyDescent="0.45">
      <c r="A414" s="8" t="str">
        <f t="shared" si="6"/>
        <v/>
      </c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10"/>
      <c r="N414" s="10"/>
      <c r="O414" s="10"/>
      <c r="P414" s="10"/>
      <c r="Q414" s="10"/>
    </row>
    <row r="415" spans="1:17" x14ac:dyDescent="0.45">
      <c r="A415" s="8" t="str">
        <f t="shared" si="6"/>
        <v/>
      </c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10"/>
      <c r="N415" s="10"/>
      <c r="O415" s="10"/>
      <c r="P415" s="10"/>
      <c r="Q415" s="10"/>
    </row>
    <row r="416" spans="1:17" x14ac:dyDescent="0.45">
      <c r="A416" s="8" t="str">
        <f t="shared" si="6"/>
        <v/>
      </c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10"/>
      <c r="N416" s="10"/>
      <c r="O416" s="10"/>
      <c r="P416" s="10"/>
      <c r="Q416" s="10"/>
    </row>
    <row r="417" spans="1:17" x14ac:dyDescent="0.45">
      <c r="A417" s="8" t="str">
        <f t="shared" si="6"/>
        <v/>
      </c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10"/>
      <c r="N417" s="10"/>
      <c r="O417" s="10"/>
      <c r="P417" s="10"/>
      <c r="Q417" s="10"/>
    </row>
    <row r="418" spans="1:17" x14ac:dyDescent="0.45">
      <c r="A418" s="8" t="str">
        <f t="shared" si="6"/>
        <v/>
      </c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10"/>
      <c r="N418" s="10"/>
      <c r="O418" s="10"/>
      <c r="P418" s="10"/>
      <c r="Q418" s="10"/>
    </row>
    <row r="419" spans="1:17" x14ac:dyDescent="0.45">
      <c r="A419" s="8" t="str">
        <f t="shared" si="6"/>
        <v/>
      </c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10"/>
      <c r="N419" s="10"/>
      <c r="O419" s="10"/>
      <c r="P419" s="10"/>
      <c r="Q419" s="10"/>
    </row>
    <row r="420" spans="1:17" x14ac:dyDescent="0.45">
      <c r="A420" s="8" t="str">
        <f t="shared" si="6"/>
        <v/>
      </c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10"/>
      <c r="N420" s="10"/>
      <c r="O420" s="10"/>
      <c r="P420" s="10"/>
      <c r="Q420" s="10"/>
    </row>
    <row r="421" spans="1:17" x14ac:dyDescent="0.45">
      <c r="A421" s="8" t="str">
        <f t="shared" si="6"/>
        <v/>
      </c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10"/>
      <c r="N421" s="10"/>
      <c r="O421" s="10"/>
      <c r="P421" s="10"/>
      <c r="Q421" s="10"/>
    </row>
    <row r="422" spans="1:17" x14ac:dyDescent="0.45">
      <c r="A422" s="8" t="str">
        <f t="shared" si="6"/>
        <v/>
      </c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10"/>
      <c r="N422" s="10"/>
      <c r="O422" s="10"/>
      <c r="P422" s="10"/>
      <c r="Q422" s="10"/>
    </row>
    <row r="423" spans="1:17" x14ac:dyDescent="0.45">
      <c r="A423" s="8" t="str">
        <f t="shared" si="6"/>
        <v/>
      </c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10"/>
      <c r="N423" s="10"/>
      <c r="O423" s="10"/>
      <c r="P423" s="10"/>
      <c r="Q423" s="10"/>
    </row>
    <row r="424" spans="1:17" x14ac:dyDescent="0.45">
      <c r="A424" s="8" t="str">
        <f t="shared" si="6"/>
        <v/>
      </c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10"/>
      <c r="N424" s="10"/>
      <c r="O424" s="10"/>
      <c r="P424" s="10"/>
      <c r="Q424" s="10"/>
    </row>
    <row r="425" spans="1:17" x14ac:dyDescent="0.45">
      <c r="A425" s="8" t="str">
        <f t="shared" si="6"/>
        <v/>
      </c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10"/>
      <c r="N425" s="10"/>
      <c r="O425" s="10"/>
      <c r="P425" s="10"/>
      <c r="Q425" s="10"/>
    </row>
    <row r="426" spans="1:17" x14ac:dyDescent="0.45">
      <c r="A426" s="8" t="str">
        <f t="shared" si="6"/>
        <v/>
      </c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10"/>
      <c r="N426" s="10"/>
      <c r="O426" s="10"/>
      <c r="P426" s="10"/>
      <c r="Q426" s="10"/>
    </row>
    <row r="427" spans="1:17" x14ac:dyDescent="0.45">
      <c r="A427" s="8" t="str">
        <f t="shared" si="6"/>
        <v/>
      </c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10"/>
      <c r="N427" s="10"/>
      <c r="O427" s="10"/>
      <c r="P427" s="10"/>
      <c r="Q427" s="10"/>
    </row>
    <row r="428" spans="1:17" x14ac:dyDescent="0.45">
      <c r="A428" s="8" t="str">
        <f t="shared" si="6"/>
        <v/>
      </c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10"/>
      <c r="N428" s="10"/>
      <c r="O428" s="10"/>
      <c r="P428" s="10"/>
      <c r="Q428" s="10"/>
    </row>
    <row r="429" spans="1:17" x14ac:dyDescent="0.45">
      <c r="A429" s="8" t="str">
        <f t="shared" si="6"/>
        <v/>
      </c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10"/>
      <c r="N429" s="10"/>
      <c r="O429" s="10"/>
      <c r="P429" s="10"/>
      <c r="Q429" s="10"/>
    </row>
    <row r="430" spans="1:17" x14ac:dyDescent="0.45">
      <c r="A430" s="8" t="str">
        <f t="shared" si="6"/>
        <v/>
      </c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10"/>
      <c r="N430" s="10"/>
      <c r="O430" s="10"/>
      <c r="P430" s="10"/>
      <c r="Q430" s="10"/>
    </row>
    <row r="431" spans="1:17" x14ac:dyDescent="0.45">
      <c r="A431" s="8" t="str">
        <f t="shared" si="6"/>
        <v/>
      </c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10"/>
      <c r="N431" s="10"/>
      <c r="O431" s="10"/>
      <c r="P431" s="10"/>
      <c r="Q431" s="10"/>
    </row>
    <row r="432" spans="1:17" x14ac:dyDescent="0.45">
      <c r="A432" s="8" t="str">
        <f t="shared" si="6"/>
        <v/>
      </c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10"/>
      <c r="N432" s="10"/>
      <c r="O432" s="10"/>
      <c r="P432" s="10"/>
      <c r="Q432" s="10"/>
    </row>
    <row r="433" spans="1:17" x14ac:dyDescent="0.45">
      <c r="A433" s="8" t="str">
        <f t="shared" si="6"/>
        <v/>
      </c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10"/>
      <c r="N433" s="10"/>
      <c r="O433" s="10"/>
      <c r="P433" s="10"/>
      <c r="Q433" s="10"/>
    </row>
    <row r="434" spans="1:17" x14ac:dyDescent="0.45">
      <c r="A434" s="8" t="str">
        <f t="shared" si="6"/>
        <v/>
      </c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10"/>
      <c r="N434" s="10"/>
      <c r="O434" s="10"/>
      <c r="P434" s="10"/>
      <c r="Q434" s="10"/>
    </row>
    <row r="435" spans="1:17" x14ac:dyDescent="0.45">
      <c r="A435" s="8" t="str">
        <f t="shared" si="6"/>
        <v/>
      </c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10"/>
      <c r="N435" s="10"/>
      <c r="O435" s="10"/>
      <c r="P435" s="10"/>
      <c r="Q435" s="10"/>
    </row>
    <row r="436" spans="1:17" x14ac:dyDescent="0.45">
      <c r="A436" s="8" t="str">
        <f t="shared" si="6"/>
        <v/>
      </c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10"/>
      <c r="N436" s="10"/>
      <c r="O436" s="10"/>
      <c r="P436" s="10"/>
      <c r="Q436" s="10"/>
    </row>
    <row r="437" spans="1:17" x14ac:dyDescent="0.45">
      <c r="A437" s="8" t="str">
        <f t="shared" si="6"/>
        <v/>
      </c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10"/>
      <c r="N437" s="10"/>
      <c r="O437" s="10"/>
      <c r="P437" s="10"/>
      <c r="Q437" s="10"/>
    </row>
    <row r="438" spans="1:17" x14ac:dyDescent="0.45">
      <c r="A438" s="8" t="str">
        <f t="shared" si="6"/>
        <v/>
      </c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10"/>
      <c r="N438" s="10"/>
      <c r="O438" s="10"/>
      <c r="P438" s="10"/>
      <c r="Q438" s="10"/>
    </row>
    <row r="439" spans="1:17" x14ac:dyDescent="0.45">
      <c r="A439" s="8" t="str">
        <f t="shared" si="6"/>
        <v/>
      </c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10"/>
      <c r="N439" s="10"/>
      <c r="O439" s="10"/>
      <c r="P439" s="10"/>
      <c r="Q439" s="10"/>
    </row>
    <row r="440" spans="1:17" x14ac:dyDescent="0.45">
      <c r="A440" s="8" t="str">
        <f t="shared" si="6"/>
        <v/>
      </c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10"/>
      <c r="N440" s="10"/>
      <c r="O440" s="10"/>
      <c r="P440" s="10"/>
      <c r="Q440" s="10"/>
    </row>
    <row r="441" spans="1:17" x14ac:dyDescent="0.45">
      <c r="A441" s="8" t="str">
        <f t="shared" si="6"/>
        <v/>
      </c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10"/>
      <c r="N441" s="10"/>
      <c r="O441" s="10"/>
      <c r="P441" s="10"/>
      <c r="Q441" s="10"/>
    </row>
    <row r="442" spans="1:17" x14ac:dyDescent="0.45">
      <c r="A442" s="8" t="str">
        <f t="shared" si="6"/>
        <v/>
      </c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10"/>
      <c r="N442" s="10"/>
      <c r="O442" s="10"/>
      <c r="P442" s="10"/>
      <c r="Q442" s="10"/>
    </row>
    <row r="443" spans="1:17" x14ac:dyDescent="0.45">
      <c r="A443" s="8" t="str">
        <f t="shared" si="6"/>
        <v/>
      </c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10"/>
      <c r="N443" s="10"/>
      <c r="O443" s="10"/>
      <c r="P443" s="10"/>
      <c r="Q443" s="10"/>
    </row>
    <row r="444" spans="1:17" x14ac:dyDescent="0.45">
      <c r="A444" s="8" t="str">
        <f t="shared" si="6"/>
        <v/>
      </c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10"/>
      <c r="N444" s="10"/>
      <c r="O444" s="10"/>
      <c r="P444" s="10"/>
      <c r="Q444" s="10"/>
    </row>
    <row r="445" spans="1:17" x14ac:dyDescent="0.45">
      <c r="A445" s="8" t="str">
        <f t="shared" si="6"/>
        <v/>
      </c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10"/>
      <c r="N445" s="10"/>
      <c r="O445" s="10"/>
      <c r="P445" s="10"/>
      <c r="Q445" s="10"/>
    </row>
    <row r="446" spans="1:17" x14ac:dyDescent="0.45">
      <c r="A446" s="8" t="str">
        <f t="shared" si="6"/>
        <v/>
      </c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10"/>
      <c r="N446" s="10"/>
      <c r="O446" s="10"/>
      <c r="P446" s="10"/>
      <c r="Q446" s="10"/>
    </row>
    <row r="447" spans="1:17" x14ac:dyDescent="0.45">
      <c r="A447" s="8" t="str">
        <f t="shared" si="6"/>
        <v/>
      </c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10"/>
      <c r="N447" s="10"/>
      <c r="O447" s="10"/>
      <c r="P447" s="10"/>
      <c r="Q447" s="10"/>
    </row>
    <row r="448" spans="1:17" x14ac:dyDescent="0.45">
      <c r="A448" s="8" t="str">
        <f t="shared" si="6"/>
        <v/>
      </c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10"/>
      <c r="N448" s="10"/>
      <c r="O448" s="10"/>
      <c r="P448" s="10"/>
      <c r="Q448" s="10"/>
    </row>
    <row r="449" spans="1:17" x14ac:dyDescent="0.45">
      <c r="A449" s="8" t="str">
        <f t="shared" si="6"/>
        <v/>
      </c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10"/>
      <c r="N449" s="10"/>
      <c r="O449" s="10"/>
      <c r="P449" s="10"/>
      <c r="Q449" s="10"/>
    </row>
    <row r="450" spans="1:17" x14ac:dyDescent="0.45">
      <c r="A450" s="8" t="str">
        <f t="shared" si="6"/>
        <v/>
      </c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10"/>
      <c r="N450" s="10"/>
      <c r="O450" s="10"/>
      <c r="P450" s="10"/>
      <c r="Q450" s="10"/>
    </row>
    <row r="451" spans="1:17" x14ac:dyDescent="0.45">
      <c r="A451" s="8" t="str">
        <f t="shared" si="6"/>
        <v/>
      </c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10"/>
      <c r="N451" s="10"/>
      <c r="O451" s="10"/>
      <c r="P451" s="10"/>
      <c r="Q451" s="10"/>
    </row>
    <row r="452" spans="1:17" x14ac:dyDescent="0.45">
      <c r="A452" s="8" t="str">
        <f t="shared" si="6"/>
        <v/>
      </c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10"/>
      <c r="N452" s="10"/>
      <c r="O452" s="10"/>
      <c r="P452" s="10"/>
      <c r="Q452" s="10"/>
    </row>
    <row r="453" spans="1:17" x14ac:dyDescent="0.45">
      <c r="A453" s="8" t="str">
        <f t="shared" si="6"/>
        <v/>
      </c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10"/>
      <c r="N453" s="10"/>
      <c r="O453" s="10"/>
      <c r="P453" s="10"/>
      <c r="Q453" s="10"/>
    </row>
    <row r="454" spans="1:17" x14ac:dyDescent="0.45">
      <c r="A454" s="8" t="str">
        <f t="shared" si="6"/>
        <v/>
      </c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10"/>
      <c r="N454" s="10"/>
      <c r="O454" s="10"/>
      <c r="P454" s="10"/>
      <c r="Q454" s="10"/>
    </row>
    <row r="455" spans="1:17" x14ac:dyDescent="0.45">
      <c r="A455" s="8" t="str">
        <f t="shared" ref="A455:A518" si="7">IF($B455="","",ROW($A455)-(ROW($A$5)))</f>
        <v/>
      </c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10"/>
      <c r="N455" s="10"/>
      <c r="O455" s="10"/>
      <c r="P455" s="10"/>
      <c r="Q455" s="10"/>
    </row>
    <row r="456" spans="1:17" x14ac:dyDescent="0.45">
      <c r="A456" s="8" t="str">
        <f t="shared" si="7"/>
        <v/>
      </c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10"/>
      <c r="N456" s="10"/>
      <c r="O456" s="10"/>
      <c r="P456" s="10"/>
      <c r="Q456" s="10"/>
    </row>
    <row r="457" spans="1:17" x14ac:dyDescent="0.45">
      <c r="A457" s="8" t="str">
        <f t="shared" si="7"/>
        <v/>
      </c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10"/>
      <c r="N457" s="10"/>
      <c r="O457" s="10"/>
      <c r="P457" s="10"/>
      <c r="Q457" s="10"/>
    </row>
    <row r="458" spans="1:17" x14ac:dyDescent="0.45">
      <c r="A458" s="8" t="str">
        <f t="shared" si="7"/>
        <v/>
      </c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10"/>
      <c r="N458" s="10"/>
      <c r="O458" s="10"/>
      <c r="P458" s="10"/>
      <c r="Q458" s="10"/>
    </row>
    <row r="459" spans="1:17" x14ac:dyDescent="0.45">
      <c r="A459" s="8" t="str">
        <f t="shared" si="7"/>
        <v/>
      </c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10"/>
      <c r="N459" s="10"/>
      <c r="O459" s="10"/>
      <c r="P459" s="10"/>
      <c r="Q459" s="10"/>
    </row>
    <row r="460" spans="1:17" x14ac:dyDescent="0.45">
      <c r="A460" s="8" t="str">
        <f t="shared" si="7"/>
        <v/>
      </c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10"/>
      <c r="N460" s="10"/>
      <c r="O460" s="10"/>
      <c r="P460" s="10"/>
      <c r="Q460" s="10"/>
    </row>
    <row r="461" spans="1:17" x14ac:dyDescent="0.45">
      <c r="A461" s="8" t="str">
        <f t="shared" si="7"/>
        <v/>
      </c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10"/>
      <c r="N461" s="10"/>
      <c r="O461" s="10"/>
      <c r="P461" s="10"/>
      <c r="Q461" s="10"/>
    </row>
    <row r="462" spans="1:17" x14ac:dyDescent="0.45">
      <c r="A462" s="8" t="str">
        <f t="shared" si="7"/>
        <v/>
      </c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10"/>
      <c r="N462" s="10"/>
      <c r="O462" s="10"/>
      <c r="P462" s="10"/>
      <c r="Q462" s="10"/>
    </row>
    <row r="463" spans="1:17" x14ac:dyDescent="0.45">
      <c r="A463" s="8" t="str">
        <f t="shared" si="7"/>
        <v/>
      </c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10"/>
      <c r="N463" s="10"/>
      <c r="O463" s="10"/>
      <c r="P463" s="10"/>
      <c r="Q463" s="10"/>
    </row>
    <row r="464" spans="1:17" x14ac:dyDescent="0.45">
      <c r="A464" s="8" t="str">
        <f t="shared" si="7"/>
        <v/>
      </c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10"/>
      <c r="N464" s="10"/>
      <c r="O464" s="10"/>
      <c r="P464" s="10"/>
      <c r="Q464" s="10"/>
    </row>
    <row r="465" spans="1:17" x14ac:dyDescent="0.45">
      <c r="A465" s="8" t="str">
        <f t="shared" si="7"/>
        <v/>
      </c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10"/>
      <c r="N465" s="10"/>
      <c r="O465" s="10"/>
      <c r="P465" s="10"/>
      <c r="Q465" s="10"/>
    </row>
    <row r="466" spans="1:17" x14ac:dyDescent="0.45">
      <c r="A466" s="8" t="str">
        <f t="shared" si="7"/>
        <v/>
      </c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10"/>
      <c r="N466" s="10"/>
      <c r="O466" s="10"/>
      <c r="P466" s="10"/>
      <c r="Q466" s="10"/>
    </row>
    <row r="467" spans="1:17" x14ac:dyDescent="0.45">
      <c r="A467" s="8" t="str">
        <f t="shared" si="7"/>
        <v/>
      </c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10"/>
      <c r="N467" s="10"/>
      <c r="O467" s="10"/>
      <c r="P467" s="10"/>
      <c r="Q467" s="10"/>
    </row>
    <row r="468" spans="1:17" x14ac:dyDescent="0.45">
      <c r="A468" s="8" t="str">
        <f t="shared" si="7"/>
        <v/>
      </c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10"/>
      <c r="N468" s="10"/>
      <c r="O468" s="10"/>
      <c r="P468" s="10"/>
      <c r="Q468" s="10"/>
    </row>
    <row r="469" spans="1:17" x14ac:dyDescent="0.45">
      <c r="A469" s="8" t="str">
        <f t="shared" si="7"/>
        <v/>
      </c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10"/>
      <c r="N469" s="10"/>
      <c r="O469" s="10"/>
      <c r="P469" s="10"/>
      <c r="Q469" s="10"/>
    </row>
    <row r="470" spans="1:17" x14ac:dyDescent="0.45">
      <c r="A470" s="8" t="str">
        <f t="shared" si="7"/>
        <v/>
      </c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10"/>
      <c r="N470" s="10"/>
      <c r="O470" s="10"/>
      <c r="P470" s="10"/>
      <c r="Q470" s="10"/>
    </row>
    <row r="471" spans="1:17" x14ac:dyDescent="0.45">
      <c r="A471" s="8" t="str">
        <f t="shared" si="7"/>
        <v/>
      </c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10"/>
      <c r="N471" s="10"/>
      <c r="O471" s="10"/>
      <c r="P471" s="10"/>
      <c r="Q471" s="10"/>
    </row>
    <row r="472" spans="1:17" x14ac:dyDescent="0.45">
      <c r="A472" s="8" t="str">
        <f t="shared" si="7"/>
        <v/>
      </c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10"/>
      <c r="N472" s="10"/>
      <c r="O472" s="10"/>
      <c r="P472" s="10"/>
      <c r="Q472" s="10"/>
    </row>
    <row r="473" spans="1:17" x14ac:dyDescent="0.45">
      <c r="A473" s="8" t="str">
        <f t="shared" si="7"/>
        <v/>
      </c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10"/>
      <c r="N473" s="10"/>
      <c r="O473" s="10"/>
      <c r="P473" s="10"/>
      <c r="Q473" s="10"/>
    </row>
    <row r="474" spans="1:17" x14ac:dyDescent="0.45">
      <c r="A474" s="8" t="str">
        <f t="shared" si="7"/>
        <v/>
      </c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10"/>
      <c r="N474" s="10"/>
      <c r="O474" s="10"/>
      <c r="P474" s="10"/>
      <c r="Q474" s="10"/>
    </row>
    <row r="475" spans="1:17" x14ac:dyDescent="0.45">
      <c r="A475" s="8" t="str">
        <f t="shared" si="7"/>
        <v/>
      </c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10"/>
      <c r="N475" s="10"/>
      <c r="O475" s="10"/>
      <c r="P475" s="10"/>
      <c r="Q475" s="10"/>
    </row>
    <row r="476" spans="1:17" x14ac:dyDescent="0.45">
      <c r="A476" s="8" t="str">
        <f t="shared" si="7"/>
        <v/>
      </c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10"/>
      <c r="N476" s="10"/>
      <c r="O476" s="10"/>
      <c r="P476" s="10"/>
      <c r="Q476" s="10"/>
    </row>
    <row r="477" spans="1:17" x14ac:dyDescent="0.45">
      <c r="A477" s="8" t="str">
        <f t="shared" si="7"/>
        <v/>
      </c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10"/>
      <c r="N477" s="10"/>
      <c r="O477" s="10"/>
      <c r="P477" s="10"/>
      <c r="Q477" s="10"/>
    </row>
    <row r="478" spans="1:17" x14ac:dyDescent="0.45">
      <c r="A478" s="8" t="str">
        <f t="shared" si="7"/>
        <v/>
      </c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10"/>
      <c r="N478" s="10"/>
      <c r="O478" s="10"/>
      <c r="P478" s="10"/>
      <c r="Q478" s="10"/>
    </row>
    <row r="479" spans="1:17" x14ac:dyDescent="0.45">
      <c r="A479" s="8" t="str">
        <f t="shared" si="7"/>
        <v/>
      </c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10"/>
      <c r="N479" s="10"/>
      <c r="O479" s="10"/>
      <c r="P479" s="10"/>
      <c r="Q479" s="10"/>
    </row>
    <row r="480" spans="1:17" x14ac:dyDescent="0.45">
      <c r="A480" s="8" t="str">
        <f t="shared" si="7"/>
        <v/>
      </c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10"/>
      <c r="N480" s="10"/>
      <c r="O480" s="10"/>
      <c r="P480" s="10"/>
      <c r="Q480" s="10"/>
    </row>
    <row r="481" spans="1:17" x14ac:dyDescent="0.45">
      <c r="A481" s="8" t="str">
        <f t="shared" si="7"/>
        <v/>
      </c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10"/>
      <c r="N481" s="10"/>
      <c r="O481" s="10"/>
      <c r="P481" s="10"/>
      <c r="Q481" s="10"/>
    </row>
    <row r="482" spans="1:17" x14ac:dyDescent="0.45">
      <c r="A482" s="8" t="str">
        <f t="shared" si="7"/>
        <v/>
      </c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10"/>
      <c r="N482" s="10"/>
      <c r="O482" s="10"/>
      <c r="P482" s="10"/>
      <c r="Q482" s="10"/>
    </row>
    <row r="483" spans="1:17" x14ac:dyDescent="0.45">
      <c r="A483" s="8" t="str">
        <f t="shared" si="7"/>
        <v/>
      </c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10"/>
      <c r="N483" s="10"/>
      <c r="O483" s="10"/>
      <c r="P483" s="10"/>
      <c r="Q483" s="10"/>
    </row>
    <row r="484" spans="1:17" x14ac:dyDescent="0.45">
      <c r="A484" s="8" t="str">
        <f t="shared" si="7"/>
        <v/>
      </c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10"/>
      <c r="N484" s="10"/>
      <c r="O484" s="10"/>
      <c r="P484" s="10"/>
      <c r="Q484" s="10"/>
    </row>
    <row r="485" spans="1:17" x14ac:dyDescent="0.45">
      <c r="A485" s="8" t="str">
        <f t="shared" si="7"/>
        <v/>
      </c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10"/>
      <c r="N485" s="10"/>
      <c r="O485" s="10"/>
      <c r="P485" s="10"/>
      <c r="Q485" s="10"/>
    </row>
    <row r="486" spans="1:17" x14ac:dyDescent="0.45">
      <c r="A486" s="8" t="str">
        <f t="shared" si="7"/>
        <v/>
      </c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10"/>
      <c r="N486" s="10"/>
      <c r="O486" s="10"/>
      <c r="P486" s="10"/>
      <c r="Q486" s="10"/>
    </row>
    <row r="487" spans="1:17" x14ac:dyDescent="0.45">
      <c r="A487" s="8" t="str">
        <f t="shared" si="7"/>
        <v/>
      </c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10"/>
      <c r="N487" s="10"/>
      <c r="O487" s="10"/>
      <c r="P487" s="10"/>
      <c r="Q487" s="10"/>
    </row>
    <row r="488" spans="1:17" x14ac:dyDescent="0.45">
      <c r="A488" s="8" t="str">
        <f t="shared" si="7"/>
        <v/>
      </c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10"/>
      <c r="N488" s="10"/>
      <c r="O488" s="10"/>
      <c r="P488" s="10"/>
      <c r="Q488" s="10"/>
    </row>
    <row r="489" spans="1:17" x14ac:dyDescent="0.45">
      <c r="A489" s="8" t="str">
        <f t="shared" si="7"/>
        <v/>
      </c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10"/>
      <c r="N489" s="10"/>
      <c r="O489" s="10"/>
      <c r="P489" s="10"/>
      <c r="Q489" s="10"/>
    </row>
    <row r="490" spans="1:17" x14ac:dyDescent="0.45">
      <c r="A490" s="8" t="str">
        <f t="shared" si="7"/>
        <v/>
      </c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10"/>
      <c r="N490" s="10"/>
      <c r="O490" s="10"/>
      <c r="P490" s="10"/>
      <c r="Q490" s="10"/>
    </row>
    <row r="491" spans="1:17" x14ac:dyDescent="0.45">
      <c r="A491" s="8" t="str">
        <f t="shared" si="7"/>
        <v/>
      </c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10"/>
      <c r="N491" s="10"/>
      <c r="O491" s="10"/>
      <c r="P491" s="10"/>
      <c r="Q491" s="10"/>
    </row>
    <row r="492" spans="1:17" x14ac:dyDescent="0.45">
      <c r="A492" s="8" t="str">
        <f t="shared" si="7"/>
        <v/>
      </c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10"/>
      <c r="N492" s="10"/>
      <c r="O492" s="10"/>
      <c r="P492" s="10"/>
      <c r="Q492" s="10"/>
    </row>
    <row r="493" spans="1:17" x14ac:dyDescent="0.45">
      <c r="A493" s="8" t="str">
        <f t="shared" si="7"/>
        <v/>
      </c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10"/>
      <c r="N493" s="10"/>
      <c r="O493" s="10"/>
      <c r="P493" s="10"/>
      <c r="Q493" s="10"/>
    </row>
    <row r="494" spans="1:17" x14ac:dyDescent="0.45">
      <c r="A494" s="8" t="str">
        <f t="shared" si="7"/>
        <v/>
      </c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10"/>
      <c r="N494" s="10"/>
      <c r="O494" s="10"/>
      <c r="P494" s="10"/>
      <c r="Q494" s="10"/>
    </row>
    <row r="495" spans="1:17" x14ac:dyDescent="0.45">
      <c r="A495" s="8" t="str">
        <f t="shared" si="7"/>
        <v/>
      </c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10"/>
      <c r="N495" s="10"/>
      <c r="O495" s="10"/>
      <c r="P495" s="10"/>
      <c r="Q495" s="10"/>
    </row>
    <row r="496" spans="1:17" x14ac:dyDescent="0.45">
      <c r="A496" s="8" t="str">
        <f t="shared" si="7"/>
        <v/>
      </c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10"/>
      <c r="N496" s="10"/>
      <c r="O496" s="10"/>
      <c r="P496" s="10"/>
      <c r="Q496" s="10"/>
    </row>
    <row r="497" spans="1:17" x14ac:dyDescent="0.45">
      <c r="A497" s="8" t="str">
        <f t="shared" si="7"/>
        <v/>
      </c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10"/>
      <c r="N497" s="10"/>
      <c r="O497" s="10"/>
      <c r="P497" s="10"/>
      <c r="Q497" s="10"/>
    </row>
    <row r="498" spans="1:17" x14ac:dyDescent="0.45">
      <c r="A498" s="8" t="str">
        <f t="shared" si="7"/>
        <v/>
      </c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10"/>
      <c r="N498" s="10"/>
      <c r="O498" s="10"/>
      <c r="P498" s="10"/>
      <c r="Q498" s="10"/>
    </row>
    <row r="499" spans="1:17" x14ac:dyDescent="0.45">
      <c r="A499" s="8" t="str">
        <f t="shared" si="7"/>
        <v/>
      </c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10"/>
      <c r="N499" s="10"/>
      <c r="O499" s="10"/>
      <c r="P499" s="10"/>
      <c r="Q499" s="10"/>
    </row>
    <row r="500" spans="1:17" x14ac:dyDescent="0.45">
      <c r="A500" s="8" t="str">
        <f t="shared" si="7"/>
        <v/>
      </c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10"/>
      <c r="N500" s="10"/>
      <c r="O500" s="10"/>
      <c r="P500" s="10"/>
      <c r="Q500" s="10"/>
    </row>
    <row r="501" spans="1:17" x14ac:dyDescent="0.45">
      <c r="A501" s="8" t="str">
        <f t="shared" si="7"/>
        <v/>
      </c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10"/>
      <c r="N501" s="10"/>
      <c r="O501" s="10"/>
      <c r="P501" s="10"/>
      <c r="Q501" s="10"/>
    </row>
    <row r="502" spans="1:17" x14ac:dyDescent="0.45">
      <c r="A502" s="8" t="str">
        <f t="shared" si="7"/>
        <v/>
      </c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10"/>
      <c r="N502" s="10"/>
      <c r="O502" s="10"/>
      <c r="P502" s="10"/>
      <c r="Q502" s="10"/>
    </row>
    <row r="503" spans="1:17" x14ac:dyDescent="0.45">
      <c r="A503" s="8" t="str">
        <f t="shared" si="7"/>
        <v/>
      </c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10"/>
      <c r="N503" s="10"/>
      <c r="O503" s="10"/>
      <c r="P503" s="10"/>
      <c r="Q503" s="10"/>
    </row>
    <row r="504" spans="1:17" x14ac:dyDescent="0.45">
      <c r="A504" s="8" t="str">
        <f t="shared" si="7"/>
        <v/>
      </c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10"/>
      <c r="N504" s="10"/>
      <c r="O504" s="10"/>
      <c r="P504" s="10"/>
      <c r="Q504" s="10"/>
    </row>
    <row r="505" spans="1:17" x14ac:dyDescent="0.45">
      <c r="A505" s="8" t="str">
        <f t="shared" si="7"/>
        <v/>
      </c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10"/>
      <c r="N505" s="10"/>
      <c r="O505" s="10"/>
      <c r="P505" s="10"/>
      <c r="Q505" s="10"/>
    </row>
    <row r="506" spans="1:17" x14ac:dyDescent="0.45">
      <c r="A506" s="8" t="str">
        <f t="shared" si="7"/>
        <v/>
      </c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10"/>
      <c r="N506" s="10"/>
      <c r="O506" s="10"/>
      <c r="P506" s="10"/>
      <c r="Q506" s="10"/>
    </row>
    <row r="507" spans="1:17" x14ac:dyDescent="0.45">
      <c r="A507" s="8" t="str">
        <f t="shared" si="7"/>
        <v/>
      </c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10"/>
      <c r="N507" s="10"/>
      <c r="O507" s="10"/>
      <c r="P507" s="10"/>
      <c r="Q507" s="10"/>
    </row>
    <row r="508" spans="1:17" x14ac:dyDescent="0.45">
      <c r="A508" s="8" t="str">
        <f t="shared" si="7"/>
        <v/>
      </c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10"/>
      <c r="N508" s="10"/>
      <c r="O508" s="10"/>
      <c r="P508" s="10"/>
      <c r="Q508" s="10"/>
    </row>
    <row r="509" spans="1:17" x14ac:dyDescent="0.45">
      <c r="A509" s="8" t="str">
        <f t="shared" si="7"/>
        <v/>
      </c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10"/>
      <c r="N509" s="10"/>
      <c r="O509" s="10"/>
      <c r="P509" s="10"/>
      <c r="Q509" s="10"/>
    </row>
    <row r="510" spans="1:17" x14ac:dyDescent="0.45">
      <c r="A510" s="8" t="str">
        <f t="shared" si="7"/>
        <v/>
      </c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10"/>
      <c r="N510" s="10"/>
      <c r="O510" s="10"/>
      <c r="P510" s="10"/>
      <c r="Q510" s="10"/>
    </row>
    <row r="511" spans="1:17" x14ac:dyDescent="0.45">
      <c r="A511" s="8" t="str">
        <f t="shared" si="7"/>
        <v/>
      </c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10"/>
      <c r="N511" s="10"/>
      <c r="O511" s="10"/>
      <c r="P511" s="10"/>
      <c r="Q511" s="10"/>
    </row>
    <row r="512" spans="1:17" x14ac:dyDescent="0.45">
      <c r="A512" s="8" t="str">
        <f t="shared" si="7"/>
        <v/>
      </c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10"/>
      <c r="N512" s="10"/>
      <c r="O512" s="10"/>
      <c r="P512" s="10"/>
      <c r="Q512" s="10"/>
    </row>
    <row r="513" spans="1:17" x14ac:dyDescent="0.45">
      <c r="A513" s="8" t="str">
        <f t="shared" si="7"/>
        <v/>
      </c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10"/>
      <c r="N513" s="10"/>
      <c r="O513" s="10"/>
      <c r="P513" s="10"/>
      <c r="Q513" s="10"/>
    </row>
    <row r="514" spans="1:17" x14ac:dyDescent="0.45">
      <c r="A514" s="8" t="str">
        <f t="shared" si="7"/>
        <v/>
      </c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10"/>
      <c r="N514" s="10"/>
      <c r="O514" s="10"/>
      <c r="P514" s="10"/>
      <c r="Q514" s="10"/>
    </row>
    <row r="515" spans="1:17" x14ac:dyDescent="0.45">
      <c r="A515" s="8" t="str">
        <f t="shared" si="7"/>
        <v/>
      </c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10"/>
      <c r="N515" s="10"/>
      <c r="O515" s="10"/>
      <c r="P515" s="10"/>
      <c r="Q515" s="10"/>
    </row>
    <row r="516" spans="1:17" x14ac:dyDescent="0.45">
      <c r="A516" s="8" t="str">
        <f t="shared" si="7"/>
        <v/>
      </c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10"/>
      <c r="N516" s="10"/>
      <c r="O516" s="10"/>
      <c r="P516" s="10"/>
      <c r="Q516" s="10"/>
    </row>
    <row r="517" spans="1:17" x14ac:dyDescent="0.45">
      <c r="A517" s="8" t="str">
        <f t="shared" si="7"/>
        <v/>
      </c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10"/>
      <c r="N517" s="10"/>
      <c r="O517" s="10"/>
      <c r="P517" s="10"/>
      <c r="Q517" s="10"/>
    </row>
    <row r="518" spans="1:17" x14ac:dyDescent="0.45">
      <c r="A518" s="8" t="str">
        <f t="shared" si="7"/>
        <v/>
      </c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10"/>
      <c r="N518" s="10"/>
      <c r="O518" s="10"/>
      <c r="P518" s="10"/>
      <c r="Q518" s="10"/>
    </row>
    <row r="519" spans="1:17" x14ac:dyDescent="0.45">
      <c r="A519" s="8" t="str">
        <f t="shared" ref="A519:A582" si="8">IF($B519="","",ROW($A519)-(ROW($A$5)))</f>
        <v/>
      </c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10"/>
      <c r="N519" s="10"/>
      <c r="O519" s="10"/>
      <c r="P519" s="10"/>
      <c r="Q519" s="10"/>
    </row>
    <row r="520" spans="1:17" x14ac:dyDescent="0.45">
      <c r="A520" s="8" t="str">
        <f t="shared" si="8"/>
        <v/>
      </c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10"/>
      <c r="N520" s="10"/>
      <c r="O520" s="10"/>
      <c r="P520" s="10"/>
      <c r="Q520" s="10"/>
    </row>
    <row r="521" spans="1:17" x14ac:dyDescent="0.45">
      <c r="A521" s="8" t="str">
        <f t="shared" si="8"/>
        <v/>
      </c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10"/>
      <c r="N521" s="10"/>
      <c r="O521" s="10"/>
      <c r="P521" s="10"/>
      <c r="Q521" s="10"/>
    </row>
    <row r="522" spans="1:17" x14ac:dyDescent="0.45">
      <c r="A522" s="8" t="str">
        <f t="shared" si="8"/>
        <v/>
      </c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10"/>
      <c r="N522" s="10"/>
      <c r="O522" s="10"/>
      <c r="P522" s="10"/>
      <c r="Q522" s="10"/>
    </row>
    <row r="523" spans="1:17" x14ac:dyDescent="0.45">
      <c r="A523" s="8" t="str">
        <f t="shared" si="8"/>
        <v/>
      </c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10"/>
      <c r="N523" s="10"/>
      <c r="O523" s="10"/>
      <c r="P523" s="10"/>
      <c r="Q523" s="10"/>
    </row>
    <row r="524" spans="1:17" x14ac:dyDescent="0.45">
      <c r="A524" s="8" t="str">
        <f t="shared" si="8"/>
        <v/>
      </c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10"/>
      <c r="N524" s="10"/>
      <c r="O524" s="10"/>
      <c r="P524" s="10"/>
      <c r="Q524" s="10"/>
    </row>
    <row r="525" spans="1:17" x14ac:dyDescent="0.45">
      <c r="A525" s="8" t="str">
        <f t="shared" si="8"/>
        <v/>
      </c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10"/>
      <c r="N525" s="10"/>
      <c r="O525" s="10"/>
      <c r="P525" s="10"/>
      <c r="Q525" s="10"/>
    </row>
    <row r="526" spans="1:17" x14ac:dyDescent="0.45">
      <c r="A526" s="8" t="str">
        <f t="shared" si="8"/>
        <v/>
      </c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10"/>
      <c r="N526" s="10"/>
      <c r="O526" s="10"/>
      <c r="P526" s="10"/>
      <c r="Q526" s="10"/>
    </row>
    <row r="527" spans="1:17" x14ac:dyDescent="0.45">
      <c r="A527" s="8" t="str">
        <f t="shared" si="8"/>
        <v/>
      </c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10"/>
      <c r="N527" s="10"/>
      <c r="O527" s="10"/>
      <c r="P527" s="10"/>
      <c r="Q527" s="10"/>
    </row>
    <row r="528" spans="1:17" x14ac:dyDescent="0.45">
      <c r="A528" s="8" t="str">
        <f t="shared" si="8"/>
        <v/>
      </c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10"/>
      <c r="N528" s="10"/>
      <c r="O528" s="10"/>
      <c r="P528" s="10"/>
      <c r="Q528" s="10"/>
    </row>
    <row r="529" spans="1:17" x14ac:dyDescent="0.45">
      <c r="A529" s="8" t="str">
        <f t="shared" si="8"/>
        <v/>
      </c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10"/>
      <c r="N529" s="10"/>
      <c r="O529" s="10"/>
      <c r="P529" s="10"/>
      <c r="Q529" s="10"/>
    </row>
    <row r="530" spans="1:17" x14ac:dyDescent="0.45">
      <c r="A530" s="8" t="str">
        <f t="shared" si="8"/>
        <v/>
      </c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10"/>
      <c r="N530" s="10"/>
      <c r="O530" s="10"/>
      <c r="P530" s="10"/>
      <c r="Q530" s="10"/>
    </row>
    <row r="531" spans="1:17" x14ac:dyDescent="0.45">
      <c r="A531" s="8" t="str">
        <f t="shared" si="8"/>
        <v/>
      </c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10"/>
      <c r="N531" s="10"/>
      <c r="O531" s="10"/>
      <c r="P531" s="10"/>
      <c r="Q531" s="10"/>
    </row>
    <row r="532" spans="1:17" x14ac:dyDescent="0.45">
      <c r="A532" s="8" t="str">
        <f t="shared" si="8"/>
        <v/>
      </c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10"/>
      <c r="N532" s="10"/>
      <c r="O532" s="10"/>
      <c r="P532" s="10"/>
      <c r="Q532" s="10"/>
    </row>
    <row r="533" spans="1:17" x14ac:dyDescent="0.45">
      <c r="A533" s="8" t="str">
        <f t="shared" si="8"/>
        <v/>
      </c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10"/>
      <c r="N533" s="10"/>
      <c r="O533" s="10"/>
      <c r="P533" s="10"/>
      <c r="Q533" s="10"/>
    </row>
    <row r="534" spans="1:17" x14ac:dyDescent="0.45">
      <c r="A534" s="8" t="str">
        <f t="shared" si="8"/>
        <v/>
      </c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10"/>
      <c r="N534" s="10"/>
      <c r="O534" s="10"/>
      <c r="P534" s="10"/>
      <c r="Q534" s="10"/>
    </row>
    <row r="535" spans="1:17" x14ac:dyDescent="0.45">
      <c r="A535" s="8" t="str">
        <f t="shared" si="8"/>
        <v/>
      </c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10"/>
      <c r="N535" s="10"/>
      <c r="O535" s="10"/>
      <c r="P535" s="10"/>
      <c r="Q535" s="10"/>
    </row>
    <row r="536" spans="1:17" x14ac:dyDescent="0.45">
      <c r="A536" s="8" t="str">
        <f t="shared" si="8"/>
        <v/>
      </c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10"/>
      <c r="N536" s="10"/>
      <c r="O536" s="10"/>
      <c r="P536" s="10"/>
      <c r="Q536" s="10"/>
    </row>
    <row r="537" spans="1:17" x14ac:dyDescent="0.45">
      <c r="A537" s="8" t="str">
        <f t="shared" si="8"/>
        <v/>
      </c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10"/>
      <c r="N537" s="10"/>
      <c r="O537" s="10"/>
      <c r="P537" s="10"/>
      <c r="Q537" s="10"/>
    </row>
    <row r="538" spans="1:17" x14ac:dyDescent="0.45">
      <c r="A538" s="8" t="str">
        <f t="shared" si="8"/>
        <v/>
      </c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10"/>
      <c r="N538" s="10"/>
      <c r="O538" s="10"/>
      <c r="P538" s="10"/>
      <c r="Q538" s="10"/>
    </row>
    <row r="539" spans="1:17" x14ac:dyDescent="0.45">
      <c r="A539" s="8" t="str">
        <f t="shared" si="8"/>
        <v/>
      </c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10"/>
      <c r="N539" s="10"/>
      <c r="O539" s="10"/>
      <c r="P539" s="10"/>
      <c r="Q539" s="10"/>
    </row>
    <row r="540" spans="1:17" x14ac:dyDescent="0.45">
      <c r="A540" s="8" t="str">
        <f t="shared" si="8"/>
        <v/>
      </c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10"/>
      <c r="N540" s="10"/>
      <c r="O540" s="10"/>
      <c r="P540" s="10"/>
      <c r="Q540" s="10"/>
    </row>
    <row r="541" spans="1:17" x14ac:dyDescent="0.45">
      <c r="A541" s="8" t="str">
        <f t="shared" si="8"/>
        <v/>
      </c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10"/>
      <c r="N541" s="10"/>
      <c r="O541" s="10"/>
      <c r="P541" s="10"/>
      <c r="Q541" s="10"/>
    </row>
    <row r="542" spans="1:17" x14ac:dyDescent="0.45">
      <c r="A542" s="8" t="str">
        <f t="shared" si="8"/>
        <v/>
      </c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10"/>
      <c r="N542" s="10"/>
      <c r="O542" s="10"/>
      <c r="P542" s="10"/>
      <c r="Q542" s="10"/>
    </row>
    <row r="543" spans="1:17" x14ac:dyDescent="0.45">
      <c r="A543" s="8" t="str">
        <f t="shared" si="8"/>
        <v/>
      </c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10"/>
      <c r="N543" s="10"/>
      <c r="O543" s="10"/>
      <c r="P543" s="10"/>
      <c r="Q543" s="10"/>
    </row>
    <row r="544" spans="1:17" x14ac:dyDescent="0.45">
      <c r="A544" s="8" t="str">
        <f t="shared" si="8"/>
        <v/>
      </c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10"/>
      <c r="N544" s="10"/>
      <c r="O544" s="10"/>
      <c r="P544" s="10"/>
      <c r="Q544" s="10"/>
    </row>
    <row r="545" spans="1:17" x14ac:dyDescent="0.45">
      <c r="A545" s="8" t="str">
        <f t="shared" si="8"/>
        <v/>
      </c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10"/>
      <c r="N545" s="10"/>
      <c r="O545" s="10"/>
      <c r="P545" s="10"/>
      <c r="Q545" s="10"/>
    </row>
    <row r="546" spans="1:17" x14ac:dyDescent="0.45">
      <c r="A546" s="8" t="str">
        <f t="shared" si="8"/>
        <v/>
      </c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10"/>
      <c r="N546" s="10"/>
      <c r="O546" s="10"/>
      <c r="P546" s="10"/>
      <c r="Q546" s="10"/>
    </row>
    <row r="547" spans="1:17" x14ac:dyDescent="0.45">
      <c r="A547" s="8" t="str">
        <f t="shared" si="8"/>
        <v/>
      </c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10"/>
      <c r="N547" s="10"/>
      <c r="O547" s="10"/>
      <c r="P547" s="10"/>
      <c r="Q547" s="10"/>
    </row>
    <row r="548" spans="1:17" x14ac:dyDescent="0.45">
      <c r="A548" s="8" t="str">
        <f t="shared" si="8"/>
        <v/>
      </c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10"/>
      <c r="N548" s="10"/>
      <c r="O548" s="10"/>
      <c r="P548" s="10"/>
      <c r="Q548" s="10"/>
    </row>
    <row r="549" spans="1:17" x14ac:dyDescent="0.45">
      <c r="A549" s="8" t="str">
        <f t="shared" si="8"/>
        <v/>
      </c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10"/>
      <c r="N549" s="10"/>
      <c r="O549" s="10"/>
      <c r="P549" s="10"/>
      <c r="Q549" s="10"/>
    </row>
    <row r="550" spans="1:17" x14ac:dyDescent="0.45">
      <c r="A550" s="8" t="str">
        <f t="shared" si="8"/>
        <v/>
      </c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10"/>
      <c r="N550" s="10"/>
      <c r="O550" s="10"/>
      <c r="P550" s="10"/>
      <c r="Q550" s="10"/>
    </row>
    <row r="551" spans="1:17" x14ac:dyDescent="0.45">
      <c r="A551" s="8" t="str">
        <f t="shared" si="8"/>
        <v/>
      </c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10"/>
      <c r="N551" s="10"/>
      <c r="O551" s="10"/>
      <c r="P551" s="10"/>
      <c r="Q551" s="10"/>
    </row>
    <row r="552" spans="1:17" x14ac:dyDescent="0.45">
      <c r="A552" s="8" t="str">
        <f t="shared" si="8"/>
        <v/>
      </c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10"/>
      <c r="N552" s="10"/>
      <c r="O552" s="10"/>
      <c r="P552" s="10"/>
      <c r="Q552" s="10"/>
    </row>
    <row r="553" spans="1:17" x14ac:dyDescent="0.45">
      <c r="A553" s="8" t="str">
        <f t="shared" si="8"/>
        <v/>
      </c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10"/>
      <c r="N553" s="10"/>
      <c r="O553" s="10"/>
      <c r="P553" s="10"/>
      <c r="Q553" s="10"/>
    </row>
    <row r="554" spans="1:17" x14ac:dyDescent="0.45">
      <c r="A554" s="8" t="str">
        <f t="shared" si="8"/>
        <v/>
      </c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10"/>
      <c r="N554" s="10"/>
      <c r="O554" s="10"/>
      <c r="P554" s="10"/>
      <c r="Q554" s="10"/>
    </row>
    <row r="555" spans="1:17" x14ac:dyDescent="0.45">
      <c r="A555" s="8" t="str">
        <f t="shared" si="8"/>
        <v/>
      </c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10"/>
      <c r="N555" s="10"/>
      <c r="O555" s="10"/>
      <c r="P555" s="10"/>
      <c r="Q555" s="10"/>
    </row>
    <row r="556" spans="1:17" x14ac:dyDescent="0.45">
      <c r="A556" s="8" t="str">
        <f t="shared" si="8"/>
        <v/>
      </c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10"/>
      <c r="N556" s="10"/>
      <c r="O556" s="10"/>
      <c r="P556" s="10"/>
      <c r="Q556" s="10"/>
    </row>
    <row r="557" spans="1:17" x14ac:dyDescent="0.45">
      <c r="A557" s="8" t="str">
        <f t="shared" si="8"/>
        <v/>
      </c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10"/>
      <c r="N557" s="10"/>
      <c r="O557" s="10"/>
      <c r="P557" s="10"/>
      <c r="Q557" s="10"/>
    </row>
    <row r="558" spans="1:17" x14ac:dyDescent="0.45">
      <c r="A558" s="8" t="str">
        <f t="shared" si="8"/>
        <v/>
      </c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10"/>
      <c r="N558" s="10"/>
      <c r="O558" s="10"/>
      <c r="P558" s="10"/>
      <c r="Q558" s="10"/>
    </row>
    <row r="559" spans="1:17" x14ac:dyDescent="0.45">
      <c r="A559" s="8" t="str">
        <f t="shared" si="8"/>
        <v/>
      </c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10"/>
      <c r="N559" s="10"/>
      <c r="O559" s="10"/>
      <c r="P559" s="10"/>
      <c r="Q559" s="10"/>
    </row>
    <row r="560" spans="1:17" x14ac:dyDescent="0.45">
      <c r="A560" s="8" t="str">
        <f t="shared" si="8"/>
        <v/>
      </c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10"/>
      <c r="N560" s="10"/>
      <c r="O560" s="10"/>
      <c r="P560" s="10"/>
      <c r="Q560" s="10"/>
    </row>
    <row r="561" spans="1:17" x14ac:dyDescent="0.45">
      <c r="A561" s="8" t="str">
        <f t="shared" si="8"/>
        <v/>
      </c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10"/>
      <c r="N561" s="10"/>
      <c r="O561" s="10"/>
      <c r="P561" s="10"/>
      <c r="Q561" s="10"/>
    </row>
    <row r="562" spans="1:17" x14ac:dyDescent="0.45">
      <c r="A562" s="8" t="str">
        <f t="shared" si="8"/>
        <v/>
      </c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10"/>
      <c r="N562" s="10"/>
      <c r="O562" s="10"/>
      <c r="P562" s="10"/>
      <c r="Q562" s="10"/>
    </row>
    <row r="563" spans="1:17" x14ac:dyDescent="0.45">
      <c r="A563" s="8" t="str">
        <f t="shared" si="8"/>
        <v/>
      </c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10"/>
      <c r="N563" s="10"/>
      <c r="O563" s="10"/>
      <c r="P563" s="10"/>
      <c r="Q563" s="10"/>
    </row>
    <row r="564" spans="1:17" x14ac:dyDescent="0.45">
      <c r="A564" s="8" t="str">
        <f t="shared" si="8"/>
        <v/>
      </c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10"/>
      <c r="N564" s="10"/>
      <c r="O564" s="10"/>
      <c r="P564" s="10"/>
      <c r="Q564" s="10"/>
    </row>
    <row r="565" spans="1:17" x14ac:dyDescent="0.45">
      <c r="A565" s="8" t="str">
        <f t="shared" si="8"/>
        <v/>
      </c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10"/>
      <c r="N565" s="10"/>
      <c r="O565" s="10"/>
      <c r="P565" s="10"/>
      <c r="Q565" s="10"/>
    </row>
    <row r="566" spans="1:17" x14ac:dyDescent="0.45">
      <c r="A566" s="8" t="str">
        <f t="shared" si="8"/>
        <v/>
      </c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10"/>
      <c r="N566" s="10"/>
      <c r="O566" s="10"/>
      <c r="P566" s="10"/>
      <c r="Q566" s="10"/>
    </row>
    <row r="567" spans="1:17" x14ac:dyDescent="0.45">
      <c r="A567" s="8" t="str">
        <f t="shared" si="8"/>
        <v/>
      </c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10"/>
      <c r="N567" s="10"/>
      <c r="O567" s="10"/>
      <c r="P567" s="10"/>
      <c r="Q567" s="10"/>
    </row>
    <row r="568" spans="1:17" x14ac:dyDescent="0.45">
      <c r="A568" s="8" t="str">
        <f t="shared" si="8"/>
        <v/>
      </c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10"/>
      <c r="N568" s="10"/>
      <c r="O568" s="10"/>
      <c r="P568" s="10"/>
      <c r="Q568" s="10"/>
    </row>
    <row r="569" spans="1:17" x14ac:dyDescent="0.45">
      <c r="A569" s="8" t="str">
        <f t="shared" si="8"/>
        <v/>
      </c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10"/>
      <c r="N569" s="10"/>
      <c r="O569" s="10"/>
      <c r="P569" s="10"/>
      <c r="Q569" s="10"/>
    </row>
    <row r="570" spans="1:17" x14ac:dyDescent="0.45">
      <c r="A570" s="8" t="str">
        <f t="shared" si="8"/>
        <v/>
      </c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10"/>
      <c r="N570" s="10"/>
      <c r="O570" s="10"/>
      <c r="P570" s="10"/>
      <c r="Q570" s="10"/>
    </row>
    <row r="571" spans="1:17" x14ac:dyDescent="0.45">
      <c r="A571" s="8" t="str">
        <f t="shared" si="8"/>
        <v/>
      </c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10"/>
      <c r="N571" s="10"/>
      <c r="O571" s="10"/>
      <c r="P571" s="10"/>
      <c r="Q571" s="10"/>
    </row>
    <row r="572" spans="1:17" x14ac:dyDescent="0.45">
      <c r="A572" s="8" t="str">
        <f t="shared" si="8"/>
        <v/>
      </c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10"/>
      <c r="N572" s="10"/>
      <c r="O572" s="10"/>
      <c r="P572" s="10"/>
      <c r="Q572" s="10"/>
    </row>
    <row r="573" spans="1:17" x14ac:dyDescent="0.45">
      <c r="A573" s="8" t="str">
        <f t="shared" si="8"/>
        <v/>
      </c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10"/>
      <c r="N573" s="10"/>
      <c r="O573" s="10"/>
      <c r="P573" s="10"/>
      <c r="Q573" s="10"/>
    </row>
    <row r="574" spans="1:17" x14ac:dyDescent="0.45">
      <c r="A574" s="8" t="str">
        <f t="shared" si="8"/>
        <v/>
      </c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10"/>
      <c r="N574" s="10"/>
      <c r="O574" s="10"/>
      <c r="P574" s="10"/>
      <c r="Q574" s="10"/>
    </row>
    <row r="575" spans="1:17" x14ac:dyDescent="0.45">
      <c r="A575" s="8" t="str">
        <f t="shared" si="8"/>
        <v/>
      </c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10"/>
      <c r="N575" s="10"/>
      <c r="O575" s="10"/>
      <c r="P575" s="10"/>
      <c r="Q575" s="10"/>
    </row>
    <row r="576" spans="1:17" x14ac:dyDescent="0.45">
      <c r="A576" s="8" t="str">
        <f t="shared" si="8"/>
        <v/>
      </c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10"/>
      <c r="N576" s="10"/>
      <c r="O576" s="10"/>
      <c r="P576" s="10"/>
      <c r="Q576" s="10"/>
    </row>
    <row r="577" spans="1:17" x14ac:dyDescent="0.45">
      <c r="A577" s="8" t="str">
        <f t="shared" si="8"/>
        <v/>
      </c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10"/>
      <c r="N577" s="10"/>
      <c r="O577" s="10"/>
      <c r="P577" s="10"/>
      <c r="Q577" s="10"/>
    </row>
    <row r="578" spans="1:17" x14ac:dyDescent="0.45">
      <c r="A578" s="8" t="str">
        <f t="shared" si="8"/>
        <v/>
      </c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10"/>
      <c r="N578" s="10"/>
      <c r="O578" s="10"/>
      <c r="P578" s="10"/>
      <c r="Q578" s="10"/>
    </row>
    <row r="579" spans="1:17" x14ac:dyDescent="0.45">
      <c r="A579" s="8" t="str">
        <f t="shared" si="8"/>
        <v/>
      </c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10"/>
      <c r="N579" s="10"/>
      <c r="O579" s="10"/>
      <c r="P579" s="10"/>
      <c r="Q579" s="10"/>
    </row>
    <row r="580" spans="1:17" x14ac:dyDescent="0.45">
      <c r="A580" s="8" t="str">
        <f t="shared" si="8"/>
        <v/>
      </c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10"/>
      <c r="N580" s="10"/>
      <c r="O580" s="10"/>
      <c r="P580" s="10"/>
      <c r="Q580" s="10"/>
    </row>
    <row r="581" spans="1:17" x14ac:dyDescent="0.45">
      <c r="A581" s="8" t="str">
        <f t="shared" si="8"/>
        <v/>
      </c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10"/>
      <c r="N581" s="10"/>
      <c r="O581" s="10"/>
      <c r="P581" s="10"/>
      <c r="Q581" s="10"/>
    </row>
    <row r="582" spans="1:17" x14ac:dyDescent="0.45">
      <c r="A582" s="8" t="str">
        <f t="shared" si="8"/>
        <v/>
      </c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10"/>
      <c r="N582" s="10"/>
      <c r="O582" s="10"/>
      <c r="P582" s="10"/>
      <c r="Q582" s="10"/>
    </row>
    <row r="583" spans="1:17" x14ac:dyDescent="0.45">
      <c r="A583" s="8" t="str">
        <f t="shared" ref="A583:A646" si="9">IF($B583="","",ROW($A583)-(ROW($A$5)))</f>
        <v/>
      </c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10"/>
      <c r="N583" s="10"/>
      <c r="O583" s="10"/>
      <c r="P583" s="10"/>
      <c r="Q583" s="10"/>
    </row>
    <row r="584" spans="1:17" x14ac:dyDescent="0.45">
      <c r="A584" s="8" t="str">
        <f t="shared" si="9"/>
        <v/>
      </c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10"/>
      <c r="N584" s="10"/>
      <c r="O584" s="10"/>
      <c r="P584" s="10"/>
      <c r="Q584" s="10"/>
    </row>
    <row r="585" spans="1:17" x14ac:dyDescent="0.45">
      <c r="A585" s="8" t="str">
        <f t="shared" si="9"/>
        <v/>
      </c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10"/>
      <c r="N585" s="10"/>
      <c r="O585" s="10"/>
      <c r="P585" s="10"/>
      <c r="Q585" s="10"/>
    </row>
    <row r="586" spans="1:17" x14ac:dyDescent="0.45">
      <c r="A586" s="8" t="str">
        <f t="shared" si="9"/>
        <v/>
      </c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10"/>
      <c r="N586" s="10"/>
      <c r="O586" s="10"/>
      <c r="P586" s="10"/>
      <c r="Q586" s="10"/>
    </row>
    <row r="587" spans="1:17" x14ac:dyDescent="0.45">
      <c r="A587" s="8" t="str">
        <f t="shared" si="9"/>
        <v/>
      </c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10"/>
      <c r="N587" s="10"/>
      <c r="O587" s="10"/>
      <c r="P587" s="10"/>
      <c r="Q587" s="10"/>
    </row>
    <row r="588" spans="1:17" x14ac:dyDescent="0.45">
      <c r="A588" s="8" t="str">
        <f t="shared" si="9"/>
        <v/>
      </c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10"/>
      <c r="N588" s="10"/>
      <c r="O588" s="10"/>
      <c r="P588" s="10"/>
      <c r="Q588" s="10"/>
    </row>
    <row r="589" spans="1:17" x14ac:dyDescent="0.45">
      <c r="A589" s="8" t="str">
        <f t="shared" si="9"/>
        <v/>
      </c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10"/>
      <c r="N589" s="10"/>
      <c r="O589" s="10"/>
      <c r="P589" s="10"/>
      <c r="Q589" s="10"/>
    </row>
    <row r="590" spans="1:17" x14ac:dyDescent="0.45">
      <c r="A590" s="8" t="str">
        <f t="shared" si="9"/>
        <v/>
      </c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10"/>
      <c r="N590" s="10"/>
      <c r="O590" s="10"/>
      <c r="P590" s="10"/>
      <c r="Q590" s="10"/>
    </row>
    <row r="591" spans="1:17" x14ac:dyDescent="0.45">
      <c r="A591" s="8" t="str">
        <f t="shared" si="9"/>
        <v/>
      </c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10"/>
      <c r="N591" s="10"/>
      <c r="O591" s="10"/>
      <c r="P591" s="10"/>
      <c r="Q591" s="10"/>
    </row>
    <row r="592" spans="1:17" x14ac:dyDescent="0.45">
      <c r="A592" s="8" t="str">
        <f t="shared" si="9"/>
        <v/>
      </c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10"/>
      <c r="N592" s="10"/>
      <c r="O592" s="10"/>
      <c r="P592" s="10"/>
      <c r="Q592" s="10"/>
    </row>
    <row r="593" spans="1:17" x14ac:dyDescent="0.45">
      <c r="A593" s="8" t="str">
        <f t="shared" si="9"/>
        <v/>
      </c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10"/>
      <c r="N593" s="10"/>
      <c r="O593" s="10"/>
      <c r="P593" s="10"/>
      <c r="Q593" s="10"/>
    </row>
    <row r="594" spans="1:17" x14ac:dyDescent="0.45">
      <c r="A594" s="8" t="str">
        <f t="shared" si="9"/>
        <v/>
      </c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10"/>
      <c r="N594" s="10"/>
      <c r="O594" s="10"/>
      <c r="P594" s="10"/>
      <c r="Q594" s="10"/>
    </row>
    <row r="595" spans="1:17" x14ac:dyDescent="0.45">
      <c r="A595" s="8" t="str">
        <f t="shared" si="9"/>
        <v/>
      </c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10"/>
      <c r="N595" s="10"/>
      <c r="O595" s="10"/>
      <c r="P595" s="10"/>
      <c r="Q595" s="10"/>
    </row>
    <row r="596" spans="1:17" x14ac:dyDescent="0.45">
      <c r="A596" s="8" t="str">
        <f t="shared" si="9"/>
        <v/>
      </c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10"/>
      <c r="N596" s="10"/>
      <c r="O596" s="10"/>
      <c r="P596" s="10"/>
      <c r="Q596" s="10"/>
    </row>
    <row r="597" spans="1:17" x14ac:dyDescent="0.45">
      <c r="A597" s="8" t="str">
        <f t="shared" si="9"/>
        <v/>
      </c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10"/>
      <c r="N597" s="10"/>
      <c r="O597" s="10"/>
      <c r="P597" s="10"/>
      <c r="Q597" s="10"/>
    </row>
    <row r="598" spans="1:17" x14ac:dyDescent="0.45">
      <c r="A598" s="8" t="str">
        <f t="shared" si="9"/>
        <v/>
      </c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10"/>
      <c r="N598" s="10"/>
      <c r="O598" s="10"/>
      <c r="P598" s="10"/>
      <c r="Q598" s="10"/>
    </row>
    <row r="599" spans="1:17" x14ac:dyDescent="0.45">
      <c r="A599" s="8" t="str">
        <f t="shared" si="9"/>
        <v/>
      </c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10"/>
      <c r="N599" s="10"/>
      <c r="O599" s="10"/>
      <c r="P599" s="10"/>
      <c r="Q599" s="10"/>
    </row>
    <row r="600" spans="1:17" x14ac:dyDescent="0.45">
      <c r="A600" s="8" t="str">
        <f t="shared" si="9"/>
        <v/>
      </c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10"/>
      <c r="N600" s="10"/>
      <c r="O600" s="10"/>
      <c r="P600" s="10"/>
      <c r="Q600" s="10"/>
    </row>
    <row r="601" spans="1:17" x14ac:dyDescent="0.45">
      <c r="A601" s="8" t="str">
        <f t="shared" si="9"/>
        <v/>
      </c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10"/>
      <c r="N601" s="10"/>
      <c r="O601" s="10"/>
      <c r="P601" s="10"/>
      <c r="Q601" s="10"/>
    </row>
    <row r="602" spans="1:17" x14ac:dyDescent="0.45">
      <c r="A602" s="8" t="str">
        <f t="shared" si="9"/>
        <v/>
      </c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10"/>
      <c r="N602" s="10"/>
      <c r="O602" s="10"/>
      <c r="P602" s="10"/>
      <c r="Q602" s="10"/>
    </row>
    <row r="603" spans="1:17" x14ac:dyDescent="0.45">
      <c r="A603" s="8" t="str">
        <f t="shared" si="9"/>
        <v/>
      </c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10"/>
      <c r="N603" s="10"/>
      <c r="O603" s="10"/>
      <c r="P603" s="10"/>
      <c r="Q603" s="10"/>
    </row>
    <row r="604" spans="1:17" x14ac:dyDescent="0.45">
      <c r="A604" s="8" t="str">
        <f t="shared" si="9"/>
        <v/>
      </c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10"/>
      <c r="N604" s="10"/>
      <c r="O604" s="10"/>
      <c r="P604" s="10"/>
      <c r="Q604" s="10"/>
    </row>
    <row r="605" spans="1:17" x14ac:dyDescent="0.45">
      <c r="A605" s="8" t="str">
        <f t="shared" si="9"/>
        <v/>
      </c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10"/>
      <c r="N605" s="10"/>
      <c r="O605" s="10"/>
      <c r="P605" s="10"/>
      <c r="Q605" s="10"/>
    </row>
    <row r="606" spans="1:17" x14ac:dyDescent="0.45">
      <c r="A606" s="8" t="str">
        <f t="shared" si="9"/>
        <v/>
      </c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10"/>
      <c r="N606" s="10"/>
      <c r="O606" s="10"/>
      <c r="P606" s="10"/>
      <c r="Q606" s="10"/>
    </row>
    <row r="607" spans="1:17" x14ac:dyDescent="0.45">
      <c r="A607" s="8" t="str">
        <f t="shared" si="9"/>
        <v/>
      </c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10"/>
      <c r="N607" s="10"/>
      <c r="O607" s="10"/>
      <c r="P607" s="10"/>
      <c r="Q607" s="10"/>
    </row>
    <row r="608" spans="1:17" x14ac:dyDescent="0.45">
      <c r="A608" s="8" t="str">
        <f t="shared" si="9"/>
        <v/>
      </c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10"/>
      <c r="N608" s="10"/>
      <c r="O608" s="10"/>
      <c r="P608" s="10"/>
      <c r="Q608" s="10"/>
    </row>
    <row r="609" spans="1:17" x14ac:dyDescent="0.45">
      <c r="A609" s="8" t="str">
        <f t="shared" si="9"/>
        <v/>
      </c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10"/>
      <c r="N609" s="10"/>
      <c r="O609" s="10"/>
      <c r="P609" s="10"/>
      <c r="Q609" s="10"/>
    </row>
    <row r="610" spans="1:17" x14ac:dyDescent="0.45">
      <c r="A610" s="8" t="str">
        <f t="shared" si="9"/>
        <v/>
      </c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10"/>
      <c r="N610" s="10"/>
      <c r="O610" s="10"/>
      <c r="P610" s="10"/>
      <c r="Q610" s="10"/>
    </row>
    <row r="611" spans="1:17" x14ac:dyDescent="0.45">
      <c r="A611" s="8" t="str">
        <f t="shared" si="9"/>
        <v/>
      </c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10"/>
      <c r="N611" s="10"/>
      <c r="O611" s="10"/>
      <c r="P611" s="10"/>
      <c r="Q611" s="10"/>
    </row>
    <row r="612" spans="1:17" x14ac:dyDescent="0.45">
      <c r="A612" s="8" t="str">
        <f t="shared" si="9"/>
        <v/>
      </c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10"/>
      <c r="N612" s="10"/>
      <c r="O612" s="10"/>
      <c r="P612" s="10"/>
      <c r="Q612" s="10"/>
    </row>
    <row r="613" spans="1:17" x14ac:dyDescent="0.45">
      <c r="A613" s="8" t="str">
        <f t="shared" si="9"/>
        <v/>
      </c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10"/>
      <c r="N613" s="10"/>
      <c r="O613" s="10"/>
      <c r="P613" s="10"/>
      <c r="Q613" s="10"/>
    </row>
    <row r="614" spans="1:17" x14ac:dyDescent="0.45">
      <c r="A614" s="8" t="str">
        <f t="shared" si="9"/>
        <v/>
      </c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10"/>
      <c r="N614" s="10"/>
      <c r="O614" s="10"/>
      <c r="P614" s="10"/>
      <c r="Q614" s="10"/>
    </row>
    <row r="615" spans="1:17" x14ac:dyDescent="0.45">
      <c r="A615" s="8" t="str">
        <f t="shared" si="9"/>
        <v/>
      </c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10"/>
      <c r="N615" s="10"/>
      <c r="O615" s="10"/>
      <c r="P615" s="10"/>
      <c r="Q615" s="10"/>
    </row>
    <row r="616" spans="1:17" x14ac:dyDescent="0.45">
      <c r="A616" s="8" t="str">
        <f t="shared" si="9"/>
        <v/>
      </c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10"/>
      <c r="N616" s="10"/>
      <c r="O616" s="10"/>
      <c r="P616" s="10"/>
      <c r="Q616" s="10"/>
    </row>
    <row r="617" spans="1:17" x14ac:dyDescent="0.45">
      <c r="A617" s="8" t="str">
        <f t="shared" si="9"/>
        <v/>
      </c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10"/>
      <c r="N617" s="10"/>
      <c r="O617" s="10"/>
      <c r="P617" s="10"/>
      <c r="Q617" s="10"/>
    </row>
    <row r="618" spans="1:17" x14ac:dyDescent="0.45">
      <c r="A618" s="8" t="str">
        <f t="shared" si="9"/>
        <v/>
      </c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10"/>
      <c r="N618" s="10"/>
      <c r="O618" s="10"/>
      <c r="P618" s="10"/>
      <c r="Q618" s="10"/>
    </row>
    <row r="619" spans="1:17" x14ac:dyDescent="0.45">
      <c r="A619" s="8" t="str">
        <f t="shared" si="9"/>
        <v/>
      </c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10"/>
      <c r="N619" s="10"/>
      <c r="O619" s="10"/>
      <c r="P619" s="10"/>
      <c r="Q619" s="10"/>
    </row>
    <row r="620" spans="1:17" x14ac:dyDescent="0.45">
      <c r="A620" s="8" t="str">
        <f t="shared" si="9"/>
        <v/>
      </c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10"/>
      <c r="N620" s="10"/>
      <c r="O620" s="10"/>
      <c r="P620" s="10"/>
      <c r="Q620" s="10"/>
    </row>
    <row r="621" spans="1:17" x14ac:dyDescent="0.45">
      <c r="A621" s="8" t="str">
        <f t="shared" si="9"/>
        <v/>
      </c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10"/>
      <c r="N621" s="10"/>
      <c r="O621" s="10"/>
      <c r="P621" s="10"/>
      <c r="Q621" s="10"/>
    </row>
    <row r="622" spans="1:17" x14ac:dyDescent="0.45">
      <c r="A622" s="8" t="str">
        <f t="shared" si="9"/>
        <v/>
      </c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10"/>
      <c r="N622" s="10"/>
      <c r="O622" s="10"/>
      <c r="P622" s="10"/>
      <c r="Q622" s="10"/>
    </row>
    <row r="623" spans="1:17" x14ac:dyDescent="0.45">
      <c r="A623" s="8" t="str">
        <f t="shared" si="9"/>
        <v/>
      </c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10"/>
      <c r="N623" s="10"/>
      <c r="O623" s="10"/>
      <c r="P623" s="10"/>
      <c r="Q623" s="10"/>
    </row>
    <row r="624" spans="1:17" x14ac:dyDescent="0.45">
      <c r="A624" s="8" t="str">
        <f t="shared" si="9"/>
        <v/>
      </c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10"/>
      <c r="N624" s="10"/>
      <c r="O624" s="10"/>
      <c r="P624" s="10"/>
      <c r="Q624" s="10"/>
    </row>
    <row r="625" spans="1:17" x14ac:dyDescent="0.45">
      <c r="A625" s="8" t="str">
        <f t="shared" si="9"/>
        <v/>
      </c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10"/>
      <c r="N625" s="10"/>
      <c r="O625" s="10"/>
      <c r="P625" s="10"/>
      <c r="Q625" s="10"/>
    </row>
    <row r="626" spans="1:17" x14ac:dyDescent="0.45">
      <c r="A626" s="8" t="str">
        <f t="shared" si="9"/>
        <v/>
      </c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10"/>
      <c r="N626" s="10"/>
      <c r="O626" s="10"/>
      <c r="P626" s="10"/>
      <c r="Q626" s="10"/>
    </row>
    <row r="627" spans="1:17" x14ac:dyDescent="0.45">
      <c r="A627" s="8" t="str">
        <f t="shared" si="9"/>
        <v/>
      </c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10"/>
      <c r="N627" s="10"/>
      <c r="O627" s="10"/>
      <c r="P627" s="10"/>
      <c r="Q627" s="10"/>
    </row>
    <row r="628" spans="1:17" x14ac:dyDescent="0.45">
      <c r="A628" s="8" t="str">
        <f t="shared" si="9"/>
        <v/>
      </c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10"/>
      <c r="N628" s="10"/>
      <c r="O628" s="10"/>
      <c r="P628" s="10"/>
      <c r="Q628" s="10"/>
    </row>
    <row r="629" spans="1:17" x14ac:dyDescent="0.45">
      <c r="A629" s="8" t="str">
        <f t="shared" si="9"/>
        <v/>
      </c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10"/>
      <c r="N629" s="10"/>
      <c r="O629" s="10"/>
      <c r="P629" s="10"/>
      <c r="Q629" s="10"/>
    </row>
    <row r="630" spans="1:17" x14ac:dyDescent="0.45">
      <c r="A630" s="8" t="str">
        <f t="shared" si="9"/>
        <v/>
      </c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10"/>
      <c r="N630" s="10"/>
      <c r="O630" s="10"/>
      <c r="P630" s="10"/>
      <c r="Q630" s="10"/>
    </row>
    <row r="631" spans="1:17" x14ac:dyDescent="0.45">
      <c r="A631" s="8" t="str">
        <f t="shared" si="9"/>
        <v/>
      </c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10"/>
      <c r="N631" s="10"/>
      <c r="O631" s="10"/>
      <c r="P631" s="10"/>
      <c r="Q631" s="10"/>
    </row>
    <row r="632" spans="1:17" x14ac:dyDescent="0.45">
      <c r="A632" s="8" t="str">
        <f t="shared" si="9"/>
        <v/>
      </c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10"/>
      <c r="N632" s="10"/>
      <c r="O632" s="10"/>
      <c r="P632" s="10"/>
      <c r="Q632" s="10"/>
    </row>
    <row r="633" spans="1:17" x14ac:dyDescent="0.45">
      <c r="A633" s="8" t="str">
        <f t="shared" si="9"/>
        <v/>
      </c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10"/>
      <c r="N633" s="10"/>
      <c r="O633" s="10"/>
      <c r="P633" s="10"/>
      <c r="Q633" s="10"/>
    </row>
    <row r="634" spans="1:17" x14ac:dyDescent="0.45">
      <c r="A634" s="8" t="str">
        <f t="shared" si="9"/>
        <v/>
      </c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10"/>
      <c r="N634" s="10"/>
      <c r="O634" s="10"/>
      <c r="P634" s="10"/>
      <c r="Q634" s="10"/>
    </row>
    <row r="635" spans="1:17" x14ac:dyDescent="0.45">
      <c r="A635" s="8" t="str">
        <f t="shared" si="9"/>
        <v/>
      </c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10"/>
      <c r="N635" s="10"/>
      <c r="O635" s="10"/>
      <c r="P635" s="10"/>
      <c r="Q635" s="10"/>
    </row>
    <row r="636" spans="1:17" x14ac:dyDescent="0.45">
      <c r="A636" s="8" t="str">
        <f t="shared" si="9"/>
        <v/>
      </c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10"/>
      <c r="N636" s="10"/>
      <c r="O636" s="10"/>
      <c r="P636" s="10"/>
      <c r="Q636" s="10"/>
    </row>
    <row r="637" spans="1:17" x14ac:dyDescent="0.45">
      <c r="A637" s="8" t="str">
        <f t="shared" si="9"/>
        <v/>
      </c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10"/>
      <c r="N637" s="10"/>
      <c r="O637" s="10"/>
      <c r="P637" s="10"/>
      <c r="Q637" s="10"/>
    </row>
    <row r="638" spans="1:17" x14ac:dyDescent="0.45">
      <c r="A638" s="8" t="str">
        <f t="shared" si="9"/>
        <v/>
      </c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10"/>
      <c r="N638" s="10"/>
      <c r="O638" s="10"/>
      <c r="P638" s="10"/>
      <c r="Q638" s="10"/>
    </row>
    <row r="639" spans="1:17" x14ac:dyDescent="0.45">
      <c r="A639" s="8" t="str">
        <f t="shared" si="9"/>
        <v/>
      </c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10"/>
      <c r="N639" s="10"/>
      <c r="O639" s="10"/>
      <c r="P639" s="10"/>
      <c r="Q639" s="10"/>
    </row>
    <row r="640" spans="1:17" x14ac:dyDescent="0.45">
      <c r="A640" s="8" t="str">
        <f t="shared" si="9"/>
        <v/>
      </c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10"/>
      <c r="N640" s="10"/>
      <c r="O640" s="10"/>
      <c r="P640" s="10"/>
      <c r="Q640" s="10"/>
    </row>
    <row r="641" spans="1:17" x14ac:dyDescent="0.45">
      <c r="A641" s="8" t="str">
        <f t="shared" si="9"/>
        <v/>
      </c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10"/>
      <c r="N641" s="10"/>
      <c r="O641" s="10"/>
      <c r="P641" s="10"/>
      <c r="Q641" s="10"/>
    </row>
    <row r="642" spans="1:17" x14ac:dyDescent="0.45">
      <c r="A642" s="8" t="str">
        <f t="shared" si="9"/>
        <v/>
      </c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10"/>
      <c r="N642" s="10"/>
      <c r="O642" s="10"/>
      <c r="P642" s="10"/>
      <c r="Q642" s="10"/>
    </row>
    <row r="643" spans="1:17" x14ac:dyDescent="0.45">
      <c r="A643" s="8" t="str">
        <f t="shared" si="9"/>
        <v/>
      </c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10"/>
      <c r="N643" s="10"/>
      <c r="O643" s="10"/>
      <c r="P643" s="10"/>
      <c r="Q643" s="10"/>
    </row>
    <row r="644" spans="1:17" x14ac:dyDescent="0.45">
      <c r="A644" s="8" t="str">
        <f t="shared" si="9"/>
        <v/>
      </c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10"/>
      <c r="N644" s="10"/>
      <c r="O644" s="10"/>
      <c r="P644" s="10"/>
      <c r="Q644" s="10"/>
    </row>
    <row r="645" spans="1:17" x14ac:dyDescent="0.45">
      <c r="A645" s="8" t="str">
        <f t="shared" si="9"/>
        <v/>
      </c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10"/>
      <c r="N645" s="10"/>
      <c r="O645" s="10"/>
      <c r="P645" s="10"/>
      <c r="Q645" s="10"/>
    </row>
    <row r="646" spans="1:17" x14ac:dyDescent="0.45">
      <c r="A646" s="8" t="str">
        <f t="shared" si="9"/>
        <v/>
      </c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10"/>
      <c r="N646" s="10"/>
      <c r="O646" s="10"/>
      <c r="P646" s="10"/>
      <c r="Q646" s="10"/>
    </row>
    <row r="647" spans="1:17" x14ac:dyDescent="0.45">
      <c r="A647" s="8" t="str">
        <f t="shared" ref="A647:A710" si="10">IF($B647="","",ROW($A647)-(ROW($A$5)))</f>
        <v/>
      </c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10"/>
      <c r="N647" s="10"/>
      <c r="O647" s="10"/>
      <c r="P647" s="10"/>
      <c r="Q647" s="10"/>
    </row>
    <row r="648" spans="1:17" x14ac:dyDescent="0.45">
      <c r="A648" s="8" t="str">
        <f t="shared" si="10"/>
        <v/>
      </c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10"/>
      <c r="N648" s="10"/>
      <c r="O648" s="10"/>
      <c r="P648" s="10"/>
      <c r="Q648" s="10"/>
    </row>
    <row r="649" spans="1:17" x14ac:dyDescent="0.45">
      <c r="A649" s="8" t="str">
        <f t="shared" si="10"/>
        <v/>
      </c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10"/>
      <c r="N649" s="10"/>
      <c r="O649" s="10"/>
      <c r="P649" s="10"/>
      <c r="Q649" s="10"/>
    </row>
    <row r="650" spans="1:17" x14ac:dyDescent="0.45">
      <c r="A650" s="8" t="str">
        <f t="shared" si="10"/>
        <v/>
      </c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10"/>
      <c r="N650" s="10"/>
      <c r="O650" s="10"/>
      <c r="P650" s="10"/>
      <c r="Q650" s="10"/>
    </row>
    <row r="651" spans="1:17" x14ac:dyDescent="0.45">
      <c r="A651" s="8" t="str">
        <f t="shared" si="10"/>
        <v/>
      </c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10"/>
      <c r="N651" s="10"/>
      <c r="O651" s="10"/>
      <c r="P651" s="10"/>
      <c r="Q651" s="10"/>
    </row>
    <row r="652" spans="1:17" x14ac:dyDescent="0.45">
      <c r="A652" s="8" t="str">
        <f t="shared" si="10"/>
        <v/>
      </c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10"/>
      <c r="N652" s="10"/>
      <c r="O652" s="10"/>
      <c r="P652" s="10"/>
      <c r="Q652" s="10"/>
    </row>
    <row r="653" spans="1:17" x14ac:dyDescent="0.45">
      <c r="A653" s="8" t="str">
        <f t="shared" si="10"/>
        <v/>
      </c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10"/>
      <c r="N653" s="10"/>
      <c r="O653" s="10"/>
      <c r="P653" s="10"/>
      <c r="Q653" s="10"/>
    </row>
    <row r="654" spans="1:17" x14ac:dyDescent="0.45">
      <c r="A654" s="8" t="str">
        <f t="shared" si="10"/>
        <v/>
      </c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10"/>
      <c r="N654" s="10"/>
      <c r="O654" s="10"/>
      <c r="P654" s="10"/>
      <c r="Q654" s="10"/>
    </row>
    <row r="655" spans="1:17" x14ac:dyDescent="0.45">
      <c r="A655" s="8" t="str">
        <f t="shared" si="10"/>
        <v/>
      </c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10"/>
      <c r="N655" s="10"/>
      <c r="O655" s="10"/>
      <c r="P655" s="10"/>
      <c r="Q655" s="10"/>
    </row>
    <row r="656" spans="1:17" x14ac:dyDescent="0.45">
      <c r="A656" s="8" t="str">
        <f t="shared" si="10"/>
        <v/>
      </c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10"/>
      <c r="N656" s="10"/>
      <c r="O656" s="10"/>
      <c r="P656" s="10"/>
      <c r="Q656" s="10"/>
    </row>
    <row r="657" spans="1:17" x14ac:dyDescent="0.45">
      <c r="A657" s="8" t="str">
        <f t="shared" si="10"/>
        <v/>
      </c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10"/>
      <c r="N657" s="10"/>
      <c r="O657" s="10"/>
      <c r="P657" s="10"/>
      <c r="Q657" s="10"/>
    </row>
    <row r="658" spans="1:17" x14ac:dyDescent="0.45">
      <c r="A658" s="8" t="str">
        <f t="shared" si="10"/>
        <v/>
      </c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10"/>
      <c r="N658" s="10"/>
      <c r="O658" s="10"/>
      <c r="P658" s="10"/>
      <c r="Q658" s="10"/>
    </row>
    <row r="659" spans="1:17" x14ac:dyDescent="0.45">
      <c r="A659" s="8" t="str">
        <f t="shared" si="10"/>
        <v/>
      </c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10"/>
      <c r="N659" s="10"/>
      <c r="O659" s="10"/>
      <c r="P659" s="10"/>
      <c r="Q659" s="10"/>
    </row>
    <row r="660" spans="1:17" x14ac:dyDescent="0.45">
      <c r="A660" s="8" t="str">
        <f t="shared" si="10"/>
        <v/>
      </c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10"/>
      <c r="N660" s="10"/>
      <c r="O660" s="10"/>
      <c r="P660" s="10"/>
      <c r="Q660" s="10"/>
    </row>
    <row r="661" spans="1:17" x14ac:dyDescent="0.45">
      <c r="A661" s="8" t="str">
        <f t="shared" si="10"/>
        <v/>
      </c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10"/>
      <c r="N661" s="10"/>
      <c r="O661" s="10"/>
      <c r="P661" s="10"/>
      <c r="Q661" s="10"/>
    </row>
    <row r="662" spans="1:17" x14ac:dyDescent="0.45">
      <c r="A662" s="8" t="str">
        <f t="shared" si="10"/>
        <v/>
      </c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10"/>
      <c r="N662" s="10"/>
      <c r="O662" s="10"/>
      <c r="P662" s="10"/>
      <c r="Q662" s="10"/>
    </row>
    <row r="663" spans="1:17" x14ac:dyDescent="0.45">
      <c r="A663" s="8" t="str">
        <f t="shared" si="10"/>
        <v/>
      </c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10"/>
      <c r="N663" s="10"/>
      <c r="O663" s="10"/>
      <c r="P663" s="10"/>
      <c r="Q663" s="10"/>
    </row>
    <row r="664" spans="1:17" x14ac:dyDescent="0.45">
      <c r="A664" s="8" t="str">
        <f t="shared" si="10"/>
        <v/>
      </c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10"/>
      <c r="N664" s="10"/>
      <c r="O664" s="10"/>
      <c r="P664" s="10"/>
      <c r="Q664" s="10"/>
    </row>
    <row r="665" spans="1:17" x14ac:dyDescent="0.45">
      <c r="A665" s="8" t="str">
        <f t="shared" si="10"/>
        <v/>
      </c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10"/>
      <c r="N665" s="10"/>
      <c r="O665" s="10"/>
      <c r="P665" s="10"/>
      <c r="Q665" s="10"/>
    </row>
    <row r="666" spans="1:17" x14ac:dyDescent="0.45">
      <c r="A666" s="8" t="str">
        <f t="shared" si="10"/>
        <v/>
      </c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10"/>
      <c r="N666" s="10"/>
      <c r="O666" s="10"/>
      <c r="P666" s="10"/>
      <c r="Q666" s="10"/>
    </row>
    <row r="667" spans="1:17" x14ac:dyDescent="0.45">
      <c r="A667" s="8" t="str">
        <f t="shared" si="10"/>
        <v/>
      </c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10"/>
      <c r="N667" s="10"/>
      <c r="O667" s="10"/>
      <c r="P667" s="10"/>
      <c r="Q667" s="10"/>
    </row>
    <row r="668" spans="1:17" x14ac:dyDescent="0.45">
      <c r="A668" s="8" t="str">
        <f t="shared" si="10"/>
        <v/>
      </c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10"/>
      <c r="N668" s="10"/>
      <c r="O668" s="10"/>
      <c r="P668" s="10"/>
      <c r="Q668" s="10"/>
    </row>
    <row r="669" spans="1:17" x14ac:dyDescent="0.45">
      <c r="A669" s="8" t="str">
        <f t="shared" si="10"/>
        <v/>
      </c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10"/>
      <c r="N669" s="10"/>
      <c r="O669" s="10"/>
      <c r="P669" s="10"/>
      <c r="Q669" s="10"/>
    </row>
    <row r="670" spans="1:17" x14ac:dyDescent="0.45">
      <c r="A670" s="8" t="str">
        <f t="shared" si="10"/>
        <v/>
      </c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10"/>
      <c r="N670" s="10"/>
      <c r="O670" s="10"/>
      <c r="P670" s="10"/>
      <c r="Q670" s="10"/>
    </row>
    <row r="671" spans="1:17" x14ac:dyDescent="0.45">
      <c r="A671" s="8" t="str">
        <f t="shared" si="10"/>
        <v/>
      </c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10"/>
      <c r="N671" s="10"/>
      <c r="O671" s="10"/>
      <c r="P671" s="10"/>
      <c r="Q671" s="10"/>
    </row>
    <row r="672" spans="1:17" x14ac:dyDescent="0.45">
      <c r="A672" s="8" t="str">
        <f t="shared" si="10"/>
        <v/>
      </c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10"/>
      <c r="N672" s="10"/>
      <c r="O672" s="10"/>
      <c r="P672" s="10"/>
      <c r="Q672" s="10"/>
    </row>
    <row r="673" spans="1:17" x14ac:dyDescent="0.45">
      <c r="A673" s="8" t="str">
        <f t="shared" si="10"/>
        <v/>
      </c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10"/>
      <c r="N673" s="10"/>
      <c r="O673" s="10"/>
      <c r="P673" s="10"/>
      <c r="Q673" s="10"/>
    </row>
    <row r="674" spans="1:17" x14ac:dyDescent="0.45">
      <c r="A674" s="8" t="str">
        <f t="shared" si="10"/>
        <v/>
      </c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10"/>
      <c r="N674" s="10"/>
      <c r="O674" s="10"/>
      <c r="P674" s="10"/>
      <c r="Q674" s="10"/>
    </row>
    <row r="675" spans="1:17" x14ac:dyDescent="0.45">
      <c r="A675" s="8" t="str">
        <f t="shared" si="10"/>
        <v/>
      </c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10"/>
      <c r="N675" s="10"/>
      <c r="O675" s="10"/>
      <c r="P675" s="10"/>
      <c r="Q675" s="10"/>
    </row>
    <row r="676" spans="1:17" x14ac:dyDescent="0.45">
      <c r="A676" s="8" t="str">
        <f t="shared" si="10"/>
        <v/>
      </c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10"/>
      <c r="N676" s="10"/>
      <c r="O676" s="10"/>
      <c r="P676" s="10"/>
      <c r="Q676" s="10"/>
    </row>
    <row r="677" spans="1:17" x14ac:dyDescent="0.45">
      <c r="A677" s="8" t="str">
        <f t="shared" si="10"/>
        <v/>
      </c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10"/>
      <c r="N677" s="10"/>
      <c r="O677" s="10"/>
      <c r="P677" s="10"/>
      <c r="Q677" s="10"/>
    </row>
    <row r="678" spans="1:17" x14ac:dyDescent="0.45">
      <c r="A678" s="8" t="str">
        <f t="shared" si="10"/>
        <v/>
      </c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10"/>
      <c r="N678" s="10"/>
      <c r="O678" s="10"/>
      <c r="P678" s="10"/>
      <c r="Q678" s="10"/>
    </row>
    <row r="679" spans="1:17" x14ac:dyDescent="0.45">
      <c r="A679" s="8" t="str">
        <f t="shared" si="10"/>
        <v/>
      </c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10"/>
      <c r="N679" s="10"/>
      <c r="O679" s="10"/>
      <c r="P679" s="10"/>
      <c r="Q679" s="10"/>
    </row>
    <row r="680" spans="1:17" x14ac:dyDescent="0.45">
      <c r="A680" s="8" t="str">
        <f t="shared" si="10"/>
        <v/>
      </c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10"/>
      <c r="N680" s="10"/>
      <c r="O680" s="10"/>
      <c r="P680" s="10"/>
      <c r="Q680" s="10"/>
    </row>
    <row r="681" spans="1:17" x14ac:dyDescent="0.45">
      <c r="A681" s="8" t="str">
        <f t="shared" si="10"/>
        <v/>
      </c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10"/>
      <c r="N681" s="10"/>
      <c r="O681" s="10"/>
      <c r="P681" s="10"/>
      <c r="Q681" s="10"/>
    </row>
    <row r="682" spans="1:17" x14ac:dyDescent="0.45">
      <c r="A682" s="8" t="str">
        <f t="shared" si="10"/>
        <v/>
      </c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10"/>
      <c r="N682" s="10"/>
      <c r="O682" s="10"/>
      <c r="P682" s="10"/>
      <c r="Q682" s="10"/>
    </row>
    <row r="683" spans="1:17" x14ac:dyDescent="0.45">
      <c r="A683" s="8" t="str">
        <f t="shared" si="10"/>
        <v/>
      </c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10"/>
      <c r="N683" s="10"/>
      <c r="O683" s="10"/>
      <c r="P683" s="10"/>
      <c r="Q683" s="10"/>
    </row>
    <row r="684" spans="1:17" x14ac:dyDescent="0.45">
      <c r="A684" s="8" t="str">
        <f t="shared" si="10"/>
        <v/>
      </c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10"/>
      <c r="N684" s="10"/>
      <c r="O684" s="10"/>
      <c r="P684" s="10"/>
      <c r="Q684" s="10"/>
    </row>
    <row r="685" spans="1:17" x14ac:dyDescent="0.45">
      <c r="A685" s="8" t="str">
        <f t="shared" si="10"/>
        <v/>
      </c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10"/>
      <c r="N685" s="10"/>
      <c r="O685" s="10"/>
      <c r="P685" s="10"/>
      <c r="Q685" s="10"/>
    </row>
    <row r="686" spans="1:17" x14ac:dyDescent="0.45">
      <c r="A686" s="8" t="str">
        <f t="shared" si="10"/>
        <v/>
      </c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10"/>
      <c r="N686" s="10"/>
      <c r="O686" s="10"/>
      <c r="P686" s="10"/>
      <c r="Q686" s="10"/>
    </row>
    <row r="687" spans="1:17" x14ac:dyDescent="0.45">
      <c r="A687" s="8" t="str">
        <f t="shared" si="10"/>
        <v/>
      </c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10"/>
      <c r="N687" s="10"/>
      <c r="O687" s="10"/>
      <c r="P687" s="10"/>
      <c r="Q687" s="10"/>
    </row>
    <row r="688" spans="1:17" x14ac:dyDescent="0.45">
      <c r="A688" s="8" t="str">
        <f t="shared" si="10"/>
        <v/>
      </c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10"/>
      <c r="N688" s="10"/>
      <c r="O688" s="10"/>
      <c r="P688" s="10"/>
      <c r="Q688" s="10"/>
    </row>
    <row r="689" spans="1:17" x14ac:dyDescent="0.45">
      <c r="A689" s="8" t="str">
        <f t="shared" si="10"/>
        <v/>
      </c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10"/>
      <c r="N689" s="10"/>
      <c r="O689" s="10"/>
      <c r="P689" s="10"/>
      <c r="Q689" s="10"/>
    </row>
    <row r="690" spans="1:17" x14ac:dyDescent="0.45">
      <c r="A690" s="8" t="str">
        <f t="shared" si="10"/>
        <v/>
      </c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10"/>
      <c r="N690" s="10"/>
      <c r="O690" s="10"/>
      <c r="P690" s="10"/>
      <c r="Q690" s="10"/>
    </row>
    <row r="691" spans="1:17" x14ac:dyDescent="0.45">
      <c r="A691" s="8" t="str">
        <f t="shared" si="10"/>
        <v/>
      </c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10"/>
      <c r="N691" s="10"/>
      <c r="O691" s="10"/>
      <c r="P691" s="10"/>
      <c r="Q691" s="10"/>
    </row>
    <row r="692" spans="1:17" x14ac:dyDescent="0.45">
      <c r="A692" s="8" t="str">
        <f t="shared" si="10"/>
        <v/>
      </c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10"/>
      <c r="N692" s="10"/>
      <c r="O692" s="10"/>
      <c r="P692" s="10"/>
      <c r="Q692" s="10"/>
    </row>
    <row r="693" spans="1:17" x14ac:dyDescent="0.45">
      <c r="A693" s="8" t="str">
        <f t="shared" si="10"/>
        <v/>
      </c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10"/>
      <c r="N693" s="10"/>
      <c r="O693" s="10"/>
      <c r="P693" s="10"/>
      <c r="Q693" s="10"/>
    </row>
    <row r="694" spans="1:17" x14ac:dyDescent="0.45">
      <c r="A694" s="8" t="str">
        <f t="shared" si="10"/>
        <v/>
      </c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10"/>
      <c r="N694" s="10"/>
      <c r="O694" s="10"/>
      <c r="P694" s="10"/>
      <c r="Q694" s="10"/>
    </row>
    <row r="695" spans="1:17" x14ac:dyDescent="0.45">
      <c r="A695" s="8" t="str">
        <f t="shared" si="10"/>
        <v/>
      </c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10"/>
      <c r="N695" s="10"/>
      <c r="O695" s="10"/>
      <c r="P695" s="10"/>
      <c r="Q695" s="10"/>
    </row>
    <row r="696" spans="1:17" x14ac:dyDescent="0.45">
      <c r="A696" s="8" t="str">
        <f t="shared" si="10"/>
        <v/>
      </c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10"/>
      <c r="N696" s="10"/>
      <c r="O696" s="10"/>
      <c r="P696" s="10"/>
      <c r="Q696" s="10"/>
    </row>
    <row r="697" spans="1:17" x14ac:dyDescent="0.45">
      <c r="A697" s="8" t="str">
        <f t="shared" si="10"/>
        <v/>
      </c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10"/>
      <c r="N697" s="10"/>
      <c r="O697" s="10"/>
      <c r="P697" s="10"/>
      <c r="Q697" s="10"/>
    </row>
    <row r="698" spans="1:17" x14ac:dyDescent="0.45">
      <c r="A698" s="8" t="str">
        <f t="shared" si="10"/>
        <v/>
      </c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10"/>
      <c r="N698" s="10"/>
      <c r="O698" s="10"/>
      <c r="P698" s="10"/>
      <c r="Q698" s="10"/>
    </row>
    <row r="699" spans="1:17" x14ac:dyDescent="0.45">
      <c r="A699" s="8" t="str">
        <f t="shared" si="10"/>
        <v/>
      </c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10"/>
      <c r="N699" s="10"/>
      <c r="O699" s="10"/>
      <c r="P699" s="10"/>
      <c r="Q699" s="10"/>
    </row>
    <row r="700" spans="1:17" x14ac:dyDescent="0.45">
      <c r="A700" s="8" t="str">
        <f t="shared" si="10"/>
        <v/>
      </c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10"/>
      <c r="N700" s="10"/>
      <c r="O700" s="10"/>
      <c r="P700" s="10"/>
      <c r="Q700" s="10"/>
    </row>
    <row r="701" spans="1:17" x14ac:dyDescent="0.45">
      <c r="A701" s="8" t="str">
        <f t="shared" si="10"/>
        <v/>
      </c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10"/>
      <c r="N701" s="10"/>
      <c r="O701" s="10"/>
      <c r="P701" s="10"/>
      <c r="Q701" s="10"/>
    </row>
    <row r="702" spans="1:17" x14ac:dyDescent="0.45">
      <c r="A702" s="8" t="str">
        <f t="shared" si="10"/>
        <v/>
      </c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10"/>
      <c r="N702" s="10"/>
      <c r="O702" s="10"/>
      <c r="P702" s="10"/>
      <c r="Q702" s="10"/>
    </row>
    <row r="703" spans="1:17" x14ac:dyDescent="0.45">
      <c r="A703" s="8" t="str">
        <f t="shared" si="10"/>
        <v/>
      </c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10"/>
      <c r="N703" s="10"/>
      <c r="O703" s="10"/>
      <c r="P703" s="10"/>
      <c r="Q703" s="10"/>
    </row>
    <row r="704" spans="1:17" x14ac:dyDescent="0.45">
      <c r="A704" s="8" t="str">
        <f t="shared" si="10"/>
        <v/>
      </c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10"/>
      <c r="N704" s="10"/>
      <c r="O704" s="10"/>
      <c r="P704" s="10"/>
      <c r="Q704" s="10"/>
    </row>
    <row r="705" spans="1:17" x14ac:dyDescent="0.45">
      <c r="A705" s="8" t="str">
        <f t="shared" si="10"/>
        <v/>
      </c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10"/>
      <c r="N705" s="10"/>
      <c r="O705" s="10"/>
      <c r="P705" s="10"/>
      <c r="Q705" s="10"/>
    </row>
    <row r="706" spans="1:17" x14ac:dyDescent="0.45">
      <c r="A706" s="8" t="str">
        <f t="shared" si="10"/>
        <v/>
      </c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10"/>
      <c r="N706" s="10"/>
      <c r="O706" s="10"/>
      <c r="P706" s="10"/>
      <c r="Q706" s="10"/>
    </row>
    <row r="707" spans="1:17" x14ac:dyDescent="0.45">
      <c r="A707" s="8" t="str">
        <f t="shared" si="10"/>
        <v/>
      </c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10"/>
      <c r="N707" s="10"/>
      <c r="O707" s="10"/>
      <c r="P707" s="10"/>
      <c r="Q707" s="10"/>
    </row>
    <row r="708" spans="1:17" x14ac:dyDescent="0.45">
      <c r="A708" s="8" t="str">
        <f t="shared" si="10"/>
        <v/>
      </c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10"/>
      <c r="N708" s="10"/>
      <c r="O708" s="10"/>
      <c r="P708" s="10"/>
      <c r="Q708" s="10"/>
    </row>
    <row r="709" spans="1:17" x14ac:dyDescent="0.45">
      <c r="A709" s="8" t="str">
        <f t="shared" si="10"/>
        <v/>
      </c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10"/>
      <c r="N709" s="10"/>
      <c r="O709" s="10"/>
      <c r="P709" s="10"/>
      <c r="Q709" s="10"/>
    </row>
    <row r="710" spans="1:17" x14ac:dyDescent="0.45">
      <c r="A710" s="8" t="str">
        <f t="shared" si="10"/>
        <v/>
      </c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10"/>
      <c r="N710" s="10"/>
      <c r="O710" s="10"/>
      <c r="P710" s="10"/>
      <c r="Q710" s="10"/>
    </row>
    <row r="711" spans="1:17" x14ac:dyDescent="0.45">
      <c r="A711" s="8" t="str">
        <f t="shared" ref="A711:A774" si="11">IF($B711="","",ROW($A711)-(ROW($A$5)))</f>
        <v/>
      </c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10"/>
      <c r="N711" s="10"/>
      <c r="O711" s="10"/>
      <c r="P711" s="10"/>
      <c r="Q711" s="10"/>
    </row>
    <row r="712" spans="1:17" x14ac:dyDescent="0.45">
      <c r="A712" s="8" t="str">
        <f t="shared" si="11"/>
        <v/>
      </c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10"/>
      <c r="N712" s="10"/>
      <c r="O712" s="10"/>
      <c r="P712" s="10"/>
      <c r="Q712" s="10"/>
    </row>
    <row r="713" spans="1:17" x14ac:dyDescent="0.45">
      <c r="A713" s="8" t="str">
        <f t="shared" si="11"/>
        <v/>
      </c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10"/>
      <c r="N713" s="10"/>
      <c r="O713" s="10"/>
      <c r="P713" s="10"/>
      <c r="Q713" s="10"/>
    </row>
    <row r="714" spans="1:17" x14ac:dyDescent="0.45">
      <c r="A714" s="8" t="str">
        <f t="shared" si="11"/>
        <v/>
      </c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10"/>
      <c r="N714" s="10"/>
      <c r="O714" s="10"/>
      <c r="P714" s="10"/>
      <c r="Q714" s="10"/>
    </row>
    <row r="715" spans="1:17" x14ac:dyDescent="0.45">
      <c r="A715" s="8" t="str">
        <f t="shared" si="11"/>
        <v/>
      </c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10"/>
      <c r="N715" s="10"/>
      <c r="O715" s="10"/>
      <c r="P715" s="10"/>
      <c r="Q715" s="10"/>
    </row>
    <row r="716" spans="1:17" x14ac:dyDescent="0.45">
      <c r="A716" s="8" t="str">
        <f t="shared" si="11"/>
        <v/>
      </c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10"/>
      <c r="N716" s="10"/>
      <c r="O716" s="10"/>
      <c r="P716" s="10"/>
      <c r="Q716" s="10"/>
    </row>
    <row r="717" spans="1:17" x14ac:dyDescent="0.45">
      <c r="A717" s="8" t="str">
        <f t="shared" si="11"/>
        <v/>
      </c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10"/>
      <c r="N717" s="10"/>
      <c r="O717" s="10"/>
      <c r="P717" s="10"/>
      <c r="Q717" s="10"/>
    </row>
    <row r="718" spans="1:17" x14ac:dyDescent="0.45">
      <c r="A718" s="8" t="str">
        <f t="shared" si="11"/>
        <v/>
      </c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10"/>
      <c r="N718" s="10"/>
      <c r="O718" s="10"/>
      <c r="P718" s="10"/>
      <c r="Q718" s="10"/>
    </row>
    <row r="719" spans="1:17" x14ac:dyDescent="0.45">
      <c r="A719" s="8" t="str">
        <f t="shared" si="11"/>
        <v/>
      </c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10"/>
      <c r="N719" s="10"/>
      <c r="O719" s="10"/>
      <c r="P719" s="10"/>
      <c r="Q719" s="10"/>
    </row>
    <row r="720" spans="1:17" x14ac:dyDescent="0.45">
      <c r="A720" s="8" t="str">
        <f t="shared" si="11"/>
        <v/>
      </c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10"/>
      <c r="N720" s="10"/>
      <c r="O720" s="10"/>
      <c r="P720" s="10"/>
      <c r="Q720" s="10"/>
    </row>
    <row r="721" spans="1:17" x14ac:dyDescent="0.45">
      <c r="A721" s="8" t="str">
        <f t="shared" si="11"/>
        <v/>
      </c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10"/>
      <c r="N721" s="10"/>
      <c r="O721" s="10"/>
      <c r="P721" s="10"/>
      <c r="Q721" s="10"/>
    </row>
    <row r="722" spans="1:17" x14ac:dyDescent="0.45">
      <c r="A722" s="8" t="str">
        <f t="shared" si="11"/>
        <v/>
      </c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10"/>
      <c r="N722" s="10"/>
      <c r="O722" s="10"/>
      <c r="P722" s="10"/>
      <c r="Q722" s="10"/>
    </row>
    <row r="723" spans="1:17" x14ac:dyDescent="0.45">
      <c r="A723" s="8" t="str">
        <f t="shared" si="11"/>
        <v/>
      </c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10"/>
      <c r="N723" s="10"/>
      <c r="O723" s="10"/>
      <c r="P723" s="10"/>
      <c r="Q723" s="10"/>
    </row>
    <row r="724" spans="1:17" x14ac:dyDescent="0.45">
      <c r="A724" s="8" t="str">
        <f t="shared" si="11"/>
        <v/>
      </c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10"/>
      <c r="N724" s="10"/>
      <c r="O724" s="10"/>
      <c r="P724" s="10"/>
      <c r="Q724" s="10"/>
    </row>
    <row r="725" spans="1:17" x14ac:dyDescent="0.45">
      <c r="A725" s="8" t="str">
        <f t="shared" si="11"/>
        <v/>
      </c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10"/>
      <c r="N725" s="10"/>
      <c r="O725" s="10"/>
      <c r="P725" s="10"/>
      <c r="Q725" s="10"/>
    </row>
    <row r="726" spans="1:17" x14ac:dyDescent="0.45">
      <c r="A726" s="8" t="str">
        <f t="shared" si="11"/>
        <v/>
      </c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10"/>
      <c r="N726" s="10"/>
      <c r="O726" s="10"/>
      <c r="P726" s="10"/>
      <c r="Q726" s="10"/>
    </row>
    <row r="727" spans="1:17" x14ac:dyDescent="0.45">
      <c r="A727" s="8" t="str">
        <f t="shared" si="11"/>
        <v/>
      </c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10"/>
      <c r="N727" s="10"/>
      <c r="O727" s="10"/>
      <c r="P727" s="10"/>
      <c r="Q727" s="10"/>
    </row>
    <row r="728" spans="1:17" x14ac:dyDescent="0.45">
      <c r="A728" s="8" t="str">
        <f t="shared" si="11"/>
        <v/>
      </c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10"/>
      <c r="N728" s="10"/>
      <c r="O728" s="10"/>
      <c r="P728" s="10"/>
      <c r="Q728" s="10"/>
    </row>
    <row r="729" spans="1:17" x14ac:dyDescent="0.45">
      <c r="A729" s="8" t="str">
        <f t="shared" si="11"/>
        <v/>
      </c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10"/>
      <c r="N729" s="10"/>
      <c r="O729" s="10"/>
      <c r="P729" s="10"/>
      <c r="Q729" s="10"/>
    </row>
    <row r="730" spans="1:17" x14ac:dyDescent="0.45">
      <c r="A730" s="8" t="str">
        <f t="shared" si="11"/>
        <v/>
      </c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10"/>
      <c r="N730" s="10"/>
      <c r="O730" s="10"/>
      <c r="P730" s="10"/>
      <c r="Q730" s="10"/>
    </row>
    <row r="731" spans="1:17" x14ac:dyDescent="0.45">
      <c r="A731" s="8" t="str">
        <f t="shared" si="11"/>
        <v/>
      </c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10"/>
      <c r="N731" s="10"/>
      <c r="O731" s="10"/>
      <c r="P731" s="10"/>
      <c r="Q731" s="10"/>
    </row>
    <row r="732" spans="1:17" x14ac:dyDescent="0.45">
      <c r="A732" s="8" t="str">
        <f t="shared" si="11"/>
        <v/>
      </c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10"/>
      <c r="N732" s="10"/>
      <c r="O732" s="10"/>
      <c r="P732" s="10"/>
      <c r="Q732" s="10"/>
    </row>
    <row r="733" spans="1:17" x14ac:dyDescent="0.45">
      <c r="A733" s="8" t="str">
        <f t="shared" si="11"/>
        <v/>
      </c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10"/>
      <c r="N733" s="10"/>
      <c r="O733" s="10"/>
      <c r="P733" s="10"/>
      <c r="Q733" s="10"/>
    </row>
    <row r="734" spans="1:17" x14ac:dyDescent="0.45">
      <c r="A734" s="8" t="str">
        <f t="shared" si="11"/>
        <v/>
      </c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10"/>
      <c r="N734" s="10"/>
      <c r="O734" s="10"/>
      <c r="P734" s="10"/>
      <c r="Q734" s="10"/>
    </row>
    <row r="735" spans="1:17" x14ac:dyDescent="0.45">
      <c r="A735" s="8" t="str">
        <f t="shared" si="11"/>
        <v/>
      </c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10"/>
      <c r="N735" s="10"/>
      <c r="O735" s="10"/>
      <c r="P735" s="10"/>
      <c r="Q735" s="10"/>
    </row>
    <row r="736" spans="1:17" x14ac:dyDescent="0.45">
      <c r="A736" s="8" t="str">
        <f t="shared" si="11"/>
        <v/>
      </c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10"/>
      <c r="N736" s="10"/>
      <c r="O736" s="10"/>
      <c r="P736" s="10"/>
      <c r="Q736" s="10"/>
    </row>
    <row r="737" spans="1:17" x14ac:dyDescent="0.45">
      <c r="A737" s="8" t="str">
        <f t="shared" si="11"/>
        <v/>
      </c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10"/>
      <c r="N737" s="10"/>
      <c r="O737" s="10"/>
      <c r="P737" s="10"/>
      <c r="Q737" s="10"/>
    </row>
    <row r="738" spans="1:17" x14ac:dyDescent="0.45">
      <c r="A738" s="8" t="str">
        <f t="shared" si="11"/>
        <v/>
      </c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10"/>
      <c r="N738" s="10"/>
      <c r="O738" s="10"/>
      <c r="P738" s="10"/>
      <c r="Q738" s="10"/>
    </row>
    <row r="739" spans="1:17" x14ac:dyDescent="0.45">
      <c r="A739" s="8" t="str">
        <f t="shared" si="11"/>
        <v/>
      </c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10"/>
      <c r="N739" s="10"/>
      <c r="O739" s="10"/>
      <c r="P739" s="10"/>
      <c r="Q739" s="10"/>
    </row>
    <row r="740" spans="1:17" x14ac:dyDescent="0.45">
      <c r="A740" s="8" t="str">
        <f t="shared" si="11"/>
        <v/>
      </c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10"/>
      <c r="N740" s="10"/>
      <c r="O740" s="10"/>
      <c r="P740" s="10"/>
      <c r="Q740" s="10"/>
    </row>
    <row r="741" spans="1:17" x14ac:dyDescent="0.45">
      <c r="A741" s="8" t="str">
        <f t="shared" si="11"/>
        <v/>
      </c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10"/>
      <c r="N741" s="10"/>
      <c r="O741" s="10"/>
      <c r="P741" s="10"/>
      <c r="Q741" s="10"/>
    </row>
    <row r="742" spans="1:17" x14ac:dyDescent="0.45">
      <c r="A742" s="8" t="str">
        <f t="shared" si="11"/>
        <v/>
      </c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10"/>
      <c r="N742" s="10"/>
      <c r="O742" s="10"/>
      <c r="P742" s="10"/>
      <c r="Q742" s="10"/>
    </row>
    <row r="743" spans="1:17" x14ac:dyDescent="0.45">
      <c r="A743" s="8" t="str">
        <f t="shared" si="11"/>
        <v/>
      </c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10"/>
      <c r="N743" s="10"/>
      <c r="O743" s="10"/>
      <c r="P743" s="10"/>
      <c r="Q743" s="10"/>
    </row>
    <row r="744" spans="1:17" x14ac:dyDescent="0.45">
      <c r="A744" s="8" t="str">
        <f t="shared" si="11"/>
        <v/>
      </c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10"/>
      <c r="N744" s="10"/>
      <c r="O744" s="10"/>
      <c r="P744" s="10"/>
      <c r="Q744" s="10"/>
    </row>
    <row r="745" spans="1:17" x14ac:dyDescent="0.45">
      <c r="A745" s="8" t="str">
        <f t="shared" si="11"/>
        <v/>
      </c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10"/>
      <c r="N745" s="10"/>
      <c r="O745" s="10"/>
      <c r="P745" s="10"/>
      <c r="Q745" s="10"/>
    </row>
    <row r="746" spans="1:17" x14ac:dyDescent="0.45">
      <c r="A746" s="8" t="str">
        <f t="shared" si="11"/>
        <v/>
      </c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10"/>
      <c r="N746" s="10"/>
      <c r="O746" s="10"/>
      <c r="P746" s="10"/>
      <c r="Q746" s="10"/>
    </row>
    <row r="747" spans="1:17" x14ac:dyDescent="0.45">
      <c r="A747" s="8" t="str">
        <f t="shared" si="11"/>
        <v/>
      </c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10"/>
      <c r="N747" s="10"/>
      <c r="O747" s="10"/>
      <c r="P747" s="10"/>
      <c r="Q747" s="10"/>
    </row>
    <row r="748" spans="1:17" x14ac:dyDescent="0.45">
      <c r="A748" s="8" t="str">
        <f t="shared" si="11"/>
        <v/>
      </c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10"/>
      <c r="N748" s="10"/>
      <c r="O748" s="10"/>
      <c r="P748" s="10"/>
      <c r="Q748" s="10"/>
    </row>
    <row r="749" spans="1:17" x14ac:dyDescent="0.45">
      <c r="A749" s="8" t="str">
        <f t="shared" si="11"/>
        <v/>
      </c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10"/>
      <c r="N749" s="10"/>
      <c r="O749" s="10"/>
      <c r="P749" s="10"/>
      <c r="Q749" s="10"/>
    </row>
    <row r="750" spans="1:17" x14ac:dyDescent="0.45">
      <c r="A750" s="8" t="str">
        <f t="shared" si="11"/>
        <v/>
      </c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10"/>
      <c r="N750" s="10"/>
      <c r="O750" s="10"/>
      <c r="P750" s="10"/>
      <c r="Q750" s="10"/>
    </row>
    <row r="751" spans="1:17" x14ac:dyDescent="0.45">
      <c r="A751" s="8" t="str">
        <f t="shared" si="11"/>
        <v/>
      </c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10"/>
      <c r="N751" s="10"/>
      <c r="O751" s="10"/>
      <c r="P751" s="10"/>
      <c r="Q751" s="10"/>
    </row>
    <row r="752" spans="1:17" x14ac:dyDescent="0.45">
      <c r="A752" s="8" t="str">
        <f t="shared" si="11"/>
        <v/>
      </c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10"/>
      <c r="N752" s="10"/>
      <c r="O752" s="10"/>
      <c r="P752" s="10"/>
      <c r="Q752" s="10"/>
    </row>
    <row r="753" spans="1:17" x14ac:dyDescent="0.45">
      <c r="A753" s="8" t="str">
        <f t="shared" si="11"/>
        <v/>
      </c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10"/>
      <c r="N753" s="10"/>
      <c r="O753" s="10"/>
      <c r="P753" s="10"/>
      <c r="Q753" s="10"/>
    </row>
    <row r="754" spans="1:17" x14ac:dyDescent="0.45">
      <c r="A754" s="8" t="str">
        <f t="shared" si="11"/>
        <v/>
      </c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10"/>
      <c r="N754" s="10"/>
      <c r="O754" s="10"/>
      <c r="P754" s="10"/>
      <c r="Q754" s="10"/>
    </row>
    <row r="755" spans="1:17" x14ac:dyDescent="0.45">
      <c r="A755" s="8" t="str">
        <f t="shared" si="11"/>
        <v/>
      </c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10"/>
      <c r="N755" s="10"/>
      <c r="O755" s="10"/>
      <c r="P755" s="10"/>
      <c r="Q755" s="10"/>
    </row>
    <row r="756" spans="1:17" x14ac:dyDescent="0.45">
      <c r="A756" s="8" t="str">
        <f t="shared" si="11"/>
        <v/>
      </c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10"/>
      <c r="N756" s="10"/>
      <c r="O756" s="10"/>
      <c r="P756" s="10"/>
      <c r="Q756" s="10"/>
    </row>
    <row r="757" spans="1:17" x14ac:dyDescent="0.45">
      <c r="A757" s="8" t="str">
        <f t="shared" si="11"/>
        <v/>
      </c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10"/>
      <c r="N757" s="10"/>
      <c r="O757" s="10"/>
      <c r="P757" s="10"/>
      <c r="Q757" s="10"/>
    </row>
    <row r="758" spans="1:17" x14ac:dyDescent="0.45">
      <c r="A758" s="8" t="str">
        <f t="shared" si="11"/>
        <v/>
      </c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10"/>
      <c r="N758" s="10"/>
      <c r="O758" s="10"/>
      <c r="P758" s="10"/>
      <c r="Q758" s="10"/>
    </row>
    <row r="759" spans="1:17" x14ac:dyDescent="0.45">
      <c r="A759" s="8" t="str">
        <f t="shared" si="11"/>
        <v/>
      </c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10"/>
      <c r="N759" s="10"/>
      <c r="O759" s="10"/>
      <c r="P759" s="10"/>
      <c r="Q759" s="10"/>
    </row>
    <row r="760" spans="1:17" x14ac:dyDescent="0.45">
      <c r="A760" s="8" t="str">
        <f t="shared" si="11"/>
        <v/>
      </c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10"/>
      <c r="N760" s="10"/>
      <c r="O760" s="10"/>
      <c r="P760" s="10"/>
      <c r="Q760" s="10"/>
    </row>
    <row r="761" spans="1:17" x14ac:dyDescent="0.45">
      <c r="A761" s="8" t="str">
        <f t="shared" si="11"/>
        <v/>
      </c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10"/>
      <c r="N761" s="10"/>
      <c r="O761" s="10"/>
      <c r="P761" s="10"/>
      <c r="Q761" s="10"/>
    </row>
    <row r="762" spans="1:17" x14ac:dyDescent="0.45">
      <c r="A762" s="8" t="str">
        <f t="shared" si="11"/>
        <v/>
      </c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10"/>
      <c r="N762" s="10"/>
      <c r="O762" s="10"/>
      <c r="P762" s="10"/>
      <c r="Q762" s="10"/>
    </row>
    <row r="763" spans="1:17" x14ac:dyDescent="0.45">
      <c r="A763" s="8" t="str">
        <f t="shared" si="11"/>
        <v/>
      </c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10"/>
      <c r="N763" s="10"/>
      <c r="O763" s="10"/>
      <c r="P763" s="10"/>
      <c r="Q763" s="10"/>
    </row>
    <row r="764" spans="1:17" x14ac:dyDescent="0.45">
      <c r="A764" s="8" t="str">
        <f t="shared" si="11"/>
        <v/>
      </c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10"/>
      <c r="N764" s="10"/>
      <c r="O764" s="10"/>
      <c r="P764" s="10"/>
      <c r="Q764" s="10"/>
    </row>
    <row r="765" spans="1:17" x14ac:dyDescent="0.45">
      <c r="A765" s="8" t="str">
        <f t="shared" si="11"/>
        <v/>
      </c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10"/>
      <c r="N765" s="10"/>
      <c r="O765" s="10"/>
      <c r="P765" s="10"/>
      <c r="Q765" s="10"/>
    </row>
    <row r="766" spans="1:17" x14ac:dyDescent="0.45">
      <c r="A766" s="8" t="str">
        <f t="shared" si="11"/>
        <v/>
      </c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10"/>
      <c r="N766" s="10"/>
      <c r="O766" s="10"/>
      <c r="P766" s="10"/>
      <c r="Q766" s="10"/>
    </row>
    <row r="767" spans="1:17" x14ac:dyDescent="0.45">
      <c r="A767" s="8" t="str">
        <f t="shared" si="11"/>
        <v/>
      </c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10"/>
      <c r="N767" s="10"/>
      <c r="O767" s="10"/>
      <c r="P767" s="10"/>
      <c r="Q767" s="10"/>
    </row>
    <row r="768" spans="1:17" x14ac:dyDescent="0.45">
      <c r="A768" s="8" t="str">
        <f t="shared" si="11"/>
        <v/>
      </c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10"/>
      <c r="N768" s="10"/>
      <c r="O768" s="10"/>
      <c r="P768" s="10"/>
      <c r="Q768" s="10"/>
    </row>
    <row r="769" spans="1:17" x14ac:dyDescent="0.45">
      <c r="A769" s="8" t="str">
        <f t="shared" si="11"/>
        <v/>
      </c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10"/>
      <c r="N769" s="10"/>
      <c r="O769" s="10"/>
      <c r="P769" s="10"/>
      <c r="Q769" s="10"/>
    </row>
    <row r="770" spans="1:17" x14ac:dyDescent="0.45">
      <c r="A770" s="8" t="str">
        <f t="shared" si="11"/>
        <v/>
      </c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10"/>
      <c r="N770" s="10"/>
      <c r="O770" s="10"/>
      <c r="P770" s="10"/>
      <c r="Q770" s="10"/>
    </row>
    <row r="771" spans="1:17" x14ac:dyDescent="0.45">
      <c r="A771" s="8" t="str">
        <f t="shared" si="11"/>
        <v/>
      </c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10"/>
      <c r="N771" s="10"/>
      <c r="O771" s="10"/>
      <c r="P771" s="10"/>
      <c r="Q771" s="10"/>
    </row>
    <row r="772" spans="1:17" x14ac:dyDescent="0.45">
      <c r="A772" s="8" t="str">
        <f t="shared" si="11"/>
        <v/>
      </c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10"/>
      <c r="N772" s="10"/>
      <c r="O772" s="10"/>
      <c r="P772" s="10"/>
      <c r="Q772" s="10"/>
    </row>
    <row r="773" spans="1:17" x14ac:dyDescent="0.45">
      <c r="A773" s="8" t="str">
        <f t="shared" si="11"/>
        <v/>
      </c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10"/>
      <c r="N773" s="10"/>
      <c r="O773" s="10"/>
      <c r="P773" s="10"/>
      <c r="Q773" s="10"/>
    </row>
    <row r="774" spans="1:17" x14ac:dyDescent="0.45">
      <c r="A774" s="8" t="str">
        <f t="shared" si="11"/>
        <v/>
      </c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10"/>
      <c r="N774" s="10"/>
      <c r="O774" s="10"/>
      <c r="P774" s="10"/>
      <c r="Q774" s="10"/>
    </row>
    <row r="775" spans="1:17" x14ac:dyDescent="0.45">
      <c r="A775" s="8" t="str">
        <f t="shared" ref="A775:A838" si="12">IF($B775="","",ROW($A775)-(ROW($A$5)))</f>
        <v/>
      </c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10"/>
      <c r="N775" s="10"/>
      <c r="O775" s="10"/>
      <c r="P775" s="10"/>
      <c r="Q775" s="10"/>
    </row>
    <row r="776" spans="1:17" x14ac:dyDescent="0.45">
      <c r="A776" s="8" t="str">
        <f t="shared" si="12"/>
        <v/>
      </c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10"/>
      <c r="N776" s="10"/>
      <c r="O776" s="10"/>
      <c r="P776" s="10"/>
      <c r="Q776" s="10"/>
    </row>
    <row r="777" spans="1:17" x14ac:dyDescent="0.45">
      <c r="A777" s="8" t="str">
        <f t="shared" si="12"/>
        <v/>
      </c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10"/>
      <c r="N777" s="10"/>
      <c r="O777" s="10"/>
      <c r="P777" s="10"/>
      <c r="Q777" s="10"/>
    </row>
    <row r="778" spans="1:17" x14ac:dyDescent="0.45">
      <c r="A778" s="8" t="str">
        <f t="shared" si="12"/>
        <v/>
      </c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10"/>
      <c r="N778" s="10"/>
      <c r="O778" s="10"/>
      <c r="P778" s="10"/>
      <c r="Q778" s="10"/>
    </row>
    <row r="779" spans="1:17" x14ac:dyDescent="0.45">
      <c r="A779" s="8" t="str">
        <f t="shared" si="12"/>
        <v/>
      </c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10"/>
      <c r="N779" s="10"/>
      <c r="O779" s="10"/>
      <c r="P779" s="10"/>
      <c r="Q779" s="10"/>
    </row>
    <row r="780" spans="1:17" x14ac:dyDescent="0.45">
      <c r="A780" s="8" t="str">
        <f t="shared" si="12"/>
        <v/>
      </c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10"/>
      <c r="N780" s="10"/>
      <c r="O780" s="10"/>
      <c r="P780" s="10"/>
      <c r="Q780" s="10"/>
    </row>
    <row r="781" spans="1:17" x14ac:dyDescent="0.45">
      <c r="A781" s="8" t="str">
        <f t="shared" si="12"/>
        <v/>
      </c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10"/>
      <c r="N781" s="10"/>
      <c r="O781" s="10"/>
      <c r="P781" s="10"/>
      <c r="Q781" s="10"/>
    </row>
    <row r="782" spans="1:17" x14ac:dyDescent="0.45">
      <c r="A782" s="8" t="str">
        <f t="shared" si="12"/>
        <v/>
      </c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10"/>
      <c r="N782" s="10"/>
      <c r="O782" s="10"/>
      <c r="P782" s="10"/>
      <c r="Q782" s="10"/>
    </row>
    <row r="783" spans="1:17" x14ac:dyDescent="0.45">
      <c r="A783" s="8" t="str">
        <f t="shared" si="12"/>
        <v/>
      </c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10"/>
      <c r="N783" s="10"/>
      <c r="O783" s="10"/>
      <c r="P783" s="10"/>
      <c r="Q783" s="10"/>
    </row>
    <row r="784" spans="1:17" x14ac:dyDescent="0.45">
      <c r="A784" s="8" t="str">
        <f t="shared" si="12"/>
        <v/>
      </c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10"/>
      <c r="N784" s="10"/>
      <c r="O784" s="10"/>
      <c r="P784" s="10"/>
      <c r="Q784" s="10"/>
    </row>
    <row r="785" spans="1:17" x14ac:dyDescent="0.45">
      <c r="A785" s="8" t="str">
        <f t="shared" si="12"/>
        <v/>
      </c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10"/>
      <c r="N785" s="10"/>
      <c r="O785" s="10"/>
      <c r="P785" s="10"/>
      <c r="Q785" s="10"/>
    </row>
    <row r="786" spans="1:17" x14ac:dyDescent="0.45">
      <c r="A786" s="8" t="str">
        <f t="shared" si="12"/>
        <v/>
      </c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10"/>
      <c r="N786" s="10"/>
      <c r="O786" s="10"/>
      <c r="P786" s="10"/>
      <c r="Q786" s="10"/>
    </row>
    <row r="787" spans="1:17" x14ac:dyDescent="0.45">
      <c r="A787" s="8" t="str">
        <f t="shared" si="12"/>
        <v/>
      </c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10"/>
      <c r="N787" s="10"/>
      <c r="O787" s="10"/>
      <c r="P787" s="10"/>
      <c r="Q787" s="10"/>
    </row>
    <row r="788" spans="1:17" x14ac:dyDescent="0.45">
      <c r="A788" s="8" t="str">
        <f t="shared" si="12"/>
        <v/>
      </c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10"/>
      <c r="N788" s="10"/>
      <c r="O788" s="10"/>
      <c r="P788" s="10"/>
      <c r="Q788" s="10"/>
    </row>
    <row r="789" spans="1:17" x14ac:dyDescent="0.45">
      <c r="A789" s="8" t="str">
        <f t="shared" si="12"/>
        <v/>
      </c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10"/>
      <c r="N789" s="10"/>
      <c r="O789" s="10"/>
      <c r="P789" s="10"/>
      <c r="Q789" s="10"/>
    </row>
    <row r="790" spans="1:17" x14ac:dyDescent="0.45">
      <c r="A790" s="8" t="str">
        <f t="shared" si="12"/>
        <v/>
      </c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10"/>
      <c r="N790" s="10"/>
      <c r="O790" s="10"/>
      <c r="P790" s="10"/>
      <c r="Q790" s="10"/>
    </row>
    <row r="791" spans="1:17" x14ac:dyDescent="0.45">
      <c r="A791" s="8" t="str">
        <f t="shared" si="12"/>
        <v/>
      </c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10"/>
      <c r="N791" s="10"/>
      <c r="O791" s="10"/>
      <c r="P791" s="10"/>
      <c r="Q791" s="10"/>
    </row>
    <row r="792" spans="1:17" x14ac:dyDescent="0.45">
      <c r="A792" s="8" t="str">
        <f t="shared" si="12"/>
        <v/>
      </c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10"/>
      <c r="N792" s="10"/>
      <c r="O792" s="10"/>
      <c r="P792" s="10"/>
      <c r="Q792" s="10"/>
    </row>
    <row r="793" spans="1:17" x14ac:dyDescent="0.45">
      <c r="A793" s="8" t="str">
        <f t="shared" si="12"/>
        <v/>
      </c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10"/>
      <c r="N793" s="10"/>
      <c r="O793" s="10"/>
      <c r="P793" s="10"/>
      <c r="Q793" s="10"/>
    </row>
    <row r="794" spans="1:17" x14ac:dyDescent="0.45">
      <c r="A794" s="8" t="str">
        <f t="shared" si="12"/>
        <v/>
      </c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10"/>
      <c r="N794" s="10"/>
      <c r="O794" s="10"/>
      <c r="P794" s="10"/>
      <c r="Q794" s="10"/>
    </row>
    <row r="795" spans="1:17" x14ac:dyDescent="0.45">
      <c r="A795" s="8" t="str">
        <f t="shared" si="12"/>
        <v/>
      </c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10"/>
      <c r="N795" s="10"/>
      <c r="O795" s="10"/>
      <c r="P795" s="10"/>
      <c r="Q795" s="10"/>
    </row>
    <row r="796" spans="1:17" x14ac:dyDescent="0.45">
      <c r="A796" s="8" t="str">
        <f t="shared" si="12"/>
        <v/>
      </c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10"/>
      <c r="N796" s="10"/>
      <c r="O796" s="10"/>
      <c r="P796" s="10"/>
      <c r="Q796" s="10"/>
    </row>
    <row r="797" spans="1:17" x14ac:dyDescent="0.45">
      <c r="A797" s="8" t="str">
        <f t="shared" si="12"/>
        <v/>
      </c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10"/>
      <c r="N797" s="10"/>
      <c r="O797" s="10"/>
      <c r="P797" s="10"/>
      <c r="Q797" s="10"/>
    </row>
    <row r="798" spans="1:17" x14ac:dyDescent="0.45">
      <c r="A798" s="8" t="str">
        <f t="shared" si="12"/>
        <v/>
      </c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10"/>
      <c r="N798" s="10"/>
      <c r="O798" s="10"/>
      <c r="P798" s="10"/>
      <c r="Q798" s="10"/>
    </row>
    <row r="799" spans="1:17" x14ac:dyDescent="0.45">
      <c r="A799" s="8" t="str">
        <f t="shared" si="12"/>
        <v/>
      </c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10"/>
      <c r="N799" s="10"/>
      <c r="O799" s="10"/>
      <c r="P799" s="10"/>
      <c r="Q799" s="10"/>
    </row>
    <row r="800" spans="1:17" x14ac:dyDescent="0.45">
      <c r="A800" s="8" t="str">
        <f t="shared" si="12"/>
        <v/>
      </c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10"/>
      <c r="N800" s="10"/>
      <c r="O800" s="10"/>
      <c r="P800" s="10"/>
      <c r="Q800" s="10"/>
    </row>
    <row r="801" spans="1:17" x14ac:dyDescent="0.45">
      <c r="A801" s="8" t="str">
        <f t="shared" si="12"/>
        <v/>
      </c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10"/>
      <c r="N801" s="10"/>
      <c r="O801" s="10"/>
      <c r="P801" s="10"/>
      <c r="Q801" s="10"/>
    </row>
    <row r="802" spans="1:17" x14ac:dyDescent="0.45">
      <c r="A802" s="8" t="str">
        <f t="shared" si="12"/>
        <v/>
      </c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10"/>
      <c r="N802" s="10"/>
      <c r="O802" s="10"/>
      <c r="P802" s="10"/>
      <c r="Q802" s="10"/>
    </row>
    <row r="803" spans="1:17" x14ac:dyDescent="0.45">
      <c r="A803" s="8" t="str">
        <f t="shared" si="12"/>
        <v/>
      </c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10"/>
      <c r="N803" s="10"/>
      <c r="O803" s="10"/>
      <c r="P803" s="10"/>
      <c r="Q803" s="10"/>
    </row>
    <row r="804" spans="1:17" x14ac:dyDescent="0.45">
      <c r="A804" s="8" t="str">
        <f t="shared" si="12"/>
        <v/>
      </c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10"/>
      <c r="N804" s="10"/>
      <c r="O804" s="10"/>
      <c r="P804" s="10"/>
      <c r="Q804" s="10"/>
    </row>
    <row r="805" spans="1:17" x14ac:dyDescent="0.45">
      <c r="A805" s="8" t="str">
        <f t="shared" si="12"/>
        <v/>
      </c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10"/>
      <c r="N805" s="10"/>
      <c r="O805" s="10"/>
      <c r="P805" s="10"/>
      <c r="Q805" s="10"/>
    </row>
    <row r="806" spans="1:17" x14ac:dyDescent="0.45">
      <c r="A806" s="8" t="str">
        <f t="shared" si="12"/>
        <v/>
      </c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10"/>
      <c r="N806" s="10"/>
      <c r="O806" s="10"/>
      <c r="P806" s="10"/>
      <c r="Q806" s="10"/>
    </row>
    <row r="807" spans="1:17" x14ac:dyDescent="0.45">
      <c r="A807" s="8" t="str">
        <f t="shared" si="12"/>
        <v/>
      </c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10"/>
      <c r="N807" s="10"/>
      <c r="O807" s="10"/>
      <c r="P807" s="10"/>
      <c r="Q807" s="10"/>
    </row>
    <row r="808" spans="1:17" x14ac:dyDescent="0.45">
      <c r="A808" s="8" t="str">
        <f t="shared" si="12"/>
        <v/>
      </c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10"/>
      <c r="N808" s="10"/>
      <c r="O808" s="10"/>
      <c r="P808" s="10"/>
      <c r="Q808" s="10"/>
    </row>
    <row r="809" spans="1:17" x14ac:dyDescent="0.45">
      <c r="A809" s="8" t="str">
        <f t="shared" si="12"/>
        <v/>
      </c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10"/>
      <c r="N809" s="10"/>
      <c r="O809" s="10"/>
      <c r="P809" s="10"/>
      <c r="Q809" s="10"/>
    </row>
    <row r="810" spans="1:17" x14ac:dyDescent="0.45">
      <c r="A810" s="8" t="str">
        <f t="shared" si="12"/>
        <v/>
      </c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10"/>
      <c r="N810" s="10"/>
      <c r="O810" s="10"/>
      <c r="P810" s="10"/>
      <c r="Q810" s="10"/>
    </row>
    <row r="811" spans="1:17" x14ac:dyDescent="0.45">
      <c r="A811" s="8" t="str">
        <f t="shared" si="12"/>
        <v/>
      </c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10"/>
      <c r="N811" s="10"/>
      <c r="O811" s="10"/>
      <c r="P811" s="10"/>
      <c r="Q811" s="10"/>
    </row>
    <row r="812" spans="1:17" x14ac:dyDescent="0.45">
      <c r="A812" s="8" t="str">
        <f t="shared" si="12"/>
        <v/>
      </c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10"/>
      <c r="N812" s="10"/>
      <c r="O812" s="10"/>
      <c r="P812" s="10"/>
      <c r="Q812" s="10"/>
    </row>
    <row r="813" spans="1:17" x14ac:dyDescent="0.45">
      <c r="A813" s="8" t="str">
        <f t="shared" si="12"/>
        <v/>
      </c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10"/>
      <c r="N813" s="10"/>
      <c r="O813" s="10"/>
      <c r="P813" s="10"/>
      <c r="Q813" s="10"/>
    </row>
    <row r="814" spans="1:17" x14ac:dyDescent="0.45">
      <c r="A814" s="8" t="str">
        <f t="shared" si="12"/>
        <v/>
      </c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10"/>
      <c r="N814" s="10"/>
      <c r="O814" s="10"/>
      <c r="P814" s="10"/>
      <c r="Q814" s="10"/>
    </row>
    <row r="815" spans="1:17" x14ac:dyDescent="0.45">
      <c r="A815" s="8" t="str">
        <f t="shared" si="12"/>
        <v/>
      </c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10"/>
      <c r="N815" s="10"/>
      <c r="O815" s="10"/>
      <c r="P815" s="10"/>
      <c r="Q815" s="10"/>
    </row>
    <row r="816" spans="1:17" x14ac:dyDescent="0.45">
      <c r="A816" s="8" t="str">
        <f t="shared" si="12"/>
        <v/>
      </c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10"/>
      <c r="N816" s="10"/>
      <c r="O816" s="10"/>
      <c r="P816" s="10"/>
      <c r="Q816" s="10"/>
    </row>
    <row r="817" spans="1:17" x14ac:dyDescent="0.45">
      <c r="A817" s="8" t="str">
        <f t="shared" si="12"/>
        <v/>
      </c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10"/>
      <c r="N817" s="10"/>
      <c r="O817" s="10"/>
      <c r="P817" s="10"/>
      <c r="Q817" s="10"/>
    </row>
    <row r="818" spans="1:17" x14ac:dyDescent="0.45">
      <c r="A818" s="8" t="str">
        <f t="shared" si="12"/>
        <v/>
      </c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10"/>
      <c r="N818" s="10"/>
      <c r="O818" s="10"/>
      <c r="P818" s="10"/>
      <c r="Q818" s="10"/>
    </row>
    <row r="819" spans="1:17" x14ac:dyDescent="0.45">
      <c r="A819" s="8" t="str">
        <f t="shared" si="12"/>
        <v/>
      </c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10"/>
      <c r="N819" s="10"/>
      <c r="O819" s="10"/>
      <c r="P819" s="10"/>
      <c r="Q819" s="10"/>
    </row>
    <row r="820" spans="1:17" x14ac:dyDescent="0.45">
      <c r="A820" s="8" t="str">
        <f t="shared" si="12"/>
        <v/>
      </c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10"/>
      <c r="N820" s="10"/>
      <c r="O820" s="10"/>
      <c r="P820" s="10"/>
      <c r="Q820" s="10"/>
    </row>
    <row r="821" spans="1:17" x14ac:dyDescent="0.45">
      <c r="A821" s="8" t="str">
        <f t="shared" si="12"/>
        <v/>
      </c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10"/>
      <c r="N821" s="10"/>
      <c r="O821" s="10"/>
      <c r="P821" s="10"/>
      <c r="Q821" s="10"/>
    </row>
    <row r="822" spans="1:17" x14ac:dyDescent="0.45">
      <c r="A822" s="8" t="str">
        <f t="shared" si="12"/>
        <v/>
      </c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10"/>
      <c r="N822" s="10"/>
      <c r="O822" s="10"/>
      <c r="P822" s="10"/>
      <c r="Q822" s="10"/>
    </row>
    <row r="823" spans="1:17" x14ac:dyDescent="0.45">
      <c r="A823" s="8" t="str">
        <f t="shared" si="12"/>
        <v/>
      </c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10"/>
      <c r="N823" s="10"/>
      <c r="O823" s="10"/>
      <c r="P823" s="10"/>
      <c r="Q823" s="10"/>
    </row>
    <row r="824" spans="1:17" x14ac:dyDescent="0.45">
      <c r="A824" s="8" t="str">
        <f t="shared" si="12"/>
        <v/>
      </c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10"/>
      <c r="N824" s="10"/>
      <c r="O824" s="10"/>
      <c r="P824" s="10"/>
      <c r="Q824" s="10"/>
    </row>
    <row r="825" spans="1:17" x14ac:dyDescent="0.45">
      <c r="A825" s="8" t="str">
        <f t="shared" si="12"/>
        <v/>
      </c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10"/>
      <c r="N825" s="10"/>
      <c r="O825" s="10"/>
      <c r="P825" s="10"/>
      <c r="Q825" s="10"/>
    </row>
    <row r="826" spans="1:17" x14ac:dyDescent="0.45">
      <c r="A826" s="8" t="str">
        <f t="shared" si="12"/>
        <v/>
      </c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10"/>
      <c r="N826" s="10"/>
      <c r="O826" s="10"/>
      <c r="P826" s="10"/>
      <c r="Q826" s="10"/>
    </row>
    <row r="827" spans="1:17" x14ac:dyDescent="0.45">
      <c r="A827" s="8" t="str">
        <f t="shared" si="12"/>
        <v/>
      </c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10"/>
      <c r="N827" s="10"/>
      <c r="O827" s="10"/>
      <c r="P827" s="10"/>
      <c r="Q827" s="10"/>
    </row>
    <row r="828" spans="1:17" x14ac:dyDescent="0.45">
      <c r="A828" s="8" t="str">
        <f t="shared" si="12"/>
        <v/>
      </c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10"/>
      <c r="N828" s="10"/>
      <c r="O828" s="10"/>
      <c r="P828" s="10"/>
      <c r="Q828" s="10"/>
    </row>
    <row r="829" spans="1:17" x14ac:dyDescent="0.45">
      <c r="A829" s="8" t="str">
        <f t="shared" si="12"/>
        <v/>
      </c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10"/>
      <c r="N829" s="10"/>
      <c r="O829" s="10"/>
      <c r="P829" s="10"/>
      <c r="Q829" s="10"/>
    </row>
    <row r="830" spans="1:17" x14ac:dyDescent="0.45">
      <c r="A830" s="8" t="str">
        <f t="shared" si="12"/>
        <v/>
      </c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10"/>
      <c r="N830" s="10"/>
      <c r="O830" s="10"/>
      <c r="P830" s="10"/>
      <c r="Q830" s="10"/>
    </row>
    <row r="831" spans="1:17" x14ac:dyDescent="0.45">
      <c r="A831" s="8" t="str">
        <f t="shared" si="12"/>
        <v/>
      </c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10"/>
      <c r="N831" s="10"/>
      <c r="O831" s="10"/>
      <c r="P831" s="10"/>
      <c r="Q831" s="10"/>
    </row>
    <row r="832" spans="1:17" x14ac:dyDescent="0.45">
      <c r="A832" s="8" t="str">
        <f t="shared" si="12"/>
        <v/>
      </c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10"/>
      <c r="N832" s="10"/>
      <c r="O832" s="10"/>
      <c r="P832" s="10"/>
      <c r="Q832" s="10"/>
    </row>
    <row r="833" spans="1:17" x14ac:dyDescent="0.45">
      <c r="A833" s="8" t="str">
        <f t="shared" si="12"/>
        <v/>
      </c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10"/>
      <c r="N833" s="10"/>
      <c r="O833" s="10"/>
      <c r="P833" s="10"/>
      <c r="Q833" s="10"/>
    </row>
    <row r="834" spans="1:17" x14ac:dyDescent="0.45">
      <c r="A834" s="8" t="str">
        <f t="shared" si="12"/>
        <v/>
      </c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10"/>
      <c r="N834" s="10"/>
      <c r="O834" s="10"/>
      <c r="P834" s="10"/>
      <c r="Q834" s="10"/>
    </row>
    <row r="835" spans="1:17" x14ac:dyDescent="0.45">
      <c r="A835" s="8" t="str">
        <f t="shared" si="12"/>
        <v/>
      </c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10"/>
      <c r="N835" s="10"/>
      <c r="O835" s="10"/>
      <c r="P835" s="10"/>
      <c r="Q835" s="10"/>
    </row>
    <row r="836" spans="1:17" x14ac:dyDescent="0.45">
      <c r="A836" s="8" t="str">
        <f t="shared" si="12"/>
        <v/>
      </c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10"/>
      <c r="N836" s="10"/>
      <c r="O836" s="10"/>
      <c r="P836" s="10"/>
      <c r="Q836" s="10"/>
    </row>
    <row r="837" spans="1:17" x14ac:dyDescent="0.45">
      <c r="A837" s="8" t="str">
        <f t="shared" si="12"/>
        <v/>
      </c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10"/>
      <c r="N837" s="10"/>
      <c r="O837" s="10"/>
      <c r="P837" s="10"/>
      <c r="Q837" s="10"/>
    </row>
    <row r="838" spans="1:17" x14ac:dyDescent="0.45">
      <c r="A838" s="8" t="str">
        <f t="shared" si="12"/>
        <v/>
      </c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10"/>
      <c r="N838" s="10"/>
      <c r="O838" s="10"/>
      <c r="P838" s="10"/>
      <c r="Q838" s="10"/>
    </row>
    <row r="839" spans="1:17" x14ac:dyDescent="0.45">
      <c r="A839" s="8" t="str">
        <f t="shared" ref="A839:A902" si="13">IF($B839="","",ROW($A839)-(ROW($A$5)))</f>
        <v/>
      </c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10"/>
      <c r="N839" s="10"/>
      <c r="O839" s="10"/>
      <c r="P839" s="10"/>
      <c r="Q839" s="10"/>
    </row>
    <row r="840" spans="1:17" x14ac:dyDescent="0.45">
      <c r="A840" s="8" t="str">
        <f t="shared" si="13"/>
        <v/>
      </c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10"/>
      <c r="N840" s="10"/>
      <c r="O840" s="10"/>
      <c r="P840" s="10"/>
      <c r="Q840" s="10"/>
    </row>
    <row r="841" spans="1:17" x14ac:dyDescent="0.45">
      <c r="A841" s="8" t="str">
        <f t="shared" si="13"/>
        <v/>
      </c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10"/>
      <c r="N841" s="10"/>
      <c r="O841" s="10"/>
      <c r="P841" s="10"/>
      <c r="Q841" s="10"/>
    </row>
    <row r="842" spans="1:17" x14ac:dyDescent="0.45">
      <c r="A842" s="8" t="str">
        <f t="shared" si="13"/>
        <v/>
      </c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10"/>
      <c r="N842" s="10"/>
      <c r="O842" s="10"/>
      <c r="P842" s="10"/>
      <c r="Q842" s="10"/>
    </row>
    <row r="843" spans="1:17" x14ac:dyDescent="0.45">
      <c r="A843" s="8" t="str">
        <f t="shared" si="13"/>
        <v/>
      </c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10"/>
      <c r="N843" s="10"/>
      <c r="O843" s="10"/>
      <c r="P843" s="10"/>
      <c r="Q843" s="10"/>
    </row>
    <row r="844" spans="1:17" x14ac:dyDescent="0.45">
      <c r="A844" s="8" t="str">
        <f t="shared" si="13"/>
        <v/>
      </c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10"/>
      <c r="N844" s="10"/>
      <c r="O844" s="10"/>
      <c r="P844" s="10"/>
      <c r="Q844" s="10"/>
    </row>
    <row r="845" spans="1:17" x14ac:dyDescent="0.45">
      <c r="A845" s="8" t="str">
        <f t="shared" si="13"/>
        <v/>
      </c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10"/>
      <c r="N845" s="10"/>
      <c r="O845" s="10"/>
      <c r="P845" s="10"/>
      <c r="Q845" s="10"/>
    </row>
    <row r="846" spans="1:17" x14ac:dyDescent="0.45">
      <c r="A846" s="8" t="str">
        <f t="shared" si="13"/>
        <v/>
      </c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10"/>
      <c r="N846" s="10"/>
      <c r="O846" s="10"/>
      <c r="P846" s="10"/>
      <c r="Q846" s="10"/>
    </row>
    <row r="847" spans="1:17" x14ac:dyDescent="0.45">
      <c r="A847" s="8" t="str">
        <f t="shared" si="13"/>
        <v/>
      </c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10"/>
      <c r="N847" s="10"/>
      <c r="O847" s="10"/>
      <c r="P847" s="10"/>
      <c r="Q847" s="10"/>
    </row>
    <row r="848" spans="1:17" x14ac:dyDescent="0.45">
      <c r="A848" s="8" t="str">
        <f t="shared" si="13"/>
        <v/>
      </c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10"/>
      <c r="N848" s="10"/>
      <c r="O848" s="10"/>
      <c r="P848" s="10"/>
      <c r="Q848" s="10"/>
    </row>
    <row r="849" spans="1:17" x14ac:dyDescent="0.45">
      <c r="A849" s="8" t="str">
        <f t="shared" si="13"/>
        <v/>
      </c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10"/>
      <c r="N849" s="10"/>
      <c r="O849" s="10"/>
      <c r="P849" s="10"/>
      <c r="Q849" s="10"/>
    </row>
    <row r="850" spans="1:17" x14ac:dyDescent="0.45">
      <c r="A850" s="8" t="str">
        <f t="shared" si="13"/>
        <v/>
      </c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10"/>
      <c r="N850" s="10"/>
      <c r="O850" s="10"/>
      <c r="P850" s="10"/>
      <c r="Q850" s="10"/>
    </row>
    <row r="851" spans="1:17" x14ac:dyDescent="0.45">
      <c r="A851" s="8" t="str">
        <f t="shared" si="13"/>
        <v/>
      </c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10"/>
      <c r="N851" s="10"/>
      <c r="O851" s="10"/>
      <c r="P851" s="10"/>
      <c r="Q851" s="10"/>
    </row>
    <row r="852" spans="1:17" x14ac:dyDescent="0.45">
      <c r="A852" s="8" t="str">
        <f t="shared" si="13"/>
        <v/>
      </c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10"/>
      <c r="N852" s="10"/>
      <c r="O852" s="10"/>
      <c r="P852" s="10"/>
      <c r="Q852" s="10"/>
    </row>
    <row r="853" spans="1:17" x14ac:dyDescent="0.45">
      <c r="A853" s="8" t="str">
        <f t="shared" si="13"/>
        <v/>
      </c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10"/>
      <c r="N853" s="10"/>
      <c r="O853" s="10"/>
      <c r="P853" s="10"/>
      <c r="Q853" s="10"/>
    </row>
    <row r="854" spans="1:17" x14ac:dyDescent="0.45">
      <c r="A854" s="8" t="str">
        <f t="shared" si="13"/>
        <v/>
      </c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10"/>
      <c r="N854" s="10"/>
      <c r="O854" s="10"/>
      <c r="P854" s="10"/>
      <c r="Q854" s="10"/>
    </row>
    <row r="855" spans="1:17" x14ac:dyDescent="0.45">
      <c r="A855" s="8" t="str">
        <f t="shared" si="13"/>
        <v/>
      </c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10"/>
      <c r="N855" s="10"/>
      <c r="O855" s="10"/>
      <c r="P855" s="10"/>
      <c r="Q855" s="10"/>
    </row>
    <row r="856" spans="1:17" x14ac:dyDescent="0.45">
      <c r="A856" s="8" t="str">
        <f t="shared" si="13"/>
        <v/>
      </c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10"/>
      <c r="N856" s="10"/>
      <c r="O856" s="10"/>
      <c r="P856" s="10"/>
      <c r="Q856" s="10"/>
    </row>
    <row r="857" spans="1:17" x14ac:dyDescent="0.45">
      <c r="A857" s="8" t="str">
        <f t="shared" si="13"/>
        <v/>
      </c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10"/>
      <c r="N857" s="10"/>
      <c r="O857" s="10"/>
      <c r="P857" s="10"/>
      <c r="Q857" s="10"/>
    </row>
    <row r="858" spans="1:17" x14ac:dyDescent="0.45">
      <c r="A858" s="8" t="str">
        <f t="shared" si="13"/>
        <v/>
      </c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10"/>
      <c r="N858" s="10"/>
      <c r="O858" s="10"/>
      <c r="P858" s="10"/>
      <c r="Q858" s="10"/>
    </row>
    <row r="859" spans="1:17" x14ac:dyDescent="0.45">
      <c r="A859" s="8" t="str">
        <f t="shared" si="13"/>
        <v/>
      </c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10"/>
      <c r="N859" s="10"/>
      <c r="O859" s="10"/>
      <c r="P859" s="10"/>
      <c r="Q859" s="10"/>
    </row>
    <row r="860" spans="1:17" x14ac:dyDescent="0.45">
      <c r="A860" s="8" t="str">
        <f t="shared" si="13"/>
        <v/>
      </c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10"/>
      <c r="N860" s="10"/>
      <c r="O860" s="10"/>
      <c r="P860" s="10"/>
      <c r="Q860" s="10"/>
    </row>
    <row r="861" spans="1:17" x14ac:dyDescent="0.45">
      <c r="A861" s="8" t="str">
        <f t="shared" si="13"/>
        <v/>
      </c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10"/>
      <c r="N861" s="10"/>
      <c r="O861" s="10"/>
      <c r="P861" s="10"/>
      <c r="Q861" s="10"/>
    </row>
    <row r="862" spans="1:17" x14ac:dyDescent="0.45">
      <c r="A862" s="8" t="str">
        <f t="shared" si="13"/>
        <v/>
      </c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10"/>
      <c r="N862" s="10"/>
      <c r="O862" s="10"/>
      <c r="P862" s="10"/>
      <c r="Q862" s="10"/>
    </row>
    <row r="863" spans="1:17" x14ac:dyDescent="0.45">
      <c r="A863" s="8" t="str">
        <f t="shared" si="13"/>
        <v/>
      </c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10"/>
      <c r="N863" s="10"/>
      <c r="O863" s="10"/>
      <c r="P863" s="10"/>
      <c r="Q863" s="10"/>
    </row>
    <row r="864" spans="1:17" x14ac:dyDescent="0.45">
      <c r="A864" s="8" t="str">
        <f t="shared" si="13"/>
        <v/>
      </c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10"/>
      <c r="N864" s="10"/>
      <c r="O864" s="10"/>
      <c r="P864" s="10"/>
      <c r="Q864" s="10"/>
    </row>
    <row r="865" spans="1:17" x14ac:dyDescent="0.45">
      <c r="A865" s="8" t="str">
        <f t="shared" si="13"/>
        <v/>
      </c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10"/>
      <c r="N865" s="10"/>
      <c r="O865" s="10"/>
      <c r="P865" s="10"/>
      <c r="Q865" s="10"/>
    </row>
    <row r="866" spans="1:17" x14ac:dyDescent="0.45">
      <c r="A866" s="8" t="str">
        <f t="shared" si="13"/>
        <v/>
      </c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10"/>
      <c r="N866" s="10"/>
      <c r="O866" s="10"/>
      <c r="P866" s="10"/>
      <c r="Q866" s="10"/>
    </row>
    <row r="867" spans="1:17" x14ac:dyDescent="0.45">
      <c r="A867" s="8" t="str">
        <f t="shared" si="13"/>
        <v/>
      </c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10"/>
      <c r="N867" s="10"/>
      <c r="O867" s="10"/>
      <c r="P867" s="10"/>
      <c r="Q867" s="10"/>
    </row>
    <row r="868" spans="1:17" x14ac:dyDescent="0.45">
      <c r="A868" s="8" t="str">
        <f t="shared" si="13"/>
        <v/>
      </c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10"/>
      <c r="N868" s="10"/>
      <c r="O868" s="10"/>
      <c r="P868" s="10"/>
      <c r="Q868" s="10"/>
    </row>
    <row r="869" spans="1:17" x14ac:dyDescent="0.45">
      <c r="A869" s="8" t="str">
        <f t="shared" si="13"/>
        <v/>
      </c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10"/>
      <c r="N869" s="10"/>
      <c r="O869" s="10"/>
      <c r="P869" s="10"/>
      <c r="Q869" s="10"/>
    </row>
    <row r="870" spans="1:17" x14ac:dyDescent="0.45">
      <c r="A870" s="8" t="str">
        <f t="shared" si="13"/>
        <v/>
      </c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10"/>
      <c r="N870" s="10"/>
      <c r="O870" s="10"/>
      <c r="P870" s="10"/>
      <c r="Q870" s="10"/>
    </row>
    <row r="871" spans="1:17" x14ac:dyDescent="0.45">
      <c r="A871" s="8" t="str">
        <f t="shared" si="13"/>
        <v/>
      </c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10"/>
      <c r="N871" s="10"/>
      <c r="O871" s="10"/>
      <c r="P871" s="10"/>
      <c r="Q871" s="10"/>
    </row>
    <row r="872" spans="1:17" x14ac:dyDescent="0.45">
      <c r="A872" s="8" t="str">
        <f t="shared" si="13"/>
        <v/>
      </c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10"/>
      <c r="N872" s="10"/>
      <c r="O872" s="10"/>
      <c r="P872" s="10"/>
      <c r="Q872" s="10"/>
    </row>
    <row r="873" spans="1:17" x14ac:dyDescent="0.45">
      <c r="A873" s="8" t="str">
        <f t="shared" si="13"/>
        <v/>
      </c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10"/>
      <c r="N873" s="10"/>
      <c r="O873" s="10"/>
      <c r="P873" s="10"/>
      <c r="Q873" s="10"/>
    </row>
    <row r="874" spans="1:17" x14ac:dyDescent="0.45">
      <c r="A874" s="8" t="str">
        <f t="shared" si="13"/>
        <v/>
      </c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10"/>
      <c r="N874" s="10"/>
      <c r="O874" s="10"/>
      <c r="P874" s="10"/>
      <c r="Q874" s="10"/>
    </row>
    <row r="875" spans="1:17" x14ac:dyDescent="0.45">
      <c r="A875" s="8" t="str">
        <f t="shared" si="13"/>
        <v/>
      </c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10"/>
      <c r="N875" s="10"/>
      <c r="O875" s="10"/>
      <c r="P875" s="10"/>
      <c r="Q875" s="10"/>
    </row>
    <row r="876" spans="1:17" x14ac:dyDescent="0.45">
      <c r="A876" s="8" t="str">
        <f t="shared" si="13"/>
        <v/>
      </c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10"/>
      <c r="N876" s="10"/>
      <c r="O876" s="10"/>
      <c r="P876" s="10"/>
      <c r="Q876" s="10"/>
    </row>
    <row r="877" spans="1:17" x14ac:dyDescent="0.45">
      <c r="A877" s="8" t="str">
        <f t="shared" si="13"/>
        <v/>
      </c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10"/>
      <c r="N877" s="10"/>
      <c r="O877" s="10"/>
      <c r="P877" s="10"/>
      <c r="Q877" s="10"/>
    </row>
    <row r="878" spans="1:17" x14ac:dyDescent="0.45">
      <c r="A878" s="8" t="str">
        <f t="shared" si="13"/>
        <v/>
      </c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10"/>
      <c r="N878" s="10"/>
      <c r="O878" s="10"/>
      <c r="P878" s="10"/>
      <c r="Q878" s="10"/>
    </row>
    <row r="879" spans="1:17" x14ac:dyDescent="0.45">
      <c r="A879" s="8" t="str">
        <f t="shared" si="13"/>
        <v/>
      </c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10"/>
      <c r="N879" s="10"/>
      <c r="O879" s="10"/>
      <c r="P879" s="10"/>
      <c r="Q879" s="10"/>
    </row>
    <row r="880" spans="1:17" x14ac:dyDescent="0.45">
      <c r="A880" s="8" t="str">
        <f t="shared" si="13"/>
        <v/>
      </c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10"/>
      <c r="N880" s="10"/>
      <c r="O880" s="10"/>
      <c r="P880" s="10"/>
      <c r="Q880" s="10"/>
    </row>
    <row r="881" spans="1:17" x14ac:dyDescent="0.45">
      <c r="A881" s="8" t="str">
        <f t="shared" si="13"/>
        <v/>
      </c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10"/>
      <c r="N881" s="10"/>
      <c r="O881" s="10"/>
      <c r="P881" s="10"/>
      <c r="Q881" s="10"/>
    </row>
    <row r="882" spans="1:17" x14ac:dyDescent="0.45">
      <c r="A882" s="8" t="str">
        <f t="shared" si="13"/>
        <v/>
      </c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10"/>
      <c r="N882" s="10"/>
      <c r="O882" s="10"/>
      <c r="P882" s="10"/>
      <c r="Q882" s="10"/>
    </row>
    <row r="883" spans="1:17" x14ac:dyDescent="0.45">
      <c r="A883" s="8" t="str">
        <f t="shared" si="13"/>
        <v/>
      </c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10"/>
      <c r="N883" s="10"/>
      <c r="O883" s="10"/>
      <c r="P883" s="10"/>
      <c r="Q883" s="10"/>
    </row>
    <row r="884" spans="1:17" x14ac:dyDescent="0.45">
      <c r="A884" s="8" t="str">
        <f t="shared" si="13"/>
        <v/>
      </c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10"/>
      <c r="N884" s="10"/>
      <c r="O884" s="10"/>
      <c r="P884" s="10"/>
      <c r="Q884" s="10"/>
    </row>
    <row r="885" spans="1:17" x14ac:dyDescent="0.45">
      <c r="A885" s="8" t="str">
        <f t="shared" si="13"/>
        <v/>
      </c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10"/>
      <c r="N885" s="10"/>
      <c r="O885" s="10"/>
      <c r="P885" s="10"/>
      <c r="Q885" s="10"/>
    </row>
    <row r="886" spans="1:17" x14ac:dyDescent="0.45">
      <c r="A886" s="8" t="str">
        <f t="shared" si="13"/>
        <v/>
      </c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10"/>
      <c r="N886" s="10"/>
      <c r="O886" s="10"/>
      <c r="P886" s="10"/>
      <c r="Q886" s="10"/>
    </row>
    <row r="887" spans="1:17" x14ac:dyDescent="0.45">
      <c r="A887" s="8" t="str">
        <f t="shared" si="13"/>
        <v/>
      </c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10"/>
      <c r="N887" s="10"/>
      <c r="O887" s="10"/>
      <c r="P887" s="10"/>
      <c r="Q887" s="10"/>
    </row>
    <row r="888" spans="1:17" x14ac:dyDescent="0.45">
      <c r="A888" s="8" t="str">
        <f t="shared" si="13"/>
        <v/>
      </c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10"/>
      <c r="N888" s="10"/>
      <c r="O888" s="10"/>
      <c r="P888" s="10"/>
      <c r="Q888" s="10"/>
    </row>
    <row r="889" spans="1:17" x14ac:dyDescent="0.45">
      <c r="A889" s="8" t="str">
        <f t="shared" si="13"/>
        <v/>
      </c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10"/>
      <c r="N889" s="10"/>
      <c r="O889" s="10"/>
      <c r="P889" s="10"/>
      <c r="Q889" s="10"/>
    </row>
    <row r="890" spans="1:17" x14ac:dyDescent="0.45">
      <c r="A890" s="8" t="str">
        <f t="shared" si="13"/>
        <v/>
      </c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10"/>
      <c r="N890" s="10"/>
      <c r="O890" s="10"/>
      <c r="P890" s="10"/>
      <c r="Q890" s="10"/>
    </row>
    <row r="891" spans="1:17" x14ac:dyDescent="0.45">
      <c r="A891" s="8" t="str">
        <f t="shared" si="13"/>
        <v/>
      </c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10"/>
      <c r="N891" s="10"/>
      <c r="O891" s="10"/>
      <c r="P891" s="10"/>
      <c r="Q891" s="10"/>
    </row>
    <row r="892" spans="1:17" x14ac:dyDescent="0.45">
      <c r="A892" s="8" t="str">
        <f t="shared" si="13"/>
        <v/>
      </c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10"/>
      <c r="N892" s="10"/>
      <c r="O892" s="10"/>
      <c r="P892" s="10"/>
      <c r="Q892" s="10"/>
    </row>
    <row r="893" spans="1:17" x14ac:dyDescent="0.45">
      <c r="A893" s="8" t="str">
        <f t="shared" si="13"/>
        <v/>
      </c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10"/>
      <c r="N893" s="10"/>
      <c r="O893" s="10"/>
      <c r="P893" s="10"/>
      <c r="Q893" s="10"/>
    </row>
    <row r="894" spans="1:17" x14ac:dyDescent="0.45">
      <c r="A894" s="8" t="str">
        <f t="shared" si="13"/>
        <v/>
      </c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10"/>
      <c r="N894" s="10"/>
      <c r="O894" s="10"/>
      <c r="P894" s="10"/>
      <c r="Q894" s="10"/>
    </row>
    <row r="895" spans="1:17" x14ac:dyDescent="0.45">
      <c r="A895" s="8" t="str">
        <f t="shared" si="13"/>
        <v/>
      </c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10"/>
      <c r="N895" s="10"/>
      <c r="O895" s="10"/>
      <c r="P895" s="10"/>
      <c r="Q895" s="10"/>
    </row>
    <row r="896" spans="1:17" x14ac:dyDescent="0.45">
      <c r="A896" s="8" t="str">
        <f t="shared" si="13"/>
        <v/>
      </c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10"/>
      <c r="N896" s="10"/>
      <c r="O896" s="10"/>
      <c r="P896" s="10"/>
      <c r="Q896" s="10"/>
    </row>
    <row r="897" spans="1:17" x14ac:dyDescent="0.45">
      <c r="A897" s="8" t="str">
        <f t="shared" si="13"/>
        <v/>
      </c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10"/>
      <c r="N897" s="10"/>
      <c r="O897" s="10"/>
      <c r="P897" s="10"/>
      <c r="Q897" s="10"/>
    </row>
    <row r="898" spans="1:17" x14ac:dyDescent="0.45">
      <c r="A898" s="8" t="str">
        <f t="shared" si="13"/>
        <v/>
      </c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10"/>
      <c r="N898" s="10"/>
      <c r="O898" s="10"/>
      <c r="P898" s="10"/>
      <c r="Q898" s="10"/>
    </row>
    <row r="899" spans="1:17" x14ac:dyDescent="0.45">
      <c r="A899" s="8" t="str">
        <f t="shared" si="13"/>
        <v/>
      </c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10"/>
      <c r="N899" s="10"/>
      <c r="O899" s="10"/>
      <c r="P899" s="10"/>
      <c r="Q899" s="10"/>
    </row>
    <row r="900" spans="1:17" x14ac:dyDescent="0.45">
      <c r="A900" s="8" t="str">
        <f t="shared" si="13"/>
        <v/>
      </c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10"/>
      <c r="N900" s="10"/>
      <c r="O900" s="10"/>
      <c r="P900" s="10"/>
      <c r="Q900" s="10"/>
    </row>
    <row r="901" spans="1:17" x14ac:dyDescent="0.45">
      <c r="A901" s="8" t="str">
        <f t="shared" si="13"/>
        <v/>
      </c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10"/>
      <c r="N901" s="10"/>
      <c r="O901" s="10"/>
      <c r="P901" s="10"/>
      <c r="Q901" s="10"/>
    </row>
    <row r="902" spans="1:17" x14ac:dyDescent="0.45">
      <c r="A902" s="8" t="str">
        <f t="shared" si="13"/>
        <v/>
      </c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10"/>
      <c r="N902" s="10"/>
      <c r="O902" s="10"/>
      <c r="P902" s="10"/>
      <c r="Q902" s="10"/>
    </row>
    <row r="903" spans="1:17" x14ac:dyDescent="0.45">
      <c r="A903" s="8" t="str">
        <f t="shared" ref="A903:A966" si="14">IF($B903="","",ROW($A903)-(ROW($A$5)))</f>
        <v/>
      </c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10"/>
      <c r="N903" s="10"/>
      <c r="O903" s="10"/>
      <c r="P903" s="10"/>
      <c r="Q903" s="10"/>
    </row>
    <row r="904" spans="1:17" x14ac:dyDescent="0.45">
      <c r="A904" s="8" t="str">
        <f t="shared" si="14"/>
        <v/>
      </c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10"/>
      <c r="N904" s="10"/>
      <c r="O904" s="10"/>
      <c r="P904" s="10"/>
      <c r="Q904" s="10"/>
    </row>
    <row r="905" spans="1:17" x14ac:dyDescent="0.45">
      <c r="A905" s="8" t="str">
        <f t="shared" si="14"/>
        <v/>
      </c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10"/>
      <c r="N905" s="10"/>
      <c r="O905" s="10"/>
      <c r="P905" s="10"/>
      <c r="Q905" s="10"/>
    </row>
    <row r="906" spans="1:17" x14ac:dyDescent="0.45">
      <c r="A906" s="8" t="str">
        <f t="shared" si="14"/>
        <v/>
      </c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10"/>
      <c r="N906" s="10"/>
      <c r="O906" s="10"/>
      <c r="P906" s="10"/>
      <c r="Q906" s="10"/>
    </row>
    <row r="907" spans="1:17" x14ac:dyDescent="0.45">
      <c r="A907" s="8" t="str">
        <f t="shared" si="14"/>
        <v/>
      </c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10"/>
      <c r="N907" s="10"/>
      <c r="O907" s="10"/>
      <c r="P907" s="10"/>
      <c r="Q907" s="10"/>
    </row>
    <row r="908" spans="1:17" x14ac:dyDescent="0.45">
      <c r="A908" s="8" t="str">
        <f t="shared" si="14"/>
        <v/>
      </c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10"/>
      <c r="N908" s="10"/>
      <c r="O908" s="10"/>
      <c r="P908" s="10"/>
      <c r="Q908" s="10"/>
    </row>
    <row r="909" spans="1:17" x14ac:dyDescent="0.45">
      <c r="A909" s="8" t="str">
        <f t="shared" si="14"/>
        <v/>
      </c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10"/>
      <c r="N909" s="10"/>
      <c r="O909" s="10"/>
      <c r="P909" s="10"/>
      <c r="Q909" s="10"/>
    </row>
    <row r="910" spans="1:17" x14ac:dyDescent="0.45">
      <c r="A910" s="8" t="str">
        <f t="shared" si="14"/>
        <v/>
      </c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10"/>
      <c r="N910" s="10"/>
      <c r="O910" s="10"/>
      <c r="P910" s="10"/>
      <c r="Q910" s="10"/>
    </row>
    <row r="911" spans="1:17" x14ac:dyDescent="0.45">
      <c r="A911" s="8" t="str">
        <f t="shared" si="14"/>
        <v/>
      </c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10"/>
      <c r="N911" s="10"/>
      <c r="O911" s="10"/>
      <c r="P911" s="10"/>
      <c r="Q911" s="10"/>
    </row>
    <row r="912" spans="1:17" x14ac:dyDescent="0.45">
      <c r="A912" s="8" t="str">
        <f t="shared" si="14"/>
        <v/>
      </c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10"/>
      <c r="N912" s="10"/>
      <c r="O912" s="10"/>
      <c r="P912" s="10"/>
      <c r="Q912" s="10"/>
    </row>
    <row r="913" spans="1:17" x14ac:dyDescent="0.45">
      <c r="A913" s="8" t="str">
        <f t="shared" si="14"/>
        <v/>
      </c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10"/>
      <c r="N913" s="10"/>
      <c r="O913" s="10"/>
      <c r="P913" s="10"/>
      <c r="Q913" s="10"/>
    </row>
    <row r="914" spans="1:17" x14ac:dyDescent="0.45">
      <c r="A914" s="8" t="str">
        <f t="shared" si="14"/>
        <v/>
      </c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10"/>
      <c r="N914" s="10"/>
      <c r="O914" s="10"/>
      <c r="P914" s="10"/>
      <c r="Q914" s="10"/>
    </row>
    <row r="915" spans="1:17" x14ac:dyDescent="0.45">
      <c r="A915" s="8" t="str">
        <f t="shared" si="14"/>
        <v/>
      </c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10"/>
      <c r="N915" s="10"/>
      <c r="O915" s="10"/>
      <c r="P915" s="10"/>
      <c r="Q915" s="10"/>
    </row>
    <row r="916" spans="1:17" x14ac:dyDescent="0.45">
      <c r="A916" s="8" t="str">
        <f t="shared" si="14"/>
        <v/>
      </c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10"/>
      <c r="N916" s="10"/>
      <c r="O916" s="10"/>
      <c r="P916" s="10"/>
      <c r="Q916" s="10"/>
    </row>
    <row r="917" spans="1:17" x14ac:dyDescent="0.45">
      <c r="A917" s="8" t="str">
        <f t="shared" si="14"/>
        <v/>
      </c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10"/>
      <c r="N917" s="10"/>
      <c r="O917" s="10"/>
      <c r="P917" s="10"/>
      <c r="Q917" s="10"/>
    </row>
    <row r="918" spans="1:17" x14ac:dyDescent="0.45">
      <c r="A918" s="8" t="str">
        <f t="shared" si="14"/>
        <v/>
      </c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10"/>
      <c r="N918" s="10"/>
      <c r="O918" s="10"/>
      <c r="P918" s="10"/>
      <c r="Q918" s="10"/>
    </row>
    <row r="919" spans="1:17" x14ac:dyDescent="0.45">
      <c r="A919" s="8" t="str">
        <f t="shared" si="14"/>
        <v/>
      </c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10"/>
      <c r="N919" s="10"/>
      <c r="O919" s="10"/>
      <c r="P919" s="10"/>
      <c r="Q919" s="10"/>
    </row>
    <row r="920" spans="1:17" x14ac:dyDescent="0.45">
      <c r="A920" s="8" t="str">
        <f t="shared" si="14"/>
        <v/>
      </c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10"/>
      <c r="N920" s="10"/>
      <c r="O920" s="10"/>
      <c r="P920" s="10"/>
      <c r="Q920" s="10"/>
    </row>
    <row r="921" spans="1:17" x14ac:dyDescent="0.45">
      <c r="A921" s="8" t="str">
        <f t="shared" si="14"/>
        <v/>
      </c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10"/>
      <c r="N921" s="10"/>
      <c r="O921" s="10"/>
      <c r="P921" s="10"/>
      <c r="Q921" s="10"/>
    </row>
    <row r="922" spans="1:17" x14ac:dyDescent="0.45">
      <c r="A922" s="8" t="str">
        <f t="shared" si="14"/>
        <v/>
      </c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10"/>
      <c r="N922" s="10"/>
      <c r="O922" s="10"/>
      <c r="P922" s="10"/>
      <c r="Q922" s="10"/>
    </row>
    <row r="923" spans="1:17" x14ac:dyDescent="0.45">
      <c r="A923" s="8" t="str">
        <f t="shared" si="14"/>
        <v/>
      </c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10"/>
      <c r="N923" s="10"/>
      <c r="O923" s="10"/>
      <c r="P923" s="10"/>
      <c r="Q923" s="10"/>
    </row>
    <row r="924" spans="1:17" x14ac:dyDescent="0.45">
      <c r="A924" s="8" t="str">
        <f t="shared" si="14"/>
        <v/>
      </c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10"/>
      <c r="N924" s="10"/>
      <c r="O924" s="10"/>
      <c r="P924" s="10"/>
      <c r="Q924" s="10"/>
    </row>
    <row r="925" spans="1:17" x14ac:dyDescent="0.45">
      <c r="A925" s="8" t="str">
        <f t="shared" si="14"/>
        <v/>
      </c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10"/>
      <c r="N925" s="10"/>
      <c r="O925" s="10"/>
      <c r="P925" s="10"/>
      <c r="Q925" s="10"/>
    </row>
    <row r="926" spans="1:17" x14ac:dyDescent="0.45">
      <c r="A926" s="8" t="str">
        <f t="shared" si="14"/>
        <v/>
      </c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10"/>
      <c r="N926" s="10"/>
      <c r="O926" s="10"/>
      <c r="P926" s="10"/>
      <c r="Q926" s="10"/>
    </row>
    <row r="927" spans="1:17" x14ac:dyDescent="0.45">
      <c r="A927" s="8" t="str">
        <f t="shared" si="14"/>
        <v/>
      </c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10"/>
      <c r="N927" s="10"/>
      <c r="O927" s="10"/>
      <c r="P927" s="10"/>
      <c r="Q927" s="10"/>
    </row>
    <row r="928" spans="1:17" x14ac:dyDescent="0.45">
      <c r="A928" s="8" t="str">
        <f t="shared" si="14"/>
        <v/>
      </c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10"/>
      <c r="N928" s="10"/>
      <c r="O928" s="10"/>
      <c r="P928" s="10"/>
      <c r="Q928" s="10"/>
    </row>
    <row r="929" spans="1:17" x14ac:dyDescent="0.45">
      <c r="A929" s="8" t="str">
        <f t="shared" si="14"/>
        <v/>
      </c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10"/>
      <c r="N929" s="10"/>
      <c r="O929" s="10"/>
      <c r="P929" s="10"/>
      <c r="Q929" s="10"/>
    </row>
    <row r="930" spans="1:17" x14ac:dyDescent="0.45">
      <c r="A930" s="8" t="str">
        <f t="shared" si="14"/>
        <v/>
      </c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10"/>
      <c r="N930" s="10"/>
      <c r="O930" s="10"/>
      <c r="P930" s="10"/>
      <c r="Q930" s="10"/>
    </row>
    <row r="931" spans="1:17" x14ac:dyDescent="0.45">
      <c r="A931" s="8" t="str">
        <f t="shared" si="14"/>
        <v/>
      </c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10"/>
      <c r="N931" s="10"/>
      <c r="O931" s="10"/>
      <c r="P931" s="10"/>
      <c r="Q931" s="10"/>
    </row>
    <row r="932" spans="1:17" x14ac:dyDescent="0.45">
      <c r="A932" s="8" t="str">
        <f t="shared" si="14"/>
        <v/>
      </c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10"/>
      <c r="N932" s="10"/>
      <c r="O932" s="10"/>
      <c r="P932" s="10"/>
      <c r="Q932" s="10"/>
    </row>
    <row r="933" spans="1:17" x14ac:dyDescent="0.45">
      <c r="A933" s="8" t="str">
        <f t="shared" si="14"/>
        <v/>
      </c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10"/>
      <c r="N933" s="10"/>
      <c r="O933" s="10"/>
      <c r="P933" s="10"/>
      <c r="Q933" s="10"/>
    </row>
    <row r="934" spans="1:17" x14ac:dyDescent="0.45">
      <c r="A934" s="8" t="str">
        <f t="shared" si="14"/>
        <v/>
      </c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10"/>
      <c r="N934" s="10"/>
      <c r="O934" s="10"/>
      <c r="P934" s="10"/>
      <c r="Q934" s="10"/>
    </row>
    <row r="935" spans="1:17" x14ac:dyDescent="0.45">
      <c r="A935" s="8" t="str">
        <f t="shared" si="14"/>
        <v/>
      </c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10"/>
      <c r="N935" s="10"/>
      <c r="O935" s="10"/>
      <c r="P935" s="10"/>
      <c r="Q935" s="10"/>
    </row>
    <row r="936" spans="1:17" x14ac:dyDescent="0.45">
      <c r="A936" s="8" t="str">
        <f t="shared" si="14"/>
        <v/>
      </c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10"/>
      <c r="N936" s="10"/>
      <c r="O936" s="10"/>
      <c r="P936" s="10"/>
      <c r="Q936" s="10"/>
    </row>
    <row r="937" spans="1:17" x14ac:dyDescent="0.45">
      <c r="A937" s="8" t="str">
        <f t="shared" si="14"/>
        <v/>
      </c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10"/>
      <c r="N937" s="10"/>
      <c r="O937" s="10"/>
      <c r="P937" s="10"/>
      <c r="Q937" s="10"/>
    </row>
    <row r="938" spans="1:17" x14ac:dyDescent="0.45">
      <c r="A938" s="8" t="str">
        <f t="shared" si="14"/>
        <v/>
      </c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10"/>
      <c r="N938" s="10"/>
      <c r="O938" s="10"/>
      <c r="P938" s="10"/>
      <c r="Q938" s="10"/>
    </row>
    <row r="939" spans="1:17" x14ac:dyDescent="0.45">
      <c r="A939" s="8" t="str">
        <f t="shared" si="14"/>
        <v/>
      </c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10"/>
      <c r="N939" s="10"/>
      <c r="O939" s="10"/>
      <c r="P939" s="10"/>
      <c r="Q939" s="10"/>
    </row>
    <row r="940" spans="1:17" x14ac:dyDescent="0.45">
      <c r="A940" s="8" t="str">
        <f t="shared" si="14"/>
        <v/>
      </c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10"/>
      <c r="N940" s="10"/>
      <c r="O940" s="10"/>
      <c r="P940" s="10"/>
      <c r="Q940" s="10"/>
    </row>
    <row r="941" spans="1:17" x14ac:dyDescent="0.45">
      <c r="A941" s="8" t="str">
        <f t="shared" si="14"/>
        <v/>
      </c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10"/>
      <c r="N941" s="10"/>
      <c r="O941" s="10"/>
      <c r="P941" s="10"/>
      <c r="Q941" s="10"/>
    </row>
    <row r="942" spans="1:17" x14ac:dyDescent="0.45">
      <c r="A942" s="8" t="str">
        <f t="shared" si="14"/>
        <v/>
      </c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10"/>
      <c r="N942" s="10"/>
      <c r="O942" s="10"/>
      <c r="P942" s="10"/>
      <c r="Q942" s="10"/>
    </row>
    <row r="943" spans="1:17" x14ac:dyDescent="0.45">
      <c r="A943" s="8" t="str">
        <f t="shared" si="14"/>
        <v/>
      </c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10"/>
      <c r="N943" s="10"/>
      <c r="O943" s="10"/>
      <c r="P943" s="10"/>
      <c r="Q943" s="10"/>
    </row>
    <row r="944" spans="1:17" x14ac:dyDescent="0.45">
      <c r="A944" s="8" t="str">
        <f t="shared" si="14"/>
        <v/>
      </c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10"/>
      <c r="N944" s="10"/>
      <c r="O944" s="10"/>
      <c r="P944" s="10"/>
      <c r="Q944" s="10"/>
    </row>
    <row r="945" spans="1:17" x14ac:dyDescent="0.45">
      <c r="A945" s="8" t="str">
        <f t="shared" si="14"/>
        <v/>
      </c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10"/>
      <c r="N945" s="10"/>
      <c r="O945" s="10"/>
      <c r="P945" s="10"/>
      <c r="Q945" s="10"/>
    </row>
    <row r="946" spans="1:17" x14ac:dyDescent="0.45">
      <c r="A946" s="8" t="str">
        <f t="shared" si="14"/>
        <v/>
      </c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10"/>
      <c r="N946" s="10"/>
      <c r="O946" s="10"/>
      <c r="P946" s="10"/>
      <c r="Q946" s="10"/>
    </row>
    <row r="947" spans="1:17" x14ac:dyDescent="0.45">
      <c r="A947" s="8" t="str">
        <f t="shared" si="14"/>
        <v/>
      </c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10"/>
      <c r="N947" s="10"/>
      <c r="O947" s="10"/>
      <c r="P947" s="10"/>
      <c r="Q947" s="10"/>
    </row>
    <row r="948" spans="1:17" x14ac:dyDescent="0.45">
      <c r="A948" s="8" t="str">
        <f t="shared" si="14"/>
        <v/>
      </c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10"/>
      <c r="N948" s="10"/>
      <c r="O948" s="10"/>
      <c r="P948" s="10"/>
      <c r="Q948" s="10"/>
    </row>
    <row r="949" spans="1:17" x14ac:dyDescent="0.45">
      <c r="A949" s="8" t="str">
        <f t="shared" si="14"/>
        <v/>
      </c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10"/>
      <c r="N949" s="10"/>
      <c r="O949" s="10"/>
      <c r="P949" s="10"/>
      <c r="Q949" s="10"/>
    </row>
    <row r="950" spans="1:17" x14ac:dyDescent="0.45">
      <c r="A950" s="8" t="str">
        <f t="shared" si="14"/>
        <v/>
      </c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10"/>
      <c r="N950" s="10"/>
      <c r="O950" s="10"/>
      <c r="P950" s="10"/>
      <c r="Q950" s="10"/>
    </row>
    <row r="951" spans="1:17" x14ac:dyDescent="0.45">
      <c r="A951" s="8" t="str">
        <f t="shared" si="14"/>
        <v/>
      </c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10"/>
      <c r="N951" s="10"/>
      <c r="O951" s="10"/>
      <c r="P951" s="10"/>
      <c r="Q951" s="10"/>
    </row>
    <row r="952" spans="1:17" x14ac:dyDescent="0.45">
      <c r="A952" s="8" t="str">
        <f t="shared" si="14"/>
        <v/>
      </c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10"/>
      <c r="N952" s="10"/>
      <c r="O952" s="10"/>
      <c r="P952" s="10"/>
      <c r="Q952" s="10"/>
    </row>
    <row r="953" spans="1:17" x14ac:dyDescent="0.45">
      <c r="A953" s="8" t="str">
        <f t="shared" si="14"/>
        <v/>
      </c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10"/>
      <c r="N953" s="10"/>
      <c r="O953" s="10"/>
      <c r="P953" s="10"/>
      <c r="Q953" s="10"/>
    </row>
    <row r="954" spans="1:17" x14ac:dyDescent="0.45">
      <c r="A954" s="8" t="str">
        <f t="shared" si="14"/>
        <v/>
      </c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10"/>
      <c r="N954" s="10"/>
      <c r="O954" s="10"/>
      <c r="P954" s="10"/>
      <c r="Q954" s="10"/>
    </row>
    <row r="955" spans="1:17" x14ac:dyDescent="0.45">
      <c r="A955" s="8" t="str">
        <f t="shared" si="14"/>
        <v/>
      </c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10"/>
      <c r="N955" s="10"/>
      <c r="O955" s="10"/>
      <c r="P955" s="10"/>
      <c r="Q955" s="10"/>
    </row>
    <row r="956" spans="1:17" x14ac:dyDescent="0.45">
      <c r="A956" s="8" t="str">
        <f t="shared" si="14"/>
        <v/>
      </c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10"/>
      <c r="N956" s="10"/>
      <c r="O956" s="10"/>
      <c r="P956" s="10"/>
      <c r="Q956" s="10"/>
    </row>
    <row r="957" spans="1:17" x14ac:dyDescent="0.45">
      <c r="A957" s="8" t="str">
        <f t="shared" si="14"/>
        <v/>
      </c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10"/>
      <c r="N957" s="10"/>
      <c r="O957" s="10"/>
      <c r="P957" s="10"/>
      <c r="Q957" s="10"/>
    </row>
    <row r="958" spans="1:17" x14ac:dyDescent="0.45">
      <c r="A958" s="8" t="str">
        <f t="shared" si="14"/>
        <v/>
      </c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10"/>
      <c r="N958" s="10"/>
      <c r="O958" s="10"/>
      <c r="P958" s="10"/>
      <c r="Q958" s="10"/>
    </row>
    <row r="959" spans="1:17" x14ac:dyDescent="0.45">
      <c r="A959" s="8" t="str">
        <f t="shared" si="14"/>
        <v/>
      </c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10"/>
      <c r="N959" s="10"/>
      <c r="O959" s="10"/>
      <c r="P959" s="10"/>
      <c r="Q959" s="10"/>
    </row>
    <row r="960" spans="1:17" x14ac:dyDescent="0.45">
      <c r="A960" s="8" t="str">
        <f t="shared" si="14"/>
        <v/>
      </c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10"/>
      <c r="N960" s="10"/>
      <c r="O960" s="10"/>
      <c r="P960" s="10"/>
      <c r="Q960" s="10"/>
    </row>
    <row r="961" spans="1:17" x14ac:dyDescent="0.45">
      <c r="A961" s="8" t="str">
        <f t="shared" si="14"/>
        <v/>
      </c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10"/>
      <c r="N961" s="10"/>
      <c r="O961" s="10"/>
      <c r="P961" s="10"/>
      <c r="Q961" s="10"/>
    </row>
    <row r="962" spans="1:17" x14ac:dyDescent="0.45">
      <c r="A962" s="8" t="str">
        <f t="shared" si="14"/>
        <v/>
      </c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10"/>
      <c r="N962" s="10"/>
      <c r="O962" s="10"/>
      <c r="P962" s="10"/>
      <c r="Q962" s="10"/>
    </row>
    <row r="963" spans="1:17" x14ac:dyDescent="0.45">
      <c r="A963" s="8" t="str">
        <f t="shared" si="14"/>
        <v/>
      </c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10"/>
      <c r="N963" s="10"/>
      <c r="O963" s="10"/>
      <c r="P963" s="10"/>
      <c r="Q963" s="10"/>
    </row>
    <row r="964" spans="1:17" x14ac:dyDescent="0.45">
      <c r="A964" s="8" t="str">
        <f t="shared" si="14"/>
        <v/>
      </c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10"/>
      <c r="N964" s="10"/>
      <c r="O964" s="10"/>
      <c r="P964" s="10"/>
      <c r="Q964" s="10"/>
    </row>
    <row r="965" spans="1:17" x14ac:dyDescent="0.45">
      <c r="A965" s="8" t="str">
        <f t="shared" si="14"/>
        <v/>
      </c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10"/>
      <c r="N965" s="10"/>
      <c r="O965" s="10"/>
      <c r="P965" s="10"/>
      <c r="Q965" s="10"/>
    </row>
    <row r="966" spans="1:17" x14ac:dyDescent="0.45">
      <c r="A966" s="8" t="str">
        <f t="shared" si="14"/>
        <v/>
      </c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10"/>
      <c r="N966" s="10"/>
      <c r="O966" s="10"/>
      <c r="P966" s="10"/>
      <c r="Q966" s="10"/>
    </row>
    <row r="967" spans="1:17" x14ac:dyDescent="0.45">
      <c r="A967" s="8" t="str">
        <f t="shared" ref="A967:A1004" si="15">IF($B967="","",ROW($A967)-(ROW($A$5)))</f>
        <v/>
      </c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10"/>
      <c r="N967" s="10"/>
      <c r="O967" s="10"/>
      <c r="P967" s="10"/>
      <c r="Q967" s="10"/>
    </row>
    <row r="968" spans="1:17" x14ac:dyDescent="0.45">
      <c r="A968" s="8" t="str">
        <f t="shared" si="15"/>
        <v/>
      </c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10"/>
      <c r="N968" s="10"/>
      <c r="O968" s="10"/>
      <c r="P968" s="10"/>
      <c r="Q968" s="10"/>
    </row>
    <row r="969" spans="1:17" x14ac:dyDescent="0.45">
      <c r="A969" s="8" t="str">
        <f t="shared" si="15"/>
        <v/>
      </c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10"/>
      <c r="N969" s="10"/>
      <c r="O969" s="10"/>
      <c r="P969" s="10"/>
      <c r="Q969" s="10"/>
    </row>
    <row r="970" spans="1:17" x14ac:dyDescent="0.45">
      <c r="A970" s="8" t="str">
        <f t="shared" si="15"/>
        <v/>
      </c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10"/>
      <c r="N970" s="10"/>
      <c r="O970" s="10"/>
      <c r="P970" s="10"/>
      <c r="Q970" s="10"/>
    </row>
    <row r="971" spans="1:17" x14ac:dyDescent="0.45">
      <c r="A971" s="8" t="str">
        <f t="shared" si="15"/>
        <v/>
      </c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10"/>
      <c r="N971" s="10"/>
      <c r="O971" s="10"/>
      <c r="P971" s="10"/>
      <c r="Q971" s="10"/>
    </row>
    <row r="972" spans="1:17" x14ac:dyDescent="0.45">
      <c r="A972" s="8" t="str">
        <f t="shared" si="15"/>
        <v/>
      </c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10"/>
      <c r="N972" s="10"/>
      <c r="O972" s="10"/>
      <c r="P972" s="10"/>
      <c r="Q972" s="10"/>
    </row>
    <row r="973" spans="1:17" x14ac:dyDescent="0.45">
      <c r="A973" s="8" t="str">
        <f t="shared" si="15"/>
        <v/>
      </c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10"/>
      <c r="N973" s="10"/>
      <c r="O973" s="10"/>
      <c r="P973" s="10"/>
      <c r="Q973" s="10"/>
    </row>
    <row r="974" spans="1:17" x14ac:dyDescent="0.45">
      <c r="A974" s="8" t="str">
        <f t="shared" si="15"/>
        <v/>
      </c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10"/>
      <c r="N974" s="10"/>
      <c r="O974" s="10"/>
      <c r="P974" s="10"/>
      <c r="Q974" s="10"/>
    </row>
    <row r="975" spans="1:17" x14ac:dyDescent="0.45">
      <c r="A975" s="8" t="str">
        <f t="shared" si="15"/>
        <v/>
      </c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10"/>
      <c r="N975" s="10"/>
      <c r="O975" s="10"/>
      <c r="P975" s="10"/>
      <c r="Q975" s="10"/>
    </row>
    <row r="976" spans="1:17" x14ac:dyDescent="0.45">
      <c r="A976" s="8" t="str">
        <f t="shared" si="15"/>
        <v/>
      </c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10"/>
      <c r="N976" s="10"/>
      <c r="O976" s="10"/>
      <c r="P976" s="10"/>
      <c r="Q976" s="10"/>
    </row>
    <row r="977" spans="1:17" x14ac:dyDescent="0.45">
      <c r="A977" s="8" t="str">
        <f t="shared" si="15"/>
        <v/>
      </c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10"/>
      <c r="N977" s="10"/>
      <c r="O977" s="10"/>
      <c r="P977" s="10"/>
      <c r="Q977" s="10"/>
    </row>
    <row r="978" spans="1:17" x14ac:dyDescent="0.45">
      <c r="A978" s="8" t="str">
        <f t="shared" si="15"/>
        <v/>
      </c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10"/>
      <c r="N978" s="10"/>
      <c r="O978" s="10"/>
      <c r="P978" s="10"/>
      <c r="Q978" s="10"/>
    </row>
    <row r="979" spans="1:17" x14ac:dyDescent="0.45">
      <c r="A979" s="8" t="str">
        <f t="shared" si="15"/>
        <v/>
      </c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10"/>
      <c r="N979" s="10"/>
      <c r="O979" s="10"/>
      <c r="P979" s="10"/>
      <c r="Q979" s="10"/>
    </row>
    <row r="980" spans="1:17" x14ac:dyDescent="0.45">
      <c r="A980" s="8" t="str">
        <f t="shared" si="15"/>
        <v/>
      </c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10"/>
      <c r="N980" s="10"/>
      <c r="O980" s="10"/>
      <c r="P980" s="10"/>
      <c r="Q980" s="10"/>
    </row>
    <row r="981" spans="1:17" x14ac:dyDescent="0.45">
      <c r="A981" s="8" t="str">
        <f t="shared" si="15"/>
        <v/>
      </c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10"/>
      <c r="N981" s="10"/>
      <c r="O981" s="10"/>
      <c r="P981" s="10"/>
      <c r="Q981" s="10"/>
    </row>
    <row r="982" spans="1:17" x14ac:dyDescent="0.45">
      <c r="A982" s="8" t="str">
        <f t="shared" si="15"/>
        <v/>
      </c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10"/>
      <c r="N982" s="10"/>
      <c r="O982" s="10"/>
      <c r="P982" s="10"/>
      <c r="Q982" s="10"/>
    </row>
    <row r="983" spans="1:17" x14ac:dyDescent="0.45">
      <c r="A983" s="8" t="str">
        <f t="shared" si="15"/>
        <v/>
      </c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10"/>
      <c r="N983" s="10"/>
      <c r="O983" s="10"/>
      <c r="P983" s="10"/>
      <c r="Q983" s="10"/>
    </row>
    <row r="984" spans="1:17" x14ac:dyDescent="0.45">
      <c r="A984" s="8" t="str">
        <f t="shared" si="15"/>
        <v/>
      </c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10"/>
      <c r="N984" s="10"/>
      <c r="O984" s="10"/>
      <c r="P984" s="10"/>
      <c r="Q984" s="10"/>
    </row>
    <row r="985" spans="1:17" x14ac:dyDescent="0.45">
      <c r="A985" s="8" t="str">
        <f t="shared" si="15"/>
        <v/>
      </c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10"/>
      <c r="N985" s="10"/>
      <c r="O985" s="10"/>
      <c r="P985" s="10"/>
      <c r="Q985" s="10"/>
    </row>
    <row r="986" spans="1:17" x14ac:dyDescent="0.45">
      <c r="A986" s="8" t="str">
        <f t="shared" si="15"/>
        <v/>
      </c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10"/>
      <c r="N986" s="10"/>
      <c r="O986" s="10"/>
      <c r="P986" s="10"/>
      <c r="Q986" s="10"/>
    </row>
    <row r="987" spans="1:17" x14ac:dyDescent="0.45">
      <c r="A987" s="8" t="str">
        <f t="shared" si="15"/>
        <v/>
      </c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10"/>
      <c r="N987" s="10"/>
      <c r="O987" s="10"/>
      <c r="P987" s="10"/>
      <c r="Q987" s="10"/>
    </row>
    <row r="988" spans="1:17" x14ac:dyDescent="0.45">
      <c r="A988" s="8" t="str">
        <f t="shared" si="15"/>
        <v/>
      </c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10"/>
      <c r="N988" s="10"/>
      <c r="O988" s="10"/>
      <c r="P988" s="10"/>
      <c r="Q988" s="10"/>
    </row>
    <row r="989" spans="1:17" x14ac:dyDescent="0.45">
      <c r="A989" s="8" t="str">
        <f t="shared" si="15"/>
        <v/>
      </c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10"/>
      <c r="N989" s="10"/>
      <c r="O989" s="10"/>
      <c r="P989" s="10"/>
      <c r="Q989" s="10"/>
    </row>
    <row r="990" spans="1:17" x14ac:dyDescent="0.45">
      <c r="A990" s="8" t="str">
        <f t="shared" si="15"/>
        <v/>
      </c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10"/>
      <c r="N990" s="10"/>
      <c r="O990" s="10"/>
      <c r="P990" s="10"/>
      <c r="Q990" s="10"/>
    </row>
    <row r="991" spans="1:17" x14ac:dyDescent="0.45">
      <c r="A991" s="8" t="str">
        <f t="shared" si="15"/>
        <v/>
      </c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10"/>
      <c r="N991" s="10"/>
      <c r="O991" s="10"/>
      <c r="P991" s="10"/>
      <c r="Q991" s="10"/>
    </row>
    <row r="992" spans="1:17" x14ac:dyDescent="0.45">
      <c r="A992" s="8" t="str">
        <f t="shared" si="15"/>
        <v/>
      </c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10"/>
      <c r="N992" s="10"/>
      <c r="O992" s="10"/>
      <c r="P992" s="10"/>
      <c r="Q992" s="10"/>
    </row>
    <row r="993" spans="1:17" x14ac:dyDescent="0.45">
      <c r="A993" s="8" t="str">
        <f t="shared" si="15"/>
        <v/>
      </c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10"/>
      <c r="N993" s="10"/>
      <c r="O993" s="10"/>
      <c r="P993" s="10"/>
      <c r="Q993" s="10"/>
    </row>
    <row r="994" spans="1:17" x14ac:dyDescent="0.45">
      <c r="A994" s="8" t="str">
        <f t="shared" si="15"/>
        <v/>
      </c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10"/>
      <c r="N994" s="10"/>
      <c r="O994" s="10"/>
      <c r="P994" s="10"/>
      <c r="Q994" s="10"/>
    </row>
    <row r="995" spans="1:17" x14ac:dyDescent="0.45">
      <c r="A995" s="8" t="str">
        <f t="shared" si="15"/>
        <v/>
      </c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10"/>
      <c r="N995" s="10"/>
      <c r="O995" s="10"/>
      <c r="P995" s="10"/>
      <c r="Q995" s="10"/>
    </row>
    <row r="996" spans="1:17" x14ac:dyDescent="0.45">
      <c r="A996" s="8" t="str">
        <f t="shared" si="15"/>
        <v/>
      </c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10"/>
      <c r="N996" s="10"/>
      <c r="O996" s="10"/>
      <c r="P996" s="10"/>
      <c r="Q996" s="10"/>
    </row>
    <row r="997" spans="1:17" x14ac:dyDescent="0.45">
      <c r="A997" s="8" t="str">
        <f t="shared" si="15"/>
        <v/>
      </c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10"/>
      <c r="N997" s="10"/>
      <c r="O997" s="10"/>
      <c r="P997" s="10"/>
      <c r="Q997" s="10"/>
    </row>
    <row r="998" spans="1:17" x14ac:dyDescent="0.45">
      <c r="A998" s="8" t="str">
        <f t="shared" si="15"/>
        <v/>
      </c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10"/>
      <c r="N998" s="10"/>
      <c r="O998" s="10"/>
      <c r="P998" s="10"/>
      <c r="Q998" s="10"/>
    </row>
    <row r="999" spans="1:17" x14ac:dyDescent="0.45">
      <c r="A999" s="8" t="str">
        <f t="shared" si="15"/>
        <v/>
      </c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10"/>
      <c r="N999" s="10"/>
      <c r="O999" s="10"/>
      <c r="P999" s="10"/>
      <c r="Q999" s="10"/>
    </row>
    <row r="1000" spans="1:17" x14ac:dyDescent="0.45">
      <c r="A1000" s="8" t="str">
        <f t="shared" si="15"/>
        <v/>
      </c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10"/>
      <c r="N1000" s="10"/>
      <c r="O1000" s="10"/>
      <c r="P1000" s="10"/>
      <c r="Q1000" s="10"/>
    </row>
    <row r="1001" spans="1:17" x14ac:dyDescent="0.45">
      <c r="A1001" s="8" t="str">
        <f t="shared" si="15"/>
        <v/>
      </c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10"/>
      <c r="N1001" s="10"/>
      <c r="O1001" s="10"/>
      <c r="P1001" s="10"/>
      <c r="Q1001" s="10"/>
    </row>
    <row r="1002" spans="1:17" x14ac:dyDescent="0.45">
      <c r="A1002" s="8" t="str">
        <f t="shared" si="15"/>
        <v/>
      </c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10"/>
      <c r="N1002" s="10"/>
      <c r="O1002" s="10"/>
      <c r="P1002" s="10"/>
      <c r="Q1002" s="10"/>
    </row>
    <row r="1003" spans="1:17" x14ac:dyDescent="0.45">
      <c r="A1003" s="8" t="str">
        <f t="shared" si="15"/>
        <v/>
      </c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10"/>
      <c r="N1003" s="10"/>
      <c r="O1003" s="10"/>
      <c r="P1003" s="10"/>
      <c r="Q1003" s="10"/>
    </row>
    <row r="1004" spans="1:17" x14ac:dyDescent="0.45">
      <c r="A1004" s="8" t="str">
        <f t="shared" si="15"/>
        <v/>
      </c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10"/>
      <c r="N1004" s="10"/>
      <c r="O1004" s="10"/>
      <c r="P1004" s="10"/>
      <c r="Q1004" s="10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reateFolderCellValueName01">
                <anchor mov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510540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AllData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510540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ClearProcessFlow">
                <anchor moveWithCells="1">
                  <from>
                    <xdr:col>7</xdr:col>
                    <xdr:colOff>365760</xdr:colOff>
                    <xdr:row>0</xdr:row>
                    <xdr:rowOff>0</xdr:rowOff>
                  </from>
                  <to>
                    <xdr:col>7</xdr:col>
                    <xdr:colOff>1295400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ClearProduct">
                <anchor moveWithCells="1">
                  <from>
                    <xdr:col>7</xdr:col>
                    <xdr:colOff>365760</xdr:colOff>
                    <xdr:row>2</xdr:row>
                    <xdr:rowOff>0</xdr:rowOff>
                  </from>
                  <to>
                    <xdr:col>7</xdr:col>
                    <xdr:colOff>1295400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88F65-887F-427F-AA20-320702C5C5FC}">
  <sheetPr codeName="Sheet2"/>
  <dimension ref="A1:BK345"/>
  <sheetViews>
    <sheetView zoomScale="75" zoomScaleNormal="75" workbookViewId="0"/>
  </sheetViews>
  <sheetFormatPr defaultRowHeight="18" x14ac:dyDescent="0.45"/>
  <cols>
    <col min="1" max="16384" width="8.796875" style="11"/>
  </cols>
  <sheetData>
    <row r="1" spans="1:63" x14ac:dyDescent="0.45">
      <c r="A1" s="11" t="s">
        <v>11</v>
      </c>
      <c r="B1" s="11" t="s">
        <v>12</v>
      </c>
    </row>
    <row r="2" spans="1:63" x14ac:dyDescent="0.45">
      <c r="A2" s="11" t="s">
        <v>13</v>
      </c>
      <c r="B2" s="11" t="s">
        <v>14</v>
      </c>
      <c r="E2" s="11" t="s">
        <v>15</v>
      </c>
      <c r="G2" s="11" t="s">
        <v>16</v>
      </c>
      <c r="I2" s="11" t="s">
        <v>17</v>
      </c>
      <c r="K2" s="11" t="s">
        <v>18</v>
      </c>
    </row>
    <row r="3" spans="1:63" x14ac:dyDescent="0.45">
      <c r="A3" s="11" t="s">
        <v>19</v>
      </c>
      <c r="B3" s="11" t="s">
        <v>20</v>
      </c>
      <c r="C3" s="11" t="s">
        <v>21</v>
      </c>
      <c r="D3" s="11" t="s">
        <v>22</v>
      </c>
      <c r="E3" s="11" t="s">
        <v>23</v>
      </c>
      <c r="F3" s="11" t="s">
        <v>24</v>
      </c>
      <c r="G3" s="11" t="s">
        <v>25</v>
      </c>
      <c r="J3" s="11" t="s">
        <v>26</v>
      </c>
    </row>
    <row r="5" spans="1:63" x14ac:dyDescent="0.45">
      <c r="A5" s="11" t="s">
        <v>27</v>
      </c>
    </row>
    <row r="6" spans="1:63" x14ac:dyDescent="0.45">
      <c r="A6" s="11" t="s">
        <v>28</v>
      </c>
      <c r="B6" s="11" t="s">
        <v>29</v>
      </c>
      <c r="C6" s="11" t="s">
        <v>30</v>
      </c>
      <c r="D6" s="11" t="s">
        <v>31</v>
      </c>
      <c r="E6" s="11" t="s">
        <v>32</v>
      </c>
      <c r="F6" s="11" t="s">
        <v>33</v>
      </c>
      <c r="G6" s="11" t="s">
        <v>34</v>
      </c>
      <c r="H6" s="11" t="s">
        <v>35</v>
      </c>
      <c r="I6" s="11" t="s">
        <v>36</v>
      </c>
      <c r="J6" s="11" t="s">
        <v>37</v>
      </c>
      <c r="K6" s="11" t="s">
        <v>38</v>
      </c>
      <c r="L6" s="11" t="s">
        <v>39</v>
      </c>
      <c r="M6" s="11" t="s">
        <v>40</v>
      </c>
      <c r="N6" s="11" t="s">
        <v>41</v>
      </c>
      <c r="O6" s="11" t="s">
        <v>42</v>
      </c>
      <c r="P6" s="11" t="s">
        <v>43</v>
      </c>
      <c r="Q6" s="11" t="s">
        <v>44</v>
      </c>
      <c r="R6" s="11" t="s">
        <v>45</v>
      </c>
      <c r="S6" s="11" t="s">
        <v>1580</v>
      </c>
    </row>
    <row r="8" spans="1:63" x14ac:dyDescent="0.45">
      <c r="A8" s="11" t="s">
        <v>1581</v>
      </c>
    </row>
    <row r="9" spans="1:63" x14ac:dyDescent="0.45">
      <c r="A9" s="11" t="s">
        <v>46</v>
      </c>
      <c r="B9" s="11" t="s">
        <v>47</v>
      </c>
      <c r="C9" s="11" t="s">
        <v>48</v>
      </c>
      <c r="D9" s="11" t="s">
        <v>49</v>
      </c>
      <c r="E9" s="11" t="s">
        <v>50</v>
      </c>
      <c r="F9" s="11" t="s">
        <v>51</v>
      </c>
      <c r="G9" s="11" t="s">
        <v>52</v>
      </c>
      <c r="H9" s="11" t="s">
        <v>53</v>
      </c>
      <c r="I9" s="11" t="s">
        <v>54</v>
      </c>
      <c r="J9" s="11" t="s">
        <v>15</v>
      </c>
      <c r="K9" s="11" t="s">
        <v>1582</v>
      </c>
      <c r="L9" s="11" t="s">
        <v>28</v>
      </c>
      <c r="M9" s="11" t="s">
        <v>55</v>
      </c>
      <c r="N9" s="11" t="s">
        <v>14</v>
      </c>
      <c r="O9" s="11" t="s">
        <v>56</v>
      </c>
      <c r="P9" s="11" t="s">
        <v>16</v>
      </c>
      <c r="Q9" s="11" t="s">
        <v>26</v>
      </c>
      <c r="R9" s="11" t="s">
        <v>15</v>
      </c>
      <c r="S9" s="11" t="s">
        <v>1583</v>
      </c>
      <c r="T9" s="11" t="s">
        <v>57</v>
      </c>
      <c r="U9" s="11" t="s">
        <v>58</v>
      </c>
      <c r="V9" s="11" t="s">
        <v>59</v>
      </c>
      <c r="W9" s="11" t="s">
        <v>60</v>
      </c>
      <c r="X9" s="11" t="s">
        <v>61</v>
      </c>
      <c r="Y9" s="11" t="s">
        <v>62</v>
      </c>
      <c r="Z9" s="11" t="s">
        <v>63</v>
      </c>
      <c r="AA9" s="11" t="s">
        <v>64</v>
      </c>
      <c r="AB9" s="11" t="s">
        <v>65</v>
      </c>
      <c r="AC9" s="11" t="s">
        <v>66</v>
      </c>
      <c r="AD9" s="11" t="s">
        <v>67</v>
      </c>
      <c r="AE9" s="11" t="s">
        <v>68</v>
      </c>
      <c r="AF9" s="11" t="s">
        <v>69</v>
      </c>
      <c r="AG9" s="11" t="s">
        <v>70</v>
      </c>
      <c r="AH9" s="11" t="s">
        <v>71</v>
      </c>
      <c r="AI9" s="11" t="s">
        <v>72</v>
      </c>
      <c r="AJ9" s="11" t="s">
        <v>73</v>
      </c>
      <c r="AK9" s="11" t="s">
        <v>74</v>
      </c>
      <c r="AL9" s="11" t="s">
        <v>75</v>
      </c>
      <c r="AM9" s="11" t="s">
        <v>76</v>
      </c>
      <c r="AN9" s="11" t="s">
        <v>77</v>
      </c>
      <c r="AO9" s="11" t="s">
        <v>78</v>
      </c>
      <c r="AP9" s="11" t="s">
        <v>79</v>
      </c>
      <c r="AQ9" s="11" t="s">
        <v>80</v>
      </c>
      <c r="AR9" s="11" t="s">
        <v>81</v>
      </c>
      <c r="AS9" s="11" t="s">
        <v>82</v>
      </c>
      <c r="AT9" s="11" t="s">
        <v>83</v>
      </c>
      <c r="AU9" s="11" t="s">
        <v>84</v>
      </c>
      <c r="AV9" s="11" t="s">
        <v>85</v>
      </c>
      <c r="AW9" s="11" t="s">
        <v>86</v>
      </c>
      <c r="AX9" s="11" t="s">
        <v>87</v>
      </c>
      <c r="AY9" s="11" t="s">
        <v>88</v>
      </c>
      <c r="AZ9" s="11" t="s">
        <v>89</v>
      </c>
      <c r="BA9" s="11" t="s">
        <v>90</v>
      </c>
      <c r="BB9" s="11" t="s">
        <v>91</v>
      </c>
      <c r="BC9" s="11" t="s">
        <v>92</v>
      </c>
      <c r="BD9" s="11" t="s">
        <v>93</v>
      </c>
      <c r="BE9" s="11" t="s">
        <v>94</v>
      </c>
      <c r="BF9" s="11" t="s">
        <v>95</v>
      </c>
      <c r="BG9" s="11" t="s">
        <v>96</v>
      </c>
      <c r="BH9" s="11" t="s">
        <v>97</v>
      </c>
      <c r="BI9" s="11" t="s">
        <v>98</v>
      </c>
      <c r="BJ9" s="11" t="s">
        <v>99</v>
      </c>
      <c r="BK9" s="11" t="s">
        <v>100</v>
      </c>
    </row>
    <row r="10" spans="1:63" x14ac:dyDescent="0.45">
      <c r="B10" s="11" t="s">
        <v>21</v>
      </c>
      <c r="C10" s="11" t="s">
        <v>23</v>
      </c>
      <c r="D10" s="11" t="s">
        <v>24</v>
      </c>
      <c r="E10" s="11" t="s">
        <v>25</v>
      </c>
      <c r="F10" s="11" t="s">
        <v>101</v>
      </c>
      <c r="G10" s="11" t="s">
        <v>102</v>
      </c>
      <c r="H10" s="11" t="s">
        <v>21</v>
      </c>
      <c r="I10" s="11">
        <v>110</v>
      </c>
      <c r="J10" s="11" t="s">
        <v>103</v>
      </c>
      <c r="K10" s="11">
        <v>1</v>
      </c>
      <c r="L10" s="11">
        <v>110</v>
      </c>
      <c r="M10" s="11" t="s">
        <v>104</v>
      </c>
      <c r="Q10" s="11" t="s">
        <v>105</v>
      </c>
      <c r="R10" s="11" t="s">
        <v>106</v>
      </c>
      <c r="S10" s="11" t="s">
        <v>1584</v>
      </c>
      <c r="T10" s="11" t="s">
        <v>107</v>
      </c>
      <c r="U10" s="11" t="s">
        <v>108</v>
      </c>
      <c r="V10" s="11" t="s">
        <v>21</v>
      </c>
      <c r="W10" s="11" t="s">
        <v>109</v>
      </c>
      <c r="X10" s="11" t="s">
        <v>24</v>
      </c>
      <c r="Y10" s="11" t="s">
        <v>24</v>
      </c>
      <c r="Z10" s="11" t="s">
        <v>110</v>
      </c>
      <c r="AB10" s="11">
        <v>1</v>
      </c>
      <c r="AC10" s="11" t="s">
        <v>111</v>
      </c>
      <c r="AD10" s="11" t="s">
        <v>112</v>
      </c>
      <c r="AE10" s="11" t="s">
        <v>113</v>
      </c>
      <c r="AL10" s="11">
        <v>1</v>
      </c>
    </row>
    <row r="11" spans="1:63" x14ac:dyDescent="0.45">
      <c r="B11" s="11" t="s">
        <v>21</v>
      </c>
      <c r="C11" s="11" t="s">
        <v>23</v>
      </c>
      <c r="D11" s="11" t="s">
        <v>24</v>
      </c>
      <c r="E11" s="11" t="s">
        <v>25</v>
      </c>
      <c r="F11" s="11" t="s">
        <v>114</v>
      </c>
      <c r="G11" s="11" t="s">
        <v>115</v>
      </c>
      <c r="H11" s="11" t="s">
        <v>21</v>
      </c>
      <c r="I11" s="11" t="s">
        <v>116</v>
      </c>
      <c r="J11" s="11" t="s">
        <v>117</v>
      </c>
      <c r="K11" s="11">
        <v>1</v>
      </c>
      <c r="L11" s="11" t="s">
        <v>118</v>
      </c>
      <c r="M11" s="11" t="s">
        <v>119</v>
      </c>
      <c r="Q11" s="11" t="s">
        <v>105</v>
      </c>
      <c r="R11" s="11" t="s">
        <v>106</v>
      </c>
      <c r="S11" s="11" t="s">
        <v>1584</v>
      </c>
      <c r="T11" s="11" t="s">
        <v>107</v>
      </c>
      <c r="U11" s="11" t="s">
        <v>108</v>
      </c>
      <c r="V11" s="11" t="s">
        <v>21</v>
      </c>
      <c r="W11" s="11" t="s">
        <v>109</v>
      </c>
      <c r="X11" s="11" t="s">
        <v>24</v>
      </c>
      <c r="Y11" s="11" t="s">
        <v>24</v>
      </c>
      <c r="Z11" s="11" t="s">
        <v>110</v>
      </c>
      <c r="AC11" s="11" t="s">
        <v>111</v>
      </c>
      <c r="AD11" s="11" t="s">
        <v>112</v>
      </c>
      <c r="AE11" s="11" t="s">
        <v>113</v>
      </c>
      <c r="AL11" s="11">
        <v>1</v>
      </c>
      <c r="BA11" s="11">
        <v>1</v>
      </c>
    </row>
    <row r="12" spans="1:63" x14ac:dyDescent="0.45">
      <c r="B12" s="11" t="s">
        <v>21</v>
      </c>
      <c r="C12" s="11" t="s">
        <v>23</v>
      </c>
      <c r="D12" s="11" t="s">
        <v>24</v>
      </c>
      <c r="E12" s="11" t="s">
        <v>25</v>
      </c>
      <c r="F12" s="11" t="s">
        <v>120</v>
      </c>
      <c r="G12" s="11" t="s">
        <v>121</v>
      </c>
      <c r="H12" s="11" t="s">
        <v>21</v>
      </c>
      <c r="I12" s="11" t="s">
        <v>122</v>
      </c>
      <c r="J12" s="11" t="s">
        <v>123</v>
      </c>
      <c r="K12" s="11">
        <v>1</v>
      </c>
      <c r="L12" s="11" t="s">
        <v>124</v>
      </c>
      <c r="M12" s="11" t="s">
        <v>125</v>
      </c>
      <c r="Q12" s="11" t="s">
        <v>105</v>
      </c>
      <c r="R12" s="11" t="s">
        <v>106</v>
      </c>
      <c r="S12" s="11" t="s">
        <v>1584</v>
      </c>
      <c r="T12" s="11" t="s">
        <v>107</v>
      </c>
      <c r="U12" s="11" t="s">
        <v>108</v>
      </c>
      <c r="V12" s="11" t="s">
        <v>21</v>
      </c>
      <c r="W12" s="11" t="s">
        <v>126</v>
      </c>
      <c r="X12" s="11" t="s">
        <v>24</v>
      </c>
      <c r="Y12" s="11" t="s">
        <v>24</v>
      </c>
      <c r="Z12" s="11" t="s">
        <v>127</v>
      </c>
      <c r="AC12" s="11" t="s">
        <v>111</v>
      </c>
      <c r="AD12" s="11" t="s">
        <v>128</v>
      </c>
      <c r="AE12" s="11" t="s">
        <v>113</v>
      </c>
      <c r="AL12" s="11">
        <v>1</v>
      </c>
    </row>
    <row r="13" spans="1:63" x14ac:dyDescent="0.45">
      <c r="B13" s="11" t="s">
        <v>21</v>
      </c>
      <c r="C13" s="11" t="s">
        <v>23</v>
      </c>
      <c r="D13" s="11" t="s">
        <v>24</v>
      </c>
      <c r="E13" s="11" t="s">
        <v>25</v>
      </c>
      <c r="F13" s="11" t="s">
        <v>129</v>
      </c>
      <c r="G13" s="11" t="s">
        <v>130</v>
      </c>
      <c r="H13" s="11" t="s">
        <v>21</v>
      </c>
      <c r="I13" s="11" t="s">
        <v>131</v>
      </c>
      <c r="J13" s="11" t="s">
        <v>132</v>
      </c>
      <c r="K13" s="11">
        <v>1</v>
      </c>
      <c r="L13" s="11" t="s">
        <v>133</v>
      </c>
      <c r="M13" s="11" t="s">
        <v>134</v>
      </c>
      <c r="Q13" s="11" t="s">
        <v>135</v>
      </c>
      <c r="R13" s="11" t="s">
        <v>24</v>
      </c>
      <c r="T13" s="11" t="s">
        <v>136</v>
      </c>
      <c r="U13" s="11" t="s">
        <v>137</v>
      </c>
      <c r="V13" s="11" t="s">
        <v>21</v>
      </c>
      <c r="W13" s="11" t="s">
        <v>126</v>
      </c>
      <c r="X13" s="11" t="s">
        <v>24</v>
      </c>
      <c r="Y13" s="11" t="s">
        <v>24</v>
      </c>
      <c r="Z13" s="11" t="s">
        <v>127</v>
      </c>
      <c r="AC13" s="11" t="s">
        <v>111</v>
      </c>
      <c r="AD13" s="11" t="s">
        <v>128</v>
      </c>
      <c r="AE13" s="11" t="s">
        <v>138</v>
      </c>
      <c r="AL13" s="11">
        <v>1</v>
      </c>
      <c r="AU13" s="11">
        <v>1</v>
      </c>
      <c r="AY13" s="11">
        <v>1</v>
      </c>
      <c r="AZ13" s="11">
        <v>1</v>
      </c>
      <c r="BB13" s="11">
        <v>6</v>
      </c>
      <c r="BC13" s="11" t="s">
        <v>133</v>
      </c>
    </row>
    <row r="14" spans="1:63" x14ac:dyDescent="0.45">
      <c r="B14" s="11" t="s">
        <v>21</v>
      </c>
      <c r="C14" s="11" t="s">
        <v>23</v>
      </c>
      <c r="D14" s="11" t="s">
        <v>24</v>
      </c>
      <c r="E14" s="11" t="s">
        <v>25</v>
      </c>
      <c r="F14" s="11" t="s">
        <v>139</v>
      </c>
      <c r="G14" s="11" t="s">
        <v>140</v>
      </c>
      <c r="H14" s="11" t="s">
        <v>21</v>
      </c>
      <c r="I14" s="11" t="s">
        <v>141</v>
      </c>
      <c r="J14" s="11" t="s">
        <v>142</v>
      </c>
      <c r="K14" s="11">
        <v>1</v>
      </c>
      <c r="L14" s="11" t="s">
        <v>143</v>
      </c>
      <c r="M14" s="11" t="s">
        <v>144</v>
      </c>
      <c r="Q14" s="11" t="s">
        <v>145</v>
      </c>
      <c r="R14" s="11" t="s">
        <v>24</v>
      </c>
      <c r="T14" s="11" t="s">
        <v>146</v>
      </c>
      <c r="U14" s="11" t="s">
        <v>147</v>
      </c>
      <c r="V14" s="11" t="s">
        <v>21</v>
      </c>
      <c r="W14" s="11" t="s">
        <v>126</v>
      </c>
      <c r="X14" s="11" t="s">
        <v>24</v>
      </c>
      <c r="Y14" s="11" t="s">
        <v>24</v>
      </c>
      <c r="Z14" s="11" t="s">
        <v>127</v>
      </c>
      <c r="AC14" s="11" t="s">
        <v>111</v>
      </c>
      <c r="AD14" s="11" t="s">
        <v>128</v>
      </c>
      <c r="AE14" s="11" t="s">
        <v>113</v>
      </c>
      <c r="AL14" s="11">
        <v>1</v>
      </c>
      <c r="AU14" s="11">
        <v>1</v>
      </c>
      <c r="AY14" s="11">
        <v>1</v>
      </c>
      <c r="AZ14" s="11">
        <v>2</v>
      </c>
      <c r="BA14" s="11">
        <v>1</v>
      </c>
    </row>
    <row r="15" spans="1:63" x14ac:dyDescent="0.45">
      <c r="B15" s="11" t="s">
        <v>21</v>
      </c>
      <c r="C15" s="11" t="s">
        <v>23</v>
      </c>
      <c r="D15" s="11" t="s">
        <v>24</v>
      </c>
      <c r="E15" s="11" t="s">
        <v>25</v>
      </c>
      <c r="F15" s="11" t="s">
        <v>148</v>
      </c>
      <c r="G15" s="11" t="s">
        <v>149</v>
      </c>
      <c r="H15" s="11" t="s">
        <v>21</v>
      </c>
      <c r="I15" s="11" t="s">
        <v>150</v>
      </c>
      <c r="J15" s="11" t="s">
        <v>151</v>
      </c>
      <c r="K15" s="11">
        <v>1</v>
      </c>
      <c r="L15" s="11" t="s">
        <v>152</v>
      </c>
      <c r="M15" s="11" t="s">
        <v>153</v>
      </c>
      <c r="Q15" s="11" t="s">
        <v>154</v>
      </c>
      <c r="R15" s="11" t="s">
        <v>24</v>
      </c>
      <c r="T15" s="11" t="s">
        <v>155</v>
      </c>
      <c r="U15" s="11" t="s">
        <v>156</v>
      </c>
      <c r="V15" s="11" t="s">
        <v>21</v>
      </c>
      <c r="W15" s="11" t="s">
        <v>126</v>
      </c>
      <c r="X15" s="11" t="s">
        <v>24</v>
      </c>
      <c r="Y15" s="11" t="s">
        <v>24</v>
      </c>
      <c r="Z15" s="11" t="s">
        <v>127</v>
      </c>
      <c r="AC15" s="11" t="s">
        <v>111</v>
      </c>
      <c r="AD15" s="11" t="s">
        <v>128</v>
      </c>
      <c r="AE15" s="11" t="s">
        <v>113</v>
      </c>
      <c r="AL15" s="11">
        <v>1</v>
      </c>
      <c r="AU15" s="11">
        <v>1</v>
      </c>
      <c r="AY15" s="11">
        <v>1</v>
      </c>
      <c r="AZ15" s="11">
        <v>2</v>
      </c>
      <c r="BA15" s="11">
        <v>1</v>
      </c>
    </row>
    <row r="16" spans="1:63" x14ac:dyDescent="0.45">
      <c r="B16" s="11" t="s">
        <v>21</v>
      </c>
      <c r="C16" s="11" t="s">
        <v>23</v>
      </c>
      <c r="D16" s="11" t="s">
        <v>24</v>
      </c>
      <c r="E16" s="11" t="s">
        <v>25</v>
      </c>
      <c r="F16" s="11" t="s">
        <v>157</v>
      </c>
      <c r="G16" s="11" t="s">
        <v>158</v>
      </c>
      <c r="H16" s="11" t="s">
        <v>21</v>
      </c>
      <c r="I16" s="11" t="s">
        <v>159</v>
      </c>
      <c r="J16" s="11" t="s">
        <v>123</v>
      </c>
      <c r="K16" s="11">
        <v>1</v>
      </c>
      <c r="L16" s="11" t="s">
        <v>160</v>
      </c>
      <c r="M16" s="11" t="s">
        <v>161</v>
      </c>
      <c r="Q16" s="11" t="s">
        <v>105</v>
      </c>
      <c r="R16" s="11" t="s">
        <v>106</v>
      </c>
      <c r="S16" s="11" t="s">
        <v>1584</v>
      </c>
      <c r="T16" s="11" t="s">
        <v>107</v>
      </c>
      <c r="U16" s="11" t="s">
        <v>108</v>
      </c>
      <c r="V16" s="11" t="s">
        <v>21</v>
      </c>
      <c r="W16" s="11" t="s">
        <v>126</v>
      </c>
      <c r="X16" s="11" t="s">
        <v>24</v>
      </c>
      <c r="Y16" s="11" t="s">
        <v>24</v>
      </c>
      <c r="Z16" s="11" t="s">
        <v>127</v>
      </c>
      <c r="AC16" s="11" t="s">
        <v>111</v>
      </c>
      <c r="AD16" s="11" t="s">
        <v>128</v>
      </c>
      <c r="AE16" s="11" t="s">
        <v>113</v>
      </c>
      <c r="AL16" s="11">
        <v>1</v>
      </c>
    </row>
    <row r="17" spans="2:63" x14ac:dyDescent="0.45">
      <c r="B17" s="11" t="s">
        <v>21</v>
      </c>
      <c r="C17" s="11" t="s">
        <v>23</v>
      </c>
      <c r="D17" s="11" t="s">
        <v>24</v>
      </c>
      <c r="E17" s="11" t="s">
        <v>25</v>
      </c>
      <c r="F17" s="11" t="s">
        <v>162</v>
      </c>
      <c r="G17" s="11" t="s">
        <v>163</v>
      </c>
      <c r="H17" s="11" t="s">
        <v>21</v>
      </c>
      <c r="I17" s="11" t="s">
        <v>164</v>
      </c>
      <c r="J17" s="11" t="s">
        <v>165</v>
      </c>
      <c r="K17" s="11">
        <v>1</v>
      </c>
      <c r="L17" s="11" t="s">
        <v>166</v>
      </c>
      <c r="M17" s="11" t="s">
        <v>167</v>
      </c>
      <c r="Q17" s="11" t="s">
        <v>105</v>
      </c>
      <c r="R17" s="11" t="s">
        <v>106</v>
      </c>
      <c r="S17" s="11" t="s">
        <v>1584</v>
      </c>
      <c r="T17" s="11" t="s">
        <v>107</v>
      </c>
      <c r="U17" s="11" t="s">
        <v>108</v>
      </c>
      <c r="V17" s="11" t="s">
        <v>21</v>
      </c>
      <c r="W17" s="11" t="s">
        <v>126</v>
      </c>
      <c r="X17" s="11" t="s">
        <v>24</v>
      </c>
      <c r="Y17" s="11" t="s">
        <v>24</v>
      </c>
      <c r="Z17" s="11" t="s">
        <v>127</v>
      </c>
      <c r="AC17" s="11" t="s">
        <v>111</v>
      </c>
      <c r="AD17" s="11" t="s">
        <v>128</v>
      </c>
      <c r="AE17" s="11" t="s">
        <v>168</v>
      </c>
      <c r="AL17" s="11">
        <v>1</v>
      </c>
    </row>
    <row r="18" spans="2:63" x14ac:dyDescent="0.45">
      <c r="B18" s="11" t="s">
        <v>21</v>
      </c>
      <c r="C18" s="11" t="s">
        <v>23</v>
      </c>
      <c r="D18" s="11" t="s">
        <v>24</v>
      </c>
      <c r="E18" s="11" t="s">
        <v>25</v>
      </c>
      <c r="F18" s="11" t="s">
        <v>169</v>
      </c>
      <c r="G18" s="11" t="s">
        <v>170</v>
      </c>
      <c r="H18" s="11" t="s">
        <v>21</v>
      </c>
      <c r="I18" s="11" t="s">
        <v>171</v>
      </c>
      <c r="J18" s="11" t="s">
        <v>172</v>
      </c>
      <c r="K18" s="11">
        <v>1</v>
      </c>
      <c r="L18" s="11" t="s">
        <v>173</v>
      </c>
      <c r="M18" s="11" t="s">
        <v>174</v>
      </c>
      <c r="Q18" s="11" t="s">
        <v>105</v>
      </c>
      <c r="R18" s="11" t="s">
        <v>106</v>
      </c>
      <c r="S18" s="11" t="s">
        <v>1584</v>
      </c>
      <c r="T18" s="11" t="s">
        <v>107</v>
      </c>
      <c r="U18" s="11" t="s">
        <v>108</v>
      </c>
      <c r="V18" s="11" t="s">
        <v>21</v>
      </c>
      <c r="W18" s="11" t="s">
        <v>175</v>
      </c>
      <c r="X18" s="11" t="s">
        <v>24</v>
      </c>
      <c r="Y18" s="11" t="s">
        <v>24</v>
      </c>
      <c r="Z18" s="11" t="s">
        <v>174</v>
      </c>
      <c r="AC18" s="11" t="s">
        <v>111</v>
      </c>
      <c r="AD18" s="11" t="s">
        <v>111</v>
      </c>
      <c r="AE18" s="11" t="s">
        <v>168</v>
      </c>
      <c r="AL18" s="11">
        <v>1</v>
      </c>
    </row>
    <row r="19" spans="2:63" x14ac:dyDescent="0.45">
      <c r="B19" s="11" t="s">
        <v>21</v>
      </c>
      <c r="C19" s="11" t="s">
        <v>23</v>
      </c>
      <c r="D19" s="11" t="s">
        <v>24</v>
      </c>
      <c r="E19" s="11" t="s">
        <v>25</v>
      </c>
      <c r="F19" s="11" t="s">
        <v>176</v>
      </c>
      <c r="G19" s="11" t="s">
        <v>177</v>
      </c>
      <c r="H19" s="11" t="s">
        <v>21</v>
      </c>
      <c r="I19" s="11" t="s">
        <v>178</v>
      </c>
      <c r="J19" s="11" t="s">
        <v>179</v>
      </c>
      <c r="K19" s="11">
        <v>1</v>
      </c>
      <c r="L19" s="11" t="s">
        <v>180</v>
      </c>
      <c r="M19" s="11" t="s">
        <v>181</v>
      </c>
      <c r="Q19" s="11" t="s">
        <v>105</v>
      </c>
      <c r="R19" s="11" t="s">
        <v>106</v>
      </c>
      <c r="S19" s="11" t="s">
        <v>1584</v>
      </c>
      <c r="T19" s="11" t="s">
        <v>107</v>
      </c>
      <c r="U19" s="11" t="s">
        <v>108</v>
      </c>
      <c r="V19" s="11" t="s">
        <v>21</v>
      </c>
      <c r="W19" s="11" t="s">
        <v>182</v>
      </c>
      <c r="X19" s="11" t="s">
        <v>172</v>
      </c>
      <c r="Y19" s="11" t="s">
        <v>24</v>
      </c>
      <c r="Z19" s="11" t="s">
        <v>183</v>
      </c>
      <c r="AC19" s="11" t="s">
        <v>111</v>
      </c>
      <c r="AD19" s="11" t="s">
        <v>184</v>
      </c>
      <c r="AE19" s="11" t="s">
        <v>168</v>
      </c>
      <c r="AL19" s="11">
        <v>1</v>
      </c>
      <c r="AP19" s="11" t="s">
        <v>21</v>
      </c>
      <c r="AQ19" s="11" t="s">
        <v>185</v>
      </c>
      <c r="AS19" s="11" t="s">
        <v>180</v>
      </c>
      <c r="AT19" s="11">
        <v>3</v>
      </c>
      <c r="AU19" s="11">
        <v>1</v>
      </c>
      <c r="AV19" s="11" t="s">
        <v>186</v>
      </c>
      <c r="AW19" s="11">
        <v>15</v>
      </c>
      <c r="AX19" s="11">
        <v>20</v>
      </c>
    </row>
    <row r="20" spans="2:63" x14ac:dyDescent="0.45">
      <c r="B20" s="11" t="s">
        <v>21</v>
      </c>
      <c r="C20" s="11" t="s">
        <v>23</v>
      </c>
      <c r="D20" s="11" t="s">
        <v>24</v>
      </c>
      <c r="E20" s="11" t="s">
        <v>25</v>
      </c>
      <c r="F20" s="11" t="s">
        <v>187</v>
      </c>
      <c r="G20" s="11" t="s">
        <v>188</v>
      </c>
      <c r="H20" s="11" t="s">
        <v>21</v>
      </c>
      <c r="I20" s="11" t="s">
        <v>189</v>
      </c>
      <c r="J20" s="11" t="s">
        <v>190</v>
      </c>
      <c r="K20" s="11">
        <v>1</v>
      </c>
      <c r="L20" s="11" t="s">
        <v>186</v>
      </c>
      <c r="M20" s="11" t="s">
        <v>191</v>
      </c>
      <c r="Q20" s="11" t="s">
        <v>105</v>
      </c>
      <c r="R20" s="11" t="s">
        <v>106</v>
      </c>
      <c r="S20" s="11" t="s">
        <v>1584</v>
      </c>
      <c r="T20" s="11" t="s">
        <v>107</v>
      </c>
      <c r="U20" s="11" t="s">
        <v>108</v>
      </c>
      <c r="V20" s="11" t="s">
        <v>21</v>
      </c>
      <c r="W20" s="11" t="s">
        <v>182</v>
      </c>
      <c r="X20" s="11" t="s">
        <v>172</v>
      </c>
      <c r="Y20" s="11" t="s">
        <v>24</v>
      </c>
      <c r="Z20" s="11" t="s">
        <v>183</v>
      </c>
      <c r="AC20" s="11" t="s">
        <v>111</v>
      </c>
      <c r="AD20" s="11" t="s">
        <v>184</v>
      </c>
      <c r="AE20" s="11" t="s">
        <v>168</v>
      </c>
      <c r="AL20" s="11">
        <v>1</v>
      </c>
      <c r="AP20" s="11" t="s">
        <v>21</v>
      </c>
      <c r="AQ20" s="11" t="s">
        <v>192</v>
      </c>
      <c r="AS20" s="11" t="s">
        <v>180</v>
      </c>
      <c r="AT20" s="11">
        <v>3</v>
      </c>
      <c r="AU20" s="11">
        <v>1</v>
      </c>
    </row>
    <row r="21" spans="2:63" x14ac:dyDescent="0.45">
      <c r="B21" s="11" t="s">
        <v>21</v>
      </c>
      <c r="C21" s="11" t="s">
        <v>23</v>
      </c>
      <c r="D21" s="11" t="s">
        <v>24</v>
      </c>
      <c r="E21" s="11" t="s">
        <v>25</v>
      </c>
      <c r="F21" s="11" t="s">
        <v>193</v>
      </c>
      <c r="G21" s="11" t="s">
        <v>194</v>
      </c>
      <c r="H21" s="11" t="s">
        <v>21</v>
      </c>
      <c r="I21" s="11" t="s">
        <v>195</v>
      </c>
      <c r="J21" s="11" t="s">
        <v>132</v>
      </c>
      <c r="K21" s="11">
        <v>1</v>
      </c>
      <c r="L21" s="11" t="s">
        <v>196</v>
      </c>
      <c r="M21" s="11" t="s">
        <v>197</v>
      </c>
      <c r="Q21" s="11" t="s">
        <v>105</v>
      </c>
      <c r="R21" s="11" t="s">
        <v>106</v>
      </c>
      <c r="S21" s="11" t="s">
        <v>1584</v>
      </c>
      <c r="T21" s="11" t="s">
        <v>107</v>
      </c>
      <c r="U21" s="11" t="s">
        <v>108</v>
      </c>
      <c r="V21" s="11" t="s">
        <v>21</v>
      </c>
      <c r="W21" s="11" t="s">
        <v>182</v>
      </c>
      <c r="X21" s="11" t="s">
        <v>172</v>
      </c>
      <c r="Y21" s="11" t="s">
        <v>24</v>
      </c>
      <c r="Z21" s="11" t="s">
        <v>183</v>
      </c>
      <c r="AC21" s="11" t="s">
        <v>111</v>
      </c>
      <c r="AD21" s="11" t="s">
        <v>184</v>
      </c>
      <c r="AE21" s="11" t="s">
        <v>168</v>
      </c>
      <c r="AL21" s="11">
        <v>1</v>
      </c>
      <c r="AP21" s="11" t="s">
        <v>21</v>
      </c>
      <c r="AQ21" s="11" t="s">
        <v>192</v>
      </c>
      <c r="AS21" s="11" t="s">
        <v>180</v>
      </c>
      <c r="AT21" s="11">
        <v>3</v>
      </c>
    </row>
    <row r="22" spans="2:63" x14ac:dyDescent="0.45">
      <c r="B22" s="11" t="s">
        <v>21</v>
      </c>
      <c r="C22" s="11" t="s">
        <v>23</v>
      </c>
      <c r="D22" s="11" t="s">
        <v>24</v>
      </c>
      <c r="E22" s="11" t="s">
        <v>25</v>
      </c>
      <c r="F22" s="11" t="s">
        <v>198</v>
      </c>
      <c r="G22" s="11" t="s">
        <v>199</v>
      </c>
      <c r="H22" s="11" t="s">
        <v>21</v>
      </c>
      <c r="I22" s="11" t="s">
        <v>200</v>
      </c>
      <c r="J22" s="11" t="s">
        <v>201</v>
      </c>
      <c r="K22" s="11">
        <v>1</v>
      </c>
      <c r="L22" s="11" t="s">
        <v>202</v>
      </c>
      <c r="M22" s="11" t="s">
        <v>203</v>
      </c>
      <c r="Q22" s="11" t="s">
        <v>105</v>
      </c>
      <c r="R22" s="11" t="s">
        <v>106</v>
      </c>
      <c r="S22" s="11" t="s">
        <v>1584</v>
      </c>
      <c r="T22" s="11" t="s">
        <v>107</v>
      </c>
      <c r="U22" s="11" t="s">
        <v>108</v>
      </c>
      <c r="V22" s="11" t="s">
        <v>21</v>
      </c>
      <c r="W22" s="11" t="s">
        <v>182</v>
      </c>
      <c r="X22" s="11" t="s">
        <v>172</v>
      </c>
      <c r="Y22" s="11" t="s">
        <v>24</v>
      </c>
      <c r="Z22" s="11" t="s">
        <v>183</v>
      </c>
      <c r="AC22" s="11" t="s">
        <v>111</v>
      </c>
      <c r="AD22" s="11" t="s">
        <v>184</v>
      </c>
      <c r="AE22" s="11" t="s">
        <v>168</v>
      </c>
      <c r="AF22" s="11">
        <v>1</v>
      </c>
      <c r="AL22" s="11">
        <v>1</v>
      </c>
      <c r="AP22" s="11" t="s">
        <v>21</v>
      </c>
      <c r="AQ22" s="11" t="s">
        <v>192</v>
      </c>
      <c r="AS22" s="11" t="s">
        <v>180</v>
      </c>
      <c r="AT22" s="11">
        <v>3</v>
      </c>
      <c r="BH22" s="11" t="s">
        <v>106</v>
      </c>
      <c r="BI22" s="11" t="s">
        <v>105</v>
      </c>
      <c r="BJ22" s="11" t="s">
        <v>106</v>
      </c>
      <c r="BK22" s="11" t="s">
        <v>106</v>
      </c>
    </row>
    <row r="23" spans="2:63" x14ac:dyDescent="0.45">
      <c r="B23" s="11" t="s">
        <v>21</v>
      </c>
      <c r="C23" s="11" t="s">
        <v>23</v>
      </c>
      <c r="D23" s="11" t="s">
        <v>24</v>
      </c>
      <c r="E23" s="11" t="s">
        <v>25</v>
      </c>
      <c r="F23" s="11" t="s">
        <v>204</v>
      </c>
      <c r="G23" s="11" t="s">
        <v>205</v>
      </c>
      <c r="H23" s="11" t="s">
        <v>21</v>
      </c>
      <c r="I23" s="11" t="s">
        <v>206</v>
      </c>
      <c r="J23" s="11" t="s">
        <v>207</v>
      </c>
      <c r="K23" s="11">
        <v>1</v>
      </c>
      <c r="L23" s="11" t="s">
        <v>208</v>
      </c>
      <c r="M23" s="11" t="s">
        <v>209</v>
      </c>
      <c r="Q23" s="11" t="s">
        <v>105</v>
      </c>
      <c r="R23" s="11" t="s">
        <v>106</v>
      </c>
      <c r="S23" s="11" t="s">
        <v>1584</v>
      </c>
      <c r="T23" s="11" t="s">
        <v>107</v>
      </c>
      <c r="U23" s="11" t="s">
        <v>108</v>
      </c>
      <c r="V23" s="11" t="s">
        <v>21</v>
      </c>
      <c r="W23" s="11" t="s">
        <v>182</v>
      </c>
      <c r="X23" s="11" t="s">
        <v>172</v>
      </c>
      <c r="Y23" s="11" t="s">
        <v>24</v>
      </c>
      <c r="Z23" s="11" t="s">
        <v>183</v>
      </c>
      <c r="AC23" s="11" t="s">
        <v>111</v>
      </c>
      <c r="AD23" s="11" t="s">
        <v>184</v>
      </c>
      <c r="AE23" s="11" t="s">
        <v>168</v>
      </c>
      <c r="AL23" s="11">
        <v>1</v>
      </c>
      <c r="AP23" s="11" t="s">
        <v>21</v>
      </c>
      <c r="AQ23" s="11" t="s">
        <v>192</v>
      </c>
      <c r="AS23" s="11" t="s">
        <v>180</v>
      </c>
      <c r="AT23" s="11">
        <v>3</v>
      </c>
    </row>
    <row r="24" spans="2:63" x14ac:dyDescent="0.45">
      <c r="B24" s="11" t="s">
        <v>21</v>
      </c>
      <c r="C24" s="11" t="s">
        <v>23</v>
      </c>
      <c r="D24" s="11" t="s">
        <v>24</v>
      </c>
      <c r="E24" s="11" t="s">
        <v>25</v>
      </c>
      <c r="F24" s="11" t="s">
        <v>210</v>
      </c>
      <c r="G24" s="11" t="s">
        <v>211</v>
      </c>
      <c r="H24" s="11" t="s">
        <v>21</v>
      </c>
      <c r="I24" s="11" t="s">
        <v>212</v>
      </c>
      <c r="J24" s="11" t="s">
        <v>213</v>
      </c>
      <c r="K24" s="11">
        <v>1</v>
      </c>
      <c r="L24" s="11" t="s">
        <v>214</v>
      </c>
      <c r="M24" s="11" t="s">
        <v>215</v>
      </c>
      <c r="Q24" s="11" t="s">
        <v>105</v>
      </c>
      <c r="R24" s="11" t="s">
        <v>106</v>
      </c>
      <c r="S24" s="11" t="s">
        <v>1584</v>
      </c>
      <c r="T24" s="11" t="s">
        <v>107</v>
      </c>
      <c r="U24" s="11" t="s">
        <v>108</v>
      </c>
      <c r="V24" s="11" t="s">
        <v>21</v>
      </c>
      <c r="W24" s="11" t="s">
        <v>182</v>
      </c>
      <c r="X24" s="11" t="s">
        <v>172</v>
      </c>
      <c r="Y24" s="11" t="s">
        <v>24</v>
      </c>
      <c r="Z24" s="11" t="s">
        <v>183</v>
      </c>
      <c r="AC24" s="11" t="s">
        <v>111</v>
      </c>
      <c r="AD24" s="11" t="s">
        <v>184</v>
      </c>
      <c r="AE24" s="11" t="s">
        <v>168</v>
      </c>
      <c r="AL24" s="11">
        <v>1</v>
      </c>
      <c r="AP24" s="11" t="s">
        <v>21</v>
      </c>
      <c r="AQ24" s="11" t="s">
        <v>192</v>
      </c>
      <c r="AS24" s="11" t="s">
        <v>180</v>
      </c>
      <c r="AT24" s="11">
        <v>3</v>
      </c>
    </row>
    <row r="25" spans="2:63" x14ac:dyDescent="0.45">
      <c r="B25" s="11" t="s">
        <v>21</v>
      </c>
      <c r="C25" s="11" t="s">
        <v>23</v>
      </c>
      <c r="D25" s="11" t="s">
        <v>24</v>
      </c>
      <c r="E25" s="11" t="s">
        <v>25</v>
      </c>
      <c r="F25" s="11" t="s">
        <v>216</v>
      </c>
      <c r="G25" s="11" t="s">
        <v>217</v>
      </c>
      <c r="H25" s="11" t="s">
        <v>21</v>
      </c>
      <c r="I25" s="11" t="s">
        <v>218</v>
      </c>
      <c r="J25" s="11" t="s">
        <v>219</v>
      </c>
      <c r="K25" s="11">
        <v>1</v>
      </c>
      <c r="L25" s="11" t="s">
        <v>220</v>
      </c>
      <c r="M25" s="11" t="s">
        <v>221</v>
      </c>
      <c r="Q25" s="11" t="s">
        <v>105</v>
      </c>
      <c r="R25" s="11" t="s">
        <v>106</v>
      </c>
      <c r="S25" s="11" t="s">
        <v>1584</v>
      </c>
      <c r="T25" s="11" t="s">
        <v>107</v>
      </c>
      <c r="U25" s="11" t="s">
        <v>108</v>
      </c>
      <c r="V25" s="11" t="s">
        <v>21</v>
      </c>
      <c r="W25" s="11" t="s">
        <v>182</v>
      </c>
      <c r="X25" s="11" t="s">
        <v>172</v>
      </c>
      <c r="Y25" s="11" t="s">
        <v>24</v>
      </c>
      <c r="Z25" s="11" t="s">
        <v>183</v>
      </c>
      <c r="AC25" s="11" t="s">
        <v>111</v>
      </c>
      <c r="AD25" s="11" t="s">
        <v>184</v>
      </c>
      <c r="AE25" s="11" t="s">
        <v>168</v>
      </c>
      <c r="AL25" s="11">
        <v>1</v>
      </c>
      <c r="AP25" s="11" t="s">
        <v>21</v>
      </c>
      <c r="AQ25" s="11" t="s">
        <v>192</v>
      </c>
      <c r="AS25" s="11" t="s">
        <v>180</v>
      </c>
      <c r="AT25" s="11">
        <v>3</v>
      </c>
      <c r="BD25" s="11" t="s">
        <v>202</v>
      </c>
    </row>
    <row r="26" spans="2:63" x14ac:dyDescent="0.45">
      <c r="B26" s="11" t="s">
        <v>21</v>
      </c>
      <c r="C26" s="11" t="s">
        <v>23</v>
      </c>
      <c r="D26" s="11" t="s">
        <v>24</v>
      </c>
      <c r="E26" s="11" t="s">
        <v>25</v>
      </c>
      <c r="F26" s="11" t="s">
        <v>222</v>
      </c>
      <c r="G26" s="11" t="s">
        <v>223</v>
      </c>
      <c r="H26" s="11" t="s">
        <v>21</v>
      </c>
      <c r="I26" s="11" t="s">
        <v>224</v>
      </c>
      <c r="J26" s="11" t="s">
        <v>225</v>
      </c>
      <c r="K26" s="11">
        <v>1</v>
      </c>
      <c r="L26" s="11" t="s">
        <v>226</v>
      </c>
      <c r="M26" s="11" t="s">
        <v>227</v>
      </c>
      <c r="Q26" s="11" t="s">
        <v>105</v>
      </c>
      <c r="R26" s="11" t="s">
        <v>106</v>
      </c>
      <c r="S26" s="11" t="s">
        <v>1584</v>
      </c>
      <c r="T26" s="11" t="s">
        <v>107</v>
      </c>
      <c r="U26" s="11" t="s">
        <v>108</v>
      </c>
      <c r="V26" s="11" t="s">
        <v>21</v>
      </c>
      <c r="W26" s="11" t="s">
        <v>182</v>
      </c>
      <c r="X26" s="11" t="s">
        <v>172</v>
      </c>
      <c r="Y26" s="11" t="s">
        <v>24</v>
      </c>
      <c r="Z26" s="11" t="s">
        <v>183</v>
      </c>
      <c r="AC26" s="11" t="s">
        <v>111</v>
      </c>
      <c r="AD26" s="11" t="s">
        <v>184</v>
      </c>
      <c r="AE26" s="11" t="s">
        <v>168</v>
      </c>
      <c r="AL26" s="11">
        <v>1</v>
      </c>
      <c r="AP26" s="11" t="s">
        <v>21</v>
      </c>
      <c r="AQ26" s="11" t="s">
        <v>192</v>
      </c>
      <c r="AS26" s="11" t="s">
        <v>180</v>
      </c>
      <c r="AT26" s="11">
        <v>3</v>
      </c>
      <c r="BA26" s="11">
        <v>1</v>
      </c>
    </row>
    <row r="27" spans="2:63" x14ac:dyDescent="0.45">
      <c r="B27" s="11" t="s">
        <v>21</v>
      </c>
      <c r="C27" s="11" t="s">
        <v>23</v>
      </c>
      <c r="D27" s="11" t="s">
        <v>24</v>
      </c>
      <c r="E27" s="11" t="s">
        <v>25</v>
      </c>
      <c r="F27" s="11" t="s">
        <v>228</v>
      </c>
      <c r="G27" s="11" t="s">
        <v>229</v>
      </c>
      <c r="H27" s="11" t="s">
        <v>21</v>
      </c>
      <c r="I27" s="11" t="s">
        <v>230</v>
      </c>
      <c r="J27" s="11" t="s">
        <v>231</v>
      </c>
      <c r="K27" s="11">
        <v>1</v>
      </c>
      <c r="L27" s="11" t="s">
        <v>232</v>
      </c>
      <c r="M27" s="11" t="s">
        <v>233</v>
      </c>
      <c r="Q27" s="11" t="s">
        <v>105</v>
      </c>
      <c r="R27" s="11" t="s">
        <v>106</v>
      </c>
      <c r="S27" s="11" t="s">
        <v>1584</v>
      </c>
      <c r="T27" s="11" t="s">
        <v>107</v>
      </c>
      <c r="U27" s="11" t="s">
        <v>108</v>
      </c>
      <c r="V27" s="11" t="s">
        <v>21</v>
      </c>
      <c r="W27" s="11" t="s">
        <v>182</v>
      </c>
      <c r="X27" s="11" t="s">
        <v>172</v>
      </c>
      <c r="Y27" s="11" t="s">
        <v>24</v>
      </c>
      <c r="Z27" s="11" t="s">
        <v>183</v>
      </c>
      <c r="AC27" s="11" t="s">
        <v>111</v>
      </c>
      <c r="AD27" s="11" t="s">
        <v>184</v>
      </c>
      <c r="AE27" s="11" t="s">
        <v>168</v>
      </c>
      <c r="AL27" s="11">
        <v>1</v>
      </c>
      <c r="AP27" s="11" t="s">
        <v>21</v>
      </c>
      <c r="AQ27" s="11" t="s">
        <v>234</v>
      </c>
      <c r="AS27" s="11" t="s">
        <v>180</v>
      </c>
      <c r="AT27" s="11">
        <v>3</v>
      </c>
    </row>
    <row r="28" spans="2:63" x14ac:dyDescent="0.45">
      <c r="B28" s="11" t="s">
        <v>21</v>
      </c>
      <c r="C28" s="11" t="s">
        <v>23</v>
      </c>
      <c r="D28" s="11" t="s">
        <v>24</v>
      </c>
      <c r="E28" s="11" t="s">
        <v>25</v>
      </c>
      <c r="F28" s="11" t="s">
        <v>235</v>
      </c>
      <c r="G28" s="11" t="s">
        <v>236</v>
      </c>
      <c r="H28" s="11" t="s">
        <v>21</v>
      </c>
      <c r="I28" s="11" t="s">
        <v>237</v>
      </c>
      <c r="J28" s="11" t="s">
        <v>238</v>
      </c>
      <c r="K28" s="11">
        <v>1</v>
      </c>
      <c r="L28" s="11" t="s">
        <v>239</v>
      </c>
      <c r="M28" s="11" t="s">
        <v>240</v>
      </c>
      <c r="Q28" s="11" t="s">
        <v>105</v>
      </c>
      <c r="R28" s="11" t="s">
        <v>106</v>
      </c>
      <c r="S28" s="11" t="s">
        <v>1584</v>
      </c>
      <c r="T28" s="11" t="s">
        <v>107</v>
      </c>
      <c r="U28" s="11" t="s">
        <v>108</v>
      </c>
      <c r="V28" s="11" t="s">
        <v>21</v>
      </c>
      <c r="W28" s="11" t="s">
        <v>182</v>
      </c>
      <c r="X28" s="11" t="s">
        <v>172</v>
      </c>
      <c r="Y28" s="11" t="s">
        <v>24</v>
      </c>
      <c r="Z28" s="11" t="s">
        <v>183</v>
      </c>
      <c r="AC28" s="11" t="s">
        <v>111</v>
      </c>
      <c r="AD28" s="11" t="s">
        <v>184</v>
      </c>
      <c r="AE28" s="11" t="s">
        <v>168</v>
      </c>
      <c r="AL28" s="11">
        <v>1</v>
      </c>
    </row>
    <row r="29" spans="2:63" x14ac:dyDescent="0.45">
      <c r="B29" s="11" t="s">
        <v>21</v>
      </c>
      <c r="C29" s="11" t="s">
        <v>23</v>
      </c>
      <c r="D29" s="11" t="s">
        <v>24</v>
      </c>
      <c r="E29" s="11" t="s">
        <v>25</v>
      </c>
      <c r="F29" s="11" t="s">
        <v>241</v>
      </c>
      <c r="G29" s="11" t="s">
        <v>242</v>
      </c>
      <c r="H29" s="11" t="s">
        <v>21</v>
      </c>
      <c r="I29" s="11" t="s">
        <v>243</v>
      </c>
      <c r="J29" s="11" t="s">
        <v>244</v>
      </c>
      <c r="K29" s="11">
        <v>1</v>
      </c>
      <c r="L29" s="11" t="s">
        <v>245</v>
      </c>
      <c r="M29" s="11" t="s">
        <v>246</v>
      </c>
      <c r="Q29" s="11" t="s">
        <v>105</v>
      </c>
      <c r="R29" s="11" t="s">
        <v>106</v>
      </c>
      <c r="S29" s="11" t="s">
        <v>1584</v>
      </c>
      <c r="T29" s="11" t="s">
        <v>107</v>
      </c>
      <c r="U29" s="11" t="s">
        <v>108</v>
      </c>
      <c r="V29" s="11" t="s">
        <v>21</v>
      </c>
      <c r="W29" s="11" t="s">
        <v>182</v>
      </c>
      <c r="X29" s="11" t="s">
        <v>172</v>
      </c>
      <c r="Y29" s="11" t="s">
        <v>24</v>
      </c>
      <c r="Z29" s="11" t="s">
        <v>183</v>
      </c>
      <c r="AC29" s="11" t="s">
        <v>111</v>
      </c>
      <c r="AD29" s="11" t="s">
        <v>184</v>
      </c>
      <c r="AE29" s="11" t="s">
        <v>168</v>
      </c>
      <c r="AL29" s="11">
        <v>1</v>
      </c>
    </row>
    <row r="30" spans="2:63" x14ac:dyDescent="0.45">
      <c r="B30" s="11" t="s">
        <v>21</v>
      </c>
      <c r="C30" s="11" t="s">
        <v>23</v>
      </c>
      <c r="D30" s="11" t="s">
        <v>24</v>
      </c>
      <c r="E30" s="11" t="s">
        <v>25</v>
      </c>
      <c r="F30" s="11" t="s">
        <v>247</v>
      </c>
      <c r="G30" s="11" t="s">
        <v>248</v>
      </c>
      <c r="H30" s="11" t="s">
        <v>21</v>
      </c>
      <c r="I30" s="11" t="s">
        <v>249</v>
      </c>
      <c r="J30" s="11" t="s">
        <v>225</v>
      </c>
      <c r="K30" s="11">
        <v>1</v>
      </c>
      <c r="L30" s="11" t="s">
        <v>250</v>
      </c>
      <c r="M30" s="11" t="s">
        <v>251</v>
      </c>
      <c r="Q30" s="11" t="s">
        <v>105</v>
      </c>
      <c r="R30" s="11" t="s">
        <v>106</v>
      </c>
      <c r="S30" s="11" t="s">
        <v>1584</v>
      </c>
      <c r="T30" s="11" t="s">
        <v>107</v>
      </c>
      <c r="U30" s="11" t="s">
        <v>108</v>
      </c>
      <c r="V30" s="11" t="s">
        <v>21</v>
      </c>
      <c r="W30" s="11" t="s">
        <v>182</v>
      </c>
      <c r="X30" s="11" t="s">
        <v>172</v>
      </c>
      <c r="Y30" s="11" t="s">
        <v>24</v>
      </c>
      <c r="Z30" s="11" t="s">
        <v>183</v>
      </c>
      <c r="AC30" s="11" t="s">
        <v>111</v>
      </c>
      <c r="AD30" s="11" t="s">
        <v>184</v>
      </c>
      <c r="AE30" s="11" t="s">
        <v>168</v>
      </c>
      <c r="AL30" s="11">
        <v>1</v>
      </c>
    </row>
    <row r="31" spans="2:63" x14ac:dyDescent="0.45">
      <c r="B31" s="11" t="s">
        <v>21</v>
      </c>
      <c r="C31" s="11" t="s">
        <v>23</v>
      </c>
      <c r="D31" s="11" t="s">
        <v>24</v>
      </c>
      <c r="E31" s="11" t="s">
        <v>25</v>
      </c>
      <c r="F31" s="11" t="s">
        <v>252</v>
      </c>
      <c r="G31" s="11" t="s">
        <v>253</v>
      </c>
      <c r="H31" s="11" t="s">
        <v>21</v>
      </c>
      <c r="I31" s="11" t="s">
        <v>254</v>
      </c>
      <c r="J31" s="11" t="s">
        <v>255</v>
      </c>
      <c r="K31" s="11">
        <v>1</v>
      </c>
      <c r="L31" s="11" t="s">
        <v>256</v>
      </c>
      <c r="M31" s="11" t="s">
        <v>257</v>
      </c>
      <c r="Q31" s="11" t="s">
        <v>105</v>
      </c>
      <c r="R31" s="11" t="s">
        <v>106</v>
      </c>
      <c r="S31" s="11" t="s">
        <v>1584</v>
      </c>
      <c r="T31" s="11" t="s">
        <v>107</v>
      </c>
      <c r="U31" s="11" t="s">
        <v>108</v>
      </c>
      <c r="V31" s="11" t="s">
        <v>21</v>
      </c>
      <c r="W31" s="11" t="s">
        <v>182</v>
      </c>
      <c r="X31" s="11" t="s">
        <v>172</v>
      </c>
      <c r="Y31" s="11" t="s">
        <v>24</v>
      </c>
      <c r="Z31" s="11" t="s">
        <v>183</v>
      </c>
      <c r="AC31" s="11" t="s">
        <v>111</v>
      </c>
      <c r="AD31" s="11" t="s">
        <v>184</v>
      </c>
      <c r="AE31" s="11" t="s">
        <v>168</v>
      </c>
      <c r="AL31" s="11">
        <v>1</v>
      </c>
    </row>
    <row r="32" spans="2:63" x14ac:dyDescent="0.45">
      <c r="B32" s="11" t="s">
        <v>21</v>
      </c>
      <c r="C32" s="11" t="s">
        <v>23</v>
      </c>
      <c r="D32" s="11" t="s">
        <v>24</v>
      </c>
      <c r="E32" s="11" t="s">
        <v>25</v>
      </c>
      <c r="F32" s="11" t="s">
        <v>258</v>
      </c>
      <c r="G32" s="11" t="s">
        <v>259</v>
      </c>
      <c r="H32" s="11" t="s">
        <v>21</v>
      </c>
      <c r="I32" s="11" t="s">
        <v>243</v>
      </c>
      <c r="J32" s="11" t="s">
        <v>244</v>
      </c>
      <c r="K32" s="11">
        <v>2</v>
      </c>
      <c r="L32" s="11" t="s">
        <v>260</v>
      </c>
      <c r="M32" s="11" t="s">
        <v>246</v>
      </c>
      <c r="Q32" s="11" t="s">
        <v>105</v>
      </c>
      <c r="R32" s="11" t="s">
        <v>106</v>
      </c>
      <c r="S32" s="11" t="s">
        <v>1584</v>
      </c>
      <c r="T32" s="11" t="s">
        <v>107</v>
      </c>
      <c r="U32" s="11" t="s">
        <v>108</v>
      </c>
      <c r="V32" s="11" t="s">
        <v>21</v>
      </c>
      <c r="W32" s="11" t="s">
        <v>182</v>
      </c>
      <c r="X32" s="11" t="s">
        <v>172</v>
      </c>
      <c r="Y32" s="11" t="s">
        <v>24</v>
      </c>
      <c r="Z32" s="11" t="s">
        <v>183</v>
      </c>
      <c r="AC32" s="11" t="s">
        <v>111</v>
      </c>
      <c r="AD32" s="11" t="s">
        <v>184</v>
      </c>
      <c r="AE32" s="11" t="s">
        <v>168</v>
      </c>
      <c r="AL32" s="11">
        <v>1</v>
      </c>
    </row>
    <row r="33" spans="2:53" x14ac:dyDescent="0.45">
      <c r="B33" s="11" t="s">
        <v>21</v>
      </c>
      <c r="C33" s="11" t="s">
        <v>23</v>
      </c>
      <c r="D33" s="11" t="s">
        <v>24</v>
      </c>
      <c r="E33" s="11" t="s">
        <v>25</v>
      </c>
      <c r="F33" s="11" t="s">
        <v>261</v>
      </c>
      <c r="G33" s="11" t="s">
        <v>262</v>
      </c>
      <c r="H33" s="11" t="s">
        <v>21</v>
      </c>
      <c r="I33" s="11" t="s">
        <v>263</v>
      </c>
      <c r="J33" s="11" t="s">
        <v>264</v>
      </c>
      <c r="K33" s="11">
        <v>1</v>
      </c>
      <c r="L33" s="11" t="s">
        <v>265</v>
      </c>
      <c r="M33" s="11" t="s">
        <v>266</v>
      </c>
      <c r="Q33" s="11" t="s">
        <v>105</v>
      </c>
      <c r="R33" s="11" t="s">
        <v>106</v>
      </c>
      <c r="S33" s="11" t="s">
        <v>1584</v>
      </c>
      <c r="T33" s="11" t="s">
        <v>107</v>
      </c>
      <c r="U33" s="11" t="s">
        <v>108</v>
      </c>
      <c r="V33" s="11" t="s">
        <v>21</v>
      </c>
      <c r="W33" s="11" t="s">
        <v>182</v>
      </c>
      <c r="X33" s="11" t="s">
        <v>172</v>
      </c>
      <c r="Y33" s="11" t="s">
        <v>24</v>
      </c>
      <c r="Z33" s="11" t="s">
        <v>183</v>
      </c>
      <c r="AC33" s="11" t="s">
        <v>111</v>
      </c>
      <c r="AD33" s="11" t="s">
        <v>184</v>
      </c>
      <c r="AE33" s="11" t="s">
        <v>168</v>
      </c>
      <c r="AL33" s="11">
        <v>1</v>
      </c>
    </row>
    <row r="34" spans="2:53" x14ac:dyDescent="0.45">
      <c r="B34" s="11" t="s">
        <v>21</v>
      </c>
      <c r="C34" s="11" t="s">
        <v>23</v>
      </c>
      <c r="D34" s="11" t="s">
        <v>24</v>
      </c>
      <c r="E34" s="11" t="s">
        <v>25</v>
      </c>
      <c r="F34" s="11" t="s">
        <v>267</v>
      </c>
      <c r="G34" s="11" t="s">
        <v>268</v>
      </c>
      <c r="H34" s="11" t="s">
        <v>21</v>
      </c>
      <c r="I34" s="11" t="s">
        <v>269</v>
      </c>
      <c r="J34" s="11" t="s">
        <v>270</v>
      </c>
      <c r="K34" s="11">
        <v>1</v>
      </c>
      <c r="L34" s="11" t="s">
        <v>271</v>
      </c>
      <c r="M34" s="11" t="s">
        <v>272</v>
      </c>
      <c r="Q34" s="11" t="s">
        <v>105</v>
      </c>
      <c r="R34" s="11" t="s">
        <v>106</v>
      </c>
      <c r="S34" s="11" t="s">
        <v>1584</v>
      </c>
      <c r="T34" s="11" t="s">
        <v>107</v>
      </c>
      <c r="U34" s="11" t="s">
        <v>108</v>
      </c>
      <c r="V34" s="11" t="s">
        <v>21</v>
      </c>
      <c r="W34" s="11" t="s">
        <v>182</v>
      </c>
      <c r="X34" s="11" t="s">
        <v>172</v>
      </c>
      <c r="Y34" s="11" t="s">
        <v>24</v>
      </c>
      <c r="Z34" s="11" t="s">
        <v>183</v>
      </c>
      <c r="AC34" s="11" t="s">
        <v>111</v>
      </c>
      <c r="AD34" s="11" t="s">
        <v>184</v>
      </c>
      <c r="AE34" s="11" t="s">
        <v>168</v>
      </c>
      <c r="AL34" s="11">
        <v>1</v>
      </c>
      <c r="AP34" s="11" t="s">
        <v>21</v>
      </c>
      <c r="AQ34" s="11" t="s">
        <v>273</v>
      </c>
      <c r="AS34" s="11" t="s">
        <v>271</v>
      </c>
      <c r="AT34" s="11">
        <v>2</v>
      </c>
    </row>
    <row r="35" spans="2:53" x14ac:dyDescent="0.45">
      <c r="B35" s="11" t="s">
        <v>21</v>
      </c>
      <c r="C35" s="11" t="s">
        <v>23</v>
      </c>
      <c r="D35" s="11" t="s">
        <v>24</v>
      </c>
      <c r="E35" s="11" t="s">
        <v>25</v>
      </c>
      <c r="F35" s="11" t="s">
        <v>274</v>
      </c>
      <c r="G35" s="11" t="s">
        <v>275</v>
      </c>
      <c r="H35" s="11" t="s">
        <v>21</v>
      </c>
      <c r="I35" s="11" t="s">
        <v>276</v>
      </c>
      <c r="J35" s="11" t="s">
        <v>277</v>
      </c>
      <c r="K35" s="11">
        <v>1</v>
      </c>
      <c r="L35" s="11" t="s">
        <v>278</v>
      </c>
      <c r="M35" s="11" t="s">
        <v>279</v>
      </c>
      <c r="Q35" s="11" t="s">
        <v>105</v>
      </c>
      <c r="R35" s="11" t="s">
        <v>106</v>
      </c>
      <c r="S35" s="11" t="s">
        <v>1584</v>
      </c>
      <c r="T35" s="11" t="s">
        <v>107</v>
      </c>
      <c r="U35" s="11" t="s">
        <v>108</v>
      </c>
      <c r="V35" s="11" t="s">
        <v>21</v>
      </c>
      <c r="W35" s="11" t="s">
        <v>182</v>
      </c>
      <c r="X35" s="11" t="s">
        <v>172</v>
      </c>
      <c r="Y35" s="11" t="s">
        <v>24</v>
      </c>
      <c r="Z35" s="11" t="s">
        <v>183</v>
      </c>
      <c r="AC35" s="11" t="s">
        <v>111</v>
      </c>
      <c r="AD35" s="11" t="s">
        <v>184</v>
      </c>
      <c r="AE35" s="11" t="s">
        <v>168</v>
      </c>
      <c r="AL35" s="11">
        <v>1</v>
      </c>
      <c r="BA35" s="11">
        <v>1</v>
      </c>
    </row>
    <row r="36" spans="2:53" x14ac:dyDescent="0.45">
      <c r="B36" s="11" t="s">
        <v>21</v>
      </c>
      <c r="C36" s="11" t="s">
        <v>23</v>
      </c>
      <c r="D36" s="11" t="s">
        <v>24</v>
      </c>
      <c r="E36" s="11" t="s">
        <v>25</v>
      </c>
      <c r="F36" s="11" t="s">
        <v>280</v>
      </c>
      <c r="G36" s="11" t="s">
        <v>281</v>
      </c>
      <c r="H36" s="11" t="s">
        <v>21</v>
      </c>
      <c r="I36" s="11" t="s">
        <v>263</v>
      </c>
      <c r="J36" s="11" t="s">
        <v>264</v>
      </c>
      <c r="K36" s="11">
        <v>1</v>
      </c>
      <c r="L36" s="11" t="s">
        <v>282</v>
      </c>
      <c r="M36" s="11" t="s">
        <v>266</v>
      </c>
      <c r="Q36" s="11" t="s">
        <v>105</v>
      </c>
      <c r="R36" s="11" t="s">
        <v>106</v>
      </c>
      <c r="S36" s="11" t="s">
        <v>1584</v>
      </c>
      <c r="T36" s="11" t="s">
        <v>107</v>
      </c>
      <c r="U36" s="11" t="s">
        <v>108</v>
      </c>
      <c r="V36" s="11" t="s">
        <v>21</v>
      </c>
      <c r="W36" s="11" t="s">
        <v>283</v>
      </c>
      <c r="X36" s="11" t="s">
        <v>284</v>
      </c>
      <c r="Y36" s="11" t="s">
        <v>24</v>
      </c>
      <c r="Z36" s="11" t="s">
        <v>285</v>
      </c>
      <c r="AC36" s="11" t="s">
        <v>111</v>
      </c>
      <c r="AD36" s="11" t="s">
        <v>286</v>
      </c>
      <c r="AE36" s="11" t="s">
        <v>287</v>
      </c>
      <c r="AL36" s="11">
        <v>1</v>
      </c>
      <c r="AP36" s="11" t="s">
        <v>21</v>
      </c>
      <c r="AQ36" s="11" t="s">
        <v>185</v>
      </c>
      <c r="AS36" s="11" t="s">
        <v>282</v>
      </c>
      <c r="AT36" s="11">
        <v>1</v>
      </c>
      <c r="AU36" s="11">
        <v>1</v>
      </c>
      <c r="AV36" s="11" t="s">
        <v>288</v>
      </c>
      <c r="AW36" s="11">
        <v>15</v>
      </c>
      <c r="AX36" s="11">
        <v>20</v>
      </c>
    </row>
    <row r="37" spans="2:53" x14ac:dyDescent="0.45">
      <c r="B37" s="11" t="s">
        <v>21</v>
      </c>
      <c r="C37" s="11" t="s">
        <v>23</v>
      </c>
      <c r="D37" s="11" t="s">
        <v>24</v>
      </c>
      <c r="E37" s="11" t="s">
        <v>25</v>
      </c>
      <c r="F37" s="11" t="s">
        <v>289</v>
      </c>
      <c r="G37" s="11" t="s">
        <v>290</v>
      </c>
      <c r="H37" s="11" t="s">
        <v>21</v>
      </c>
      <c r="I37" s="11" t="s">
        <v>291</v>
      </c>
      <c r="J37" s="11" t="s">
        <v>292</v>
      </c>
      <c r="K37" s="11">
        <v>1</v>
      </c>
      <c r="L37" s="11" t="s">
        <v>288</v>
      </c>
      <c r="M37" s="11" t="s">
        <v>293</v>
      </c>
      <c r="Q37" s="11" t="s">
        <v>105</v>
      </c>
      <c r="R37" s="11" t="s">
        <v>106</v>
      </c>
      <c r="S37" s="11" t="s">
        <v>1584</v>
      </c>
      <c r="T37" s="11" t="s">
        <v>107</v>
      </c>
      <c r="U37" s="11" t="s">
        <v>108</v>
      </c>
      <c r="V37" s="11" t="s">
        <v>21</v>
      </c>
      <c r="W37" s="11" t="s">
        <v>283</v>
      </c>
      <c r="X37" s="11" t="s">
        <v>284</v>
      </c>
      <c r="Y37" s="11" t="s">
        <v>24</v>
      </c>
      <c r="Z37" s="11" t="s">
        <v>285</v>
      </c>
      <c r="AC37" s="11" t="s">
        <v>111</v>
      </c>
      <c r="AD37" s="11" t="s">
        <v>286</v>
      </c>
      <c r="AE37" s="11" t="s">
        <v>287</v>
      </c>
      <c r="AL37" s="11">
        <v>1</v>
      </c>
      <c r="AP37" s="11" t="s">
        <v>21</v>
      </c>
      <c r="AQ37" s="11" t="s">
        <v>294</v>
      </c>
      <c r="AS37" s="11" t="s">
        <v>282</v>
      </c>
      <c r="AT37" s="11">
        <v>2</v>
      </c>
      <c r="AU37" s="11">
        <v>1</v>
      </c>
    </row>
    <row r="38" spans="2:53" x14ac:dyDescent="0.45">
      <c r="B38" s="11" t="s">
        <v>21</v>
      </c>
      <c r="C38" s="11" t="s">
        <v>23</v>
      </c>
      <c r="D38" s="11" t="s">
        <v>24</v>
      </c>
      <c r="E38" s="11" t="s">
        <v>25</v>
      </c>
      <c r="F38" s="11" t="s">
        <v>295</v>
      </c>
      <c r="G38" s="11" t="s">
        <v>296</v>
      </c>
      <c r="H38" s="11" t="s">
        <v>21</v>
      </c>
      <c r="I38" s="11" t="s">
        <v>297</v>
      </c>
      <c r="J38" s="11" t="s">
        <v>298</v>
      </c>
      <c r="K38" s="11">
        <v>1</v>
      </c>
      <c r="L38" s="11" t="s">
        <v>299</v>
      </c>
      <c r="M38" s="11" t="s">
        <v>300</v>
      </c>
      <c r="Q38" s="11" t="s">
        <v>105</v>
      </c>
      <c r="R38" s="11" t="s">
        <v>106</v>
      </c>
      <c r="S38" s="11" t="s">
        <v>1584</v>
      </c>
      <c r="T38" s="11" t="s">
        <v>107</v>
      </c>
      <c r="U38" s="11" t="s">
        <v>108</v>
      </c>
      <c r="V38" s="11" t="s">
        <v>21</v>
      </c>
      <c r="W38" s="11" t="s">
        <v>283</v>
      </c>
      <c r="X38" s="11" t="s">
        <v>284</v>
      </c>
      <c r="Y38" s="11" t="s">
        <v>24</v>
      </c>
      <c r="Z38" s="11" t="s">
        <v>285</v>
      </c>
      <c r="AC38" s="11" t="s">
        <v>111</v>
      </c>
      <c r="AD38" s="11" t="s">
        <v>286</v>
      </c>
      <c r="AE38" s="11" t="s">
        <v>301</v>
      </c>
      <c r="AL38" s="11">
        <v>1</v>
      </c>
      <c r="AP38" s="11" t="s">
        <v>21</v>
      </c>
      <c r="AQ38" s="11" t="s">
        <v>192</v>
      </c>
      <c r="AS38" s="11" t="s">
        <v>299</v>
      </c>
      <c r="AT38" s="11">
        <v>3</v>
      </c>
    </row>
    <row r="39" spans="2:53" x14ac:dyDescent="0.45">
      <c r="B39" s="11" t="s">
        <v>21</v>
      </c>
      <c r="C39" s="11" t="s">
        <v>23</v>
      </c>
      <c r="D39" s="11" t="s">
        <v>24</v>
      </c>
      <c r="E39" s="11" t="s">
        <v>25</v>
      </c>
      <c r="F39" s="11" t="s">
        <v>302</v>
      </c>
      <c r="G39" s="11" t="s">
        <v>303</v>
      </c>
      <c r="H39" s="11" t="s">
        <v>21</v>
      </c>
      <c r="I39" s="11" t="s">
        <v>304</v>
      </c>
      <c r="J39" s="11" t="s">
        <v>24</v>
      </c>
      <c r="K39" s="11">
        <v>1</v>
      </c>
      <c r="L39" s="11" t="s">
        <v>305</v>
      </c>
      <c r="M39" s="11" t="s">
        <v>306</v>
      </c>
      <c r="Q39" s="11" t="s">
        <v>105</v>
      </c>
      <c r="R39" s="11" t="s">
        <v>106</v>
      </c>
      <c r="S39" s="11" t="s">
        <v>1584</v>
      </c>
      <c r="T39" s="11" t="s">
        <v>107</v>
      </c>
      <c r="U39" s="11" t="s">
        <v>108</v>
      </c>
      <c r="V39" s="11" t="s">
        <v>21</v>
      </c>
      <c r="W39" s="11" t="s">
        <v>283</v>
      </c>
      <c r="X39" s="11" t="s">
        <v>284</v>
      </c>
      <c r="Y39" s="11" t="s">
        <v>24</v>
      </c>
      <c r="Z39" s="11" t="s">
        <v>285</v>
      </c>
      <c r="AC39" s="11" t="s">
        <v>111</v>
      </c>
      <c r="AD39" s="11" t="s">
        <v>286</v>
      </c>
      <c r="AE39" s="11" t="s">
        <v>301</v>
      </c>
      <c r="AL39" s="11">
        <v>1</v>
      </c>
      <c r="AT39" s="11">
        <v>0</v>
      </c>
    </row>
    <row r="40" spans="2:53" x14ac:dyDescent="0.45">
      <c r="B40" s="11" t="s">
        <v>21</v>
      </c>
      <c r="C40" s="11" t="s">
        <v>23</v>
      </c>
      <c r="D40" s="11" t="s">
        <v>24</v>
      </c>
      <c r="E40" s="11" t="s">
        <v>25</v>
      </c>
      <c r="F40" s="11" t="s">
        <v>307</v>
      </c>
      <c r="G40" s="11" t="s">
        <v>308</v>
      </c>
      <c r="H40" s="11" t="s">
        <v>21</v>
      </c>
      <c r="I40" s="11" t="s">
        <v>309</v>
      </c>
      <c r="J40" s="11" t="s">
        <v>310</v>
      </c>
      <c r="K40" s="11">
        <v>1</v>
      </c>
      <c r="L40" s="11" t="s">
        <v>311</v>
      </c>
      <c r="M40" s="11" t="s">
        <v>312</v>
      </c>
      <c r="Q40" s="11" t="s">
        <v>313</v>
      </c>
      <c r="R40" s="11" t="s">
        <v>24</v>
      </c>
      <c r="T40" s="11" t="s">
        <v>314</v>
      </c>
      <c r="U40" s="11" t="s">
        <v>315</v>
      </c>
      <c r="V40" s="11" t="s">
        <v>21</v>
      </c>
      <c r="W40" s="11" t="s">
        <v>283</v>
      </c>
      <c r="X40" s="11" t="s">
        <v>284</v>
      </c>
      <c r="Y40" s="11" t="s">
        <v>24</v>
      </c>
      <c r="Z40" s="11" t="s">
        <v>285</v>
      </c>
      <c r="AC40" s="11" t="s">
        <v>111</v>
      </c>
      <c r="AD40" s="11" t="s">
        <v>286</v>
      </c>
      <c r="AE40" s="11" t="s">
        <v>301</v>
      </c>
      <c r="AL40" s="11">
        <v>1</v>
      </c>
      <c r="AP40" s="11" t="s">
        <v>21</v>
      </c>
      <c r="AQ40" s="11" t="s">
        <v>192</v>
      </c>
      <c r="AS40" s="11" t="s">
        <v>299</v>
      </c>
      <c r="AT40" s="11">
        <v>3</v>
      </c>
    </row>
    <row r="41" spans="2:53" x14ac:dyDescent="0.45">
      <c r="B41" s="11" t="s">
        <v>21</v>
      </c>
      <c r="C41" s="11" t="s">
        <v>23</v>
      </c>
      <c r="D41" s="11" t="s">
        <v>24</v>
      </c>
      <c r="E41" s="11" t="s">
        <v>25</v>
      </c>
      <c r="F41" s="11" t="s">
        <v>316</v>
      </c>
      <c r="G41" s="11" t="s">
        <v>317</v>
      </c>
      <c r="H41" s="11" t="s">
        <v>21</v>
      </c>
      <c r="I41" s="11" t="s">
        <v>318</v>
      </c>
      <c r="J41" s="11" t="s">
        <v>24</v>
      </c>
      <c r="K41" s="11">
        <v>1</v>
      </c>
      <c r="L41" s="11" t="s">
        <v>319</v>
      </c>
      <c r="M41" s="11" t="s">
        <v>320</v>
      </c>
      <c r="Q41" s="11" t="s">
        <v>105</v>
      </c>
      <c r="R41" s="11" t="s">
        <v>106</v>
      </c>
      <c r="S41" s="11" t="s">
        <v>1584</v>
      </c>
      <c r="T41" s="11" t="s">
        <v>107</v>
      </c>
      <c r="U41" s="11" t="s">
        <v>108</v>
      </c>
      <c r="V41" s="11" t="s">
        <v>21</v>
      </c>
      <c r="W41" s="11" t="s">
        <v>283</v>
      </c>
      <c r="X41" s="11" t="s">
        <v>284</v>
      </c>
      <c r="Y41" s="11" t="s">
        <v>24</v>
      </c>
      <c r="Z41" s="11" t="s">
        <v>285</v>
      </c>
      <c r="AC41" s="11" t="s">
        <v>111</v>
      </c>
      <c r="AD41" s="11" t="s">
        <v>286</v>
      </c>
      <c r="AE41" s="11" t="s">
        <v>301</v>
      </c>
      <c r="AL41" s="11">
        <v>1</v>
      </c>
      <c r="AT41" s="11">
        <v>0</v>
      </c>
    </row>
    <row r="42" spans="2:53" x14ac:dyDescent="0.45">
      <c r="B42" s="11" t="s">
        <v>21</v>
      </c>
      <c r="C42" s="11" t="s">
        <v>23</v>
      </c>
      <c r="D42" s="11" t="s">
        <v>24</v>
      </c>
      <c r="E42" s="11" t="s">
        <v>25</v>
      </c>
      <c r="F42" s="11" t="s">
        <v>321</v>
      </c>
      <c r="G42" s="11" t="s">
        <v>322</v>
      </c>
      <c r="H42" s="11" t="s">
        <v>21</v>
      </c>
      <c r="I42" s="11" t="s">
        <v>323</v>
      </c>
      <c r="J42" s="11" t="s">
        <v>324</v>
      </c>
      <c r="K42" s="11">
        <v>1</v>
      </c>
      <c r="L42" s="11" t="s">
        <v>325</v>
      </c>
      <c r="M42" s="11" t="s">
        <v>326</v>
      </c>
      <c r="Q42" s="11" t="s">
        <v>105</v>
      </c>
      <c r="R42" s="11" t="s">
        <v>106</v>
      </c>
      <c r="S42" s="11" t="s">
        <v>1584</v>
      </c>
      <c r="T42" s="11" t="s">
        <v>107</v>
      </c>
      <c r="U42" s="11" t="s">
        <v>108</v>
      </c>
      <c r="V42" s="11" t="s">
        <v>21</v>
      </c>
      <c r="W42" s="11" t="s">
        <v>283</v>
      </c>
      <c r="X42" s="11" t="s">
        <v>284</v>
      </c>
      <c r="Y42" s="11" t="s">
        <v>24</v>
      </c>
      <c r="Z42" s="11" t="s">
        <v>285</v>
      </c>
      <c r="AC42" s="11" t="s">
        <v>111</v>
      </c>
      <c r="AD42" s="11" t="s">
        <v>286</v>
      </c>
      <c r="AE42" s="11" t="s">
        <v>301</v>
      </c>
      <c r="AL42" s="11">
        <v>1</v>
      </c>
      <c r="AP42" s="11" t="s">
        <v>21</v>
      </c>
      <c r="AQ42" s="11" t="s">
        <v>192</v>
      </c>
      <c r="AS42" s="11" t="s">
        <v>299</v>
      </c>
      <c r="AT42" s="11">
        <v>3</v>
      </c>
    </row>
    <row r="43" spans="2:53" x14ac:dyDescent="0.45">
      <c r="B43" s="11" t="s">
        <v>21</v>
      </c>
      <c r="C43" s="11" t="s">
        <v>23</v>
      </c>
      <c r="D43" s="11" t="s">
        <v>24</v>
      </c>
      <c r="E43" s="11" t="s">
        <v>25</v>
      </c>
      <c r="F43" s="11" t="s">
        <v>327</v>
      </c>
      <c r="G43" s="11" t="s">
        <v>328</v>
      </c>
      <c r="H43" s="11" t="s">
        <v>21</v>
      </c>
      <c r="I43" s="11" t="s">
        <v>329</v>
      </c>
      <c r="J43" s="11" t="s">
        <v>330</v>
      </c>
      <c r="K43" s="11">
        <v>1</v>
      </c>
      <c r="L43" s="11" t="s">
        <v>331</v>
      </c>
      <c r="M43" s="11" t="s">
        <v>332</v>
      </c>
      <c r="Q43" s="11" t="s">
        <v>105</v>
      </c>
      <c r="R43" s="11" t="s">
        <v>106</v>
      </c>
      <c r="S43" s="11" t="s">
        <v>1584</v>
      </c>
      <c r="T43" s="11" t="s">
        <v>107</v>
      </c>
      <c r="U43" s="11" t="s">
        <v>108</v>
      </c>
      <c r="V43" s="11" t="s">
        <v>21</v>
      </c>
      <c r="W43" s="11" t="s">
        <v>283</v>
      </c>
      <c r="X43" s="11" t="s">
        <v>284</v>
      </c>
      <c r="Y43" s="11" t="s">
        <v>24</v>
      </c>
      <c r="Z43" s="11" t="s">
        <v>285</v>
      </c>
      <c r="AC43" s="11" t="s">
        <v>111</v>
      </c>
      <c r="AD43" s="11" t="s">
        <v>286</v>
      </c>
      <c r="AE43" s="11" t="s">
        <v>301</v>
      </c>
      <c r="AL43" s="11">
        <v>1</v>
      </c>
      <c r="AP43" s="11" t="s">
        <v>21</v>
      </c>
      <c r="AQ43" s="11" t="s">
        <v>192</v>
      </c>
      <c r="AS43" s="11" t="s">
        <v>299</v>
      </c>
      <c r="AT43" s="11">
        <v>3</v>
      </c>
    </row>
    <row r="44" spans="2:53" x14ac:dyDescent="0.45">
      <c r="B44" s="11" t="s">
        <v>21</v>
      </c>
      <c r="C44" s="11" t="s">
        <v>23</v>
      </c>
      <c r="D44" s="11" t="s">
        <v>24</v>
      </c>
      <c r="E44" s="11" t="s">
        <v>25</v>
      </c>
      <c r="F44" s="11" t="s">
        <v>333</v>
      </c>
      <c r="G44" s="11" t="s">
        <v>334</v>
      </c>
      <c r="H44" s="11" t="s">
        <v>21</v>
      </c>
      <c r="I44" s="11" t="s">
        <v>335</v>
      </c>
      <c r="J44" s="11" t="s">
        <v>336</v>
      </c>
      <c r="K44" s="11">
        <v>1</v>
      </c>
      <c r="L44" s="11" t="s">
        <v>337</v>
      </c>
      <c r="M44" s="11" t="s">
        <v>338</v>
      </c>
      <c r="Q44" s="11" t="s">
        <v>105</v>
      </c>
      <c r="R44" s="11" t="s">
        <v>106</v>
      </c>
      <c r="S44" s="11" t="s">
        <v>1584</v>
      </c>
      <c r="T44" s="11" t="s">
        <v>107</v>
      </c>
      <c r="U44" s="11" t="s">
        <v>108</v>
      </c>
      <c r="V44" s="11" t="s">
        <v>21</v>
      </c>
      <c r="W44" s="11" t="s">
        <v>283</v>
      </c>
      <c r="X44" s="11" t="s">
        <v>284</v>
      </c>
      <c r="Y44" s="11" t="s">
        <v>24</v>
      </c>
      <c r="Z44" s="11" t="s">
        <v>285</v>
      </c>
      <c r="AC44" s="11" t="s">
        <v>111</v>
      </c>
      <c r="AD44" s="11" t="s">
        <v>286</v>
      </c>
      <c r="AE44" s="11" t="s">
        <v>301</v>
      </c>
      <c r="AL44" s="11">
        <v>1</v>
      </c>
      <c r="AP44" s="11" t="s">
        <v>21</v>
      </c>
      <c r="AQ44" s="11" t="s">
        <v>339</v>
      </c>
      <c r="AS44" s="11" t="s">
        <v>337</v>
      </c>
      <c r="AT44" s="11">
        <v>2</v>
      </c>
      <c r="BA44" s="11">
        <v>1</v>
      </c>
    </row>
    <row r="45" spans="2:53" x14ac:dyDescent="0.45">
      <c r="B45" s="11" t="s">
        <v>21</v>
      </c>
      <c r="C45" s="11" t="s">
        <v>23</v>
      </c>
      <c r="D45" s="11" t="s">
        <v>24</v>
      </c>
      <c r="E45" s="11" t="s">
        <v>25</v>
      </c>
      <c r="F45" s="11" t="s">
        <v>340</v>
      </c>
      <c r="G45" s="11" t="s">
        <v>341</v>
      </c>
      <c r="H45" s="11" t="s">
        <v>21</v>
      </c>
      <c r="I45" s="11" t="s">
        <v>206</v>
      </c>
      <c r="J45" s="11" t="s">
        <v>207</v>
      </c>
      <c r="K45" s="11">
        <v>1</v>
      </c>
      <c r="L45" s="11" t="s">
        <v>342</v>
      </c>
      <c r="M45" s="11" t="s">
        <v>209</v>
      </c>
      <c r="Q45" s="11" t="s">
        <v>105</v>
      </c>
      <c r="R45" s="11" t="s">
        <v>106</v>
      </c>
      <c r="S45" s="11" t="s">
        <v>1584</v>
      </c>
      <c r="T45" s="11" t="s">
        <v>107</v>
      </c>
      <c r="U45" s="11" t="s">
        <v>108</v>
      </c>
      <c r="V45" s="11" t="s">
        <v>21</v>
      </c>
      <c r="W45" s="11" t="s">
        <v>283</v>
      </c>
      <c r="X45" s="11" t="s">
        <v>284</v>
      </c>
      <c r="Y45" s="11" t="s">
        <v>24</v>
      </c>
      <c r="Z45" s="11" t="s">
        <v>285</v>
      </c>
      <c r="AC45" s="11" t="s">
        <v>111</v>
      </c>
      <c r="AD45" s="11" t="s">
        <v>286</v>
      </c>
      <c r="AE45" s="11" t="s">
        <v>301</v>
      </c>
      <c r="AL45" s="11">
        <v>1</v>
      </c>
      <c r="AP45" s="11" t="s">
        <v>21</v>
      </c>
      <c r="AQ45" s="11" t="s">
        <v>192</v>
      </c>
      <c r="AS45" s="11" t="s">
        <v>299</v>
      </c>
      <c r="AT45" s="11">
        <v>3</v>
      </c>
      <c r="BA45" s="11">
        <v>1</v>
      </c>
    </row>
    <row r="46" spans="2:53" x14ac:dyDescent="0.45">
      <c r="B46" s="11" t="s">
        <v>21</v>
      </c>
      <c r="C46" s="11" t="s">
        <v>23</v>
      </c>
      <c r="D46" s="11" t="s">
        <v>24</v>
      </c>
      <c r="E46" s="11" t="s">
        <v>25</v>
      </c>
      <c r="F46" s="11" t="s">
        <v>343</v>
      </c>
      <c r="G46" s="11" t="s">
        <v>344</v>
      </c>
      <c r="H46" s="11" t="s">
        <v>21</v>
      </c>
      <c r="I46" s="11" t="s">
        <v>335</v>
      </c>
      <c r="J46" s="11" t="s">
        <v>336</v>
      </c>
      <c r="K46" s="11">
        <v>2</v>
      </c>
      <c r="L46" s="11" t="s">
        <v>345</v>
      </c>
      <c r="M46" s="11" t="s">
        <v>338</v>
      </c>
      <c r="Q46" s="11" t="s">
        <v>105</v>
      </c>
      <c r="R46" s="11" t="s">
        <v>106</v>
      </c>
      <c r="S46" s="11" t="s">
        <v>1584</v>
      </c>
      <c r="T46" s="11" t="s">
        <v>107</v>
      </c>
      <c r="U46" s="11" t="s">
        <v>108</v>
      </c>
      <c r="V46" s="11" t="s">
        <v>21</v>
      </c>
      <c r="W46" s="11" t="s">
        <v>283</v>
      </c>
      <c r="X46" s="11" t="s">
        <v>284</v>
      </c>
      <c r="Y46" s="11" t="s">
        <v>24</v>
      </c>
      <c r="Z46" s="11" t="s">
        <v>285</v>
      </c>
      <c r="AC46" s="11" t="s">
        <v>111</v>
      </c>
      <c r="AD46" s="11" t="s">
        <v>286</v>
      </c>
      <c r="AE46" s="11" t="s">
        <v>301</v>
      </c>
      <c r="AL46" s="11">
        <v>1</v>
      </c>
      <c r="AP46" s="11" t="s">
        <v>21</v>
      </c>
      <c r="AQ46" s="11" t="s">
        <v>192</v>
      </c>
      <c r="AS46" s="11" t="s">
        <v>299</v>
      </c>
      <c r="AT46" s="11">
        <v>3</v>
      </c>
      <c r="BA46" s="11">
        <v>1</v>
      </c>
    </row>
    <row r="47" spans="2:53" x14ac:dyDescent="0.45">
      <c r="B47" s="11" t="s">
        <v>21</v>
      </c>
      <c r="C47" s="11" t="s">
        <v>23</v>
      </c>
      <c r="D47" s="11" t="s">
        <v>24</v>
      </c>
      <c r="E47" s="11" t="s">
        <v>25</v>
      </c>
      <c r="F47" s="11" t="s">
        <v>346</v>
      </c>
      <c r="G47" s="11" t="s">
        <v>347</v>
      </c>
      <c r="H47" s="11" t="s">
        <v>21</v>
      </c>
      <c r="I47" s="11" t="s">
        <v>348</v>
      </c>
      <c r="J47" s="11" t="s">
        <v>349</v>
      </c>
      <c r="K47" s="11">
        <v>1</v>
      </c>
      <c r="L47" s="11" t="s">
        <v>350</v>
      </c>
      <c r="M47" s="11" t="s">
        <v>351</v>
      </c>
      <c r="Q47" s="11" t="s">
        <v>105</v>
      </c>
      <c r="R47" s="11" t="s">
        <v>106</v>
      </c>
      <c r="S47" s="11" t="s">
        <v>1584</v>
      </c>
      <c r="T47" s="11" t="s">
        <v>107</v>
      </c>
      <c r="U47" s="11" t="s">
        <v>108</v>
      </c>
      <c r="V47" s="11" t="s">
        <v>21</v>
      </c>
      <c r="W47" s="11" t="s">
        <v>283</v>
      </c>
      <c r="X47" s="11" t="s">
        <v>284</v>
      </c>
      <c r="Y47" s="11" t="s">
        <v>24</v>
      </c>
      <c r="Z47" s="11" t="s">
        <v>285</v>
      </c>
      <c r="AC47" s="11" t="s">
        <v>111</v>
      </c>
      <c r="AD47" s="11" t="s">
        <v>286</v>
      </c>
      <c r="AE47" s="11" t="s">
        <v>352</v>
      </c>
      <c r="AL47" s="11">
        <v>1</v>
      </c>
      <c r="AT47" s="11">
        <v>0</v>
      </c>
    </row>
    <row r="48" spans="2:53" x14ac:dyDescent="0.45">
      <c r="B48" s="11" t="s">
        <v>21</v>
      </c>
      <c r="C48" s="11" t="s">
        <v>23</v>
      </c>
      <c r="D48" s="11" t="s">
        <v>24</v>
      </c>
      <c r="E48" s="11" t="s">
        <v>25</v>
      </c>
      <c r="F48" s="11" t="s">
        <v>353</v>
      </c>
      <c r="G48" s="11" t="s">
        <v>354</v>
      </c>
      <c r="H48" s="11" t="s">
        <v>21</v>
      </c>
      <c r="I48" s="11" t="s">
        <v>243</v>
      </c>
      <c r="J48" s="11" t="s">
        <v>244</v>
      </c>
      <c r="K48" s="11">
        <v>1</v>
      </c>
      <c r="L48" s="11" t="s">
        <v>355</v>
      </c>
      <c r="M48" s="11" t="s">
        <v>246</v>
      </c>
      <c r="Q48" s="11" t="s">
        <v>105</v>
      </c>
      <c r="R48" s="11" t="s">
        <v>106</v>
      </c>
      <c r="S48" s="11" t="s">
        <v>1584</v>
      </c>
      <c r="T48" s="11" t="s">
        <v>107</v>
      </c>
      <c r="U48" s="11" t="s">
        <v>108</v>
      </c>
      <c r="V48" s="11" t="s">
        <v>21</v>
      </c>
      <c r="W48" s="11" t="s">
        <v>283</v>
      </c>
      <c r="X48" s="11" t="s">
        <v>284</v>
      </c>
      <c r="Y48" s="11" t="s">
        <v>24</v>
      </c>
      <c r="Z48" s="11" t="s">
        <v>285</v>
      </c>
      <c r="AC48" s="11" t="s">
        <v>111</v>
      </c>
      <c r="AD48" s="11" t="s">
        <v>286</v>
      </c>
      <c r="AE48" s="11" t="s">
        <v>356</v>
      </c>
      <c r="AL48" s="11">
        <v>1</v>
      </c>
      <c r="AT48" s="11">
        <v>0</v>
      </c>
    </row>
    <row r="49" spans="2:55" x14ac:dyDescent="0.45">
      <c r="B49" s="11" t="s">
        <v>21</v>
      </c>
      <c r="C49" s="11" t="s">
        <v>23</v>
      </c>
      <c r="D49" s="11" t="s">
        <v>24</v>
      </c>
      <c r="E49" s="11" t="s">
        <v>25</v>
      </c>
      <c r="F49" s="11" t="s">
        <v>357</v>
      </c>
      <c r="G49" s="11" t="s">
        <v>358</v>
      </c>
      <c r="H49" s="11" t="s">
        <v>21</v>
      </c>
      <c r="I49" s="11" t="s">
        <v>249</v>
      </c>
      <c r="J49" s="11" t="s">
        <v>225</v>
      </c>
      <c r="K49" s="11">
        <v>1</v>
      </c>
      <c r="L49" s="11" t="s">
        <v>359</v>
      </c>
      <c r="M49" s="11" t="s">
        <v>251</v>
      </c>
      <c r="Q49" s="11" t="s">
        <v>105</v>
      </c>
      <c r="R49" s="11" t="s">
        <v>106</v>
      </c>
      <c r="S49" s="11" t="s">
        <v>1584</v>
      </c>
      <c r="T49" s="11" t="s">
        <v>107</v>
      </c>
      <c r="U49" s="11" t="s">
        <v>108</v>
      </c>
      <c r="V49" s="11" t="s">
        <v>21</v>
      </c>
      <c r="W49" s="11" t="s">
        <v>283</v>
      </c>
      <c r="X49" s="11" t="s">
        <v>284</v>
      </c>
      <c r="Y49" s="11" t="s">
        <v>24</v>
      </c>
      <c r="Z49" s="11" t="s">
        <v>285</v>
      </c>
      <c r="AC49" s="11" t="s">
        <v>111</v>
      </c>
      <c r="AD49" s="11" t="s">
        <v>286</v>
      </c>
      <c r="AE49" s="11" t="s">
        <v>356</v>
      </c>
      <c r="AL49" s="11">
        <v>1</v>
      </c>
      <c r="AT49" s="11">
        <v>0</v>
      </c>
    </row>
    <row r="50" spans="2:55" x14ac:dyDescent="0.45">
      <c r="B50" s="11" t="s">
        <v>21</v>
      </c>
      <c r="C50" s="11" t="s">
        <v>23</v>
      </c>
      <c r="D50" s="11" t="s">
        <v>24</v>
      </c>
      <c r="E50" s="11" t="s">
        <v>25</v>
      </c>
      <c r="F50" s="11" t="s">
        <v>360</v>
      </c>
      <c r="G50" s="11" t="s">
        <v>361</v>
      </c>
      <c r="H50" s="11" t="s">
        <v>21</v>
      </c>
      <c r="I50" s="11" t="s">
        <v>254</v>
      </c>
      <c r="J50" s="11" t="s">
        <v>255</v>
      </c>
      <c r="K50" s="11">
        <v>1</v>
      </c>
      <c r="L50" s="11" t="s">
        <v>362</v>
      </c>
      <c r="M50" s="11" t="s">
        <v>257</v>
      </c>
      <c r="Q50" s="11" t="s">
        <v>105</v>
      </c>
      <c r="R50" s="11" t="s">
        <v>106</v>
      </c>
      <c r="S50" s="11" t="s">
        <v>1584</v>
      </c>
      <c r="T50" s="11" t="s">
        <v>107</v>
      </c>
      <c r="U50" s="11" t="s">
        <v>108</v>
      </c>
      <c r="V50" s="11" t="s">
        <v>21</v>
      </c>
      <c r="W50" s="11" t="s">
        <v>283</v>
      </c>
      <c r="X50" s="11" t="s">
        <v>284</v>
      </c>
      <c r="Y50" s="11" t="s">
        <v>24</v>
      </c>
      <c r="Z50" s="11" t="s">
        <v>285</v>
      </c>
      <c r="AC50" s="11" t="s">
        <v>111</v>
      </c>
      <c r="AD50" s="11" t="s">
        <v>286</v>
      </c>
      <c r="AE50" s="11" t="s">
        <v>356</v>
      </c>
      <c r="AL50" s="11">
        <v>1</v>
      </c>
      <c r="AT50" s="11">
        <v>0</v>
      </c>
    </row>
    <row r="51" spans="2:55" x14ac:dyDescent="0.45">
      <c r="B51" s="11" t="s">
        <v>21</v>
      </c>
      <c r="C51" s="11" t="s">
        <v>23</v>
      </c>
      <c r="D51" s="11" t="s">
        <v>24</v>
      </c>
      <c r="E51" s="11" t="s">
        <v>25</v>
      </c>
      <c r="F51" s="11" t="s">
        <v>363</v>
      </c>
      <c r="G51" s="11" t="s">
        <v>364</v>
      </c>
      <c r="H51" s="11" t="s">
        <v>21</v>
      </c>
      <c r="I51" s="11" t="s">
        <v>243</v>
      </c>
      <c r="J51" s="11" t="s">
        <v>244</v>
      </c>
      <c r="K51" s="11">
        <v>2</v>
      </c>
      <c r="L51" s="11" t="s">
        <v>365</v>
      </c>
      <c r="M51" s="11" t="s">
        <v>246</v>
      </c>
      <c r="Q51" s="11" t="s">
        <v>105</v>
      </c>
      <c r="R51" s="11" t="s">
        <v>106</v>
      </c>
      <c r="S51" s="11" t="s">
        <v>1584</v>
      </c>
      <c r="T51" s="11" t="s">
        <v>107</v>
      </c>
      <c r="U51" s="11" t="s">
        <v>108</v>
      </c>
      <c r="V51" s="11" t="s">
        <v>21</v>
      </c>
      <c r="W51" s="11" t="s">
        <v>283</v>
      </c>
      <c r="X51" s="11" t="s">
        <v>284</v>
      </c>
      <c r="Y51" s="11" t="s">
        <v>24</v>
      </c>
      <c r="Z51" s="11" t="s">
        <v>285</v>
      </c>
      <c r="AC51" s="11" t="s">
        <v>111</v>
      </c>
      <c r="AD51" s="11" t="s">
        <v>286</v>
      </c>
      <c r="AE51" s="11" t="s">
        <v>356</v>
      </c>
      <c r="AL51" s="11">
        <v>1</v>
      </c>
      <c r="AT51" s="11">
        <v>0</v>
      </c>
    </row>
    <row r="52" spans="2:55" x14ac:dyDescent="0.45">
      <c r="B52" s="11" t="s">
        <v>21</v>
      </c>
      <c r="C52" s="11" t="s">
        <v>23</v>
      </c>
      <c r="D52" s="11" t="s">
        <v>24</v>
      </c>
      <c r="E52" s="11" t="s">
        <v>25</v>
      </c>
      <c r="F52" s="11" t="s">
        <v>366</v>
      </c>
      <c r="G52" s="11" t="s">
        <v>367</v>
      </c>
      <c r="H52" s="11" t="s">
        <v>21</v>
      </c>
      <c r="I52" s="11" t="s">
        <v>368</v>
      </c>
      <c r="J52" s="11" t="s">
        <v>369</v>
      </c>
      <c r="K52" s="11">
        <v>1</v>
      </c>
      <c r="L52" s="11" t="s">
        <v>370</v>
      </c>
      <c r="M52" s="11" t="s">
        <v>371</v>
      </c>
      <c r="Q52" s="11" t="s">
        <v>105</v>
      </c>
      <c r="R52" s="11" t="s">
        <v>106</v>
      </c>
      <c r="S52" s="11" t="s">
        <v>1584</v>
      </c>
      <c r="T52" s="11" t="s">
        <v>107</v>
      </c>
      <c r="U52" s="11" t="s">
        <v>108</v>
      </c>
      <c r="V52" s="11" t="s">
        <v>21</v>
      </c>
      <c r="W52" s="11" t="s">
        <v>283</v>
      </c>
      <c r="X52" s="11" t="s">
        <v>284</v>
      </c>
      <c r="Y52" s="11" t="s">
        <v>24</v>
      </c>
      <c r="Z52" s="11" t="s">
        <v>285</v>
      </c>
      <c r="AC52" s="11" t="s">
        <v>111</v>
      </c>
      <c r="AD52" s="11" t="s">
        <v>286</v>
      </c>
      <c r="AE52" s="11" t="s">
        <v>356</v>
      </c>
      <c r="AL52" s="11">
        <v>1</v>
      </c>
      <c r="AP52" s="11" t="s">
        <v>21</v>
      </c>
      <c r="AQ52" s="11" t="s">
        <v>192</v>
      </c>
      <c r="AS52" s="11" t="s">
        <v>370</v>
      </c>
      <c r="AT52" s="11">
        <v>2</v>
      </c>
    </row>
    <row r="53" spans="2:55" x14ac:dyDescent="0.45">
      <c r="B53" s="11" t="s">
        <v>21</v>
      </c>
      <c r="C53" s="11" t="s">
        <v>23</v>
      </c>
      <c r="D53" s="11" t="s">
        <v>24</v>
      </c>
      <c r="E53" s="11" t="s">
        <v>25</v>
      </c>
      <c r="F53" s="11" t="s">
        <v>372</v>
      </c>
      <c r="G53" s="11" t="s">
        <v>373</v>
      </c>
      <c r="H53" s="11" t="s">
        <v>21</v>
      </c>
      <c r="I53" s="11" t="s">
        <v>374</v>
      </c>
      <c r="J53" s="11" t="s">
        <v>375</v>
      </c>
      <c r="K53" s="11">
        <v>1</v>
      </c>
      <c r="L53" s="11" t="s">
        <v>376</v>
      </c>
      <c r="M53" s="11" t="s">
        <v>377</v>
      </c>
      <c r="Q53" s="11" t="s">
        <v>105</v>
      </c>
      <c r="R53" s="11" t="s">
        <v>106</v>
      </c>
      <c r="S53" s="11" t="s">
        <v>1584</v>
      </c>
      <c r="T53" s="11" t="s">
        <v>107</v>
      </c>
      <c r="U53" s="11" t="s">
        <v>108</v>
      </c>
      <c r="V53" s="11" t="s">
        <v>21</v>
      </c>
      <c r="W53" s="11" t="s">
        <v>283</v>
      </c>
      <c r="X53" s="11" t="s">
        <v>284</v>
      </c>
      <c r="Y53" s="11" t="s">
        <v>24</v>
      </c>
      <c r="Z53" s="11" t="s">
        <v>285</v>
      </c>
      <c r="AC53" s="11" t="s">
        <v>111</v>
      </c>
      <c r="AD53" s="11" t="s">
        <v>286</v>
      </c>
      <c r="AE53" s="11" t="s">
        <v>301</v>
      </c>
      <c r="AL53" s="11">
        <v>1</v>
      </c>
      <c r="AP53" s="11" t="s">
        <v>21</v>
      </c>
      <c r="AQ53" s="11" t="s">
        <v>294</v>
      </c>
      <c r="AS53" s="11" t="s">
        <v>282</v>
      </c>
      <c r="AT53" s="11">
        <v>2</v>
      </c>
      <c r="BA53" s="11">
        <v>1</v>
      </c>
    </row>
    <row r="54" spans="2:55" x14ac:dyDescent="0.45">
      <c r="B54" s="11" t="s">
        <v>21</v>
      </c>
      <c r="C54" s="11" t="s">
        <v>23</v>
      </c>
      <c r="D54" s="11" t="s">
        <v>24</v>
      </c>
      <c r="E54" s="11" t="s">
        <v>25</v>
      </c>
      <c r="F54" s="11" t="s">
        <v>378</v>
      </c>
      <c r="G54" s="11" t="s">
        <v>379</v>
      </c>
      <c r="H54" s="11" t="s">
        <v>21</v>
      </c>
      <c r="I54" s="11" t="s">
        <v>380</v>
      </c>
      <c r="J54" s="11" t="s">
        <v>381</v>
      </c>
      <c r="K54" s="11">
        <v>1</v>
      </c>
      <c r="L54" s="11" t="s">
        <v>382</v>
      </c>
      <c r="M54" s="11" t="s">
        <v>383</v>
      </c>
      <c r="Q54" s="11" t="s">
        <v>105</v>
      </c>
      <c r="R54" s="11" t="s">
        <v>106</v>
      </c>
      <c r="S54" s="11" t="s">
        <v>1584</v>
      </c>
      <c r="T54" s="11" t="s">
        <v>107</v>
      </c>
      <c r="U54" s="11" t="s">
        <v>108</v>
      </c>
      <c r="V54" s="11" t="s">
        <v>21</v>
      </c>
      <c r="W54" s="11" t="s">
        <v>283</v>
      </c>
      <c r="X54" s="11" t="s">
        <v>284</v>
      </c>
      <c r="Y54" s="11" t="s">
        <v>24</v>
      </c>
      <c r="Z54" s="11" t="s">
        <v>285</v>
      </c>
      <c r="AC54" s="11" t="s">
        <v>111</v>
      </c>
      <c r="AD54" s="11" t="s">
        <v>286</v>
      </c>
      <c r="AE54" s="11" t="s">
        <v>352</v>
      </c>
      <c r="AL54" s="11">
        <v>1</v>
      </c>
      <c r="AU54" s="11">
        <v>1</v>
      </c>
      <c r="AZ54" s="11">
        <v>1</v>
      </c>
    </row>
    <row r="55" spans="2:55" x14ac:dyDescent="0.45">
      <c r="B55" s="11" t="s">
        <v>21</v>
      </c>
      <c r="C55" s="11" t="s">
        <v>23</v>
      </c>
      <c r="D55" s="11" t="s">
        <v>24</v>
      </c>
      <c r="E55" s="11" t="s">
        <v>25</v>
      </c>
      <c r="F55" s="11" t="s">
        <v>384</v>
      </c>
      <c r="G55" s="11" t="s">
        <v>385</v>
      </c>
      <c r="H55" s="11" t="s">
        <v>21</v>
      </c>
      <c r="I55" s="11" t="s">
        <v>243</v>
      </c>
      <c r="J55" s="11" t="s">
        <v>244</v>
      </c>
      <c r="K55" s="11">
        <v>3</v>
      </c>
      <c r="L55" s="11" t="s">
        <v>386</v>
      </c>
      <c r="M55" s="11" t="s">
        <v>246</v>
      </c>
      <c r="Q55" s="11" t="s">
        <v>105</v>
      </c>
      <c r="R55" s="11" t="s">
        <v>106</v>
      </c>
      <c r="S55" s="11" t="s">
        <v>1584</v>
      </c>
      <c r="T55" s="11" t="s">
        <v>107</v>
      </c>
      <c r="U55" s="11" t="s">
        <v>108</v>
      </c>
      <c r="V55" s="11" t="s">
        <v>21</v>
      </c>
      <c r="W55" s="11" t="s">
        <v>283</v>
      </c>
      <c r="X55" s="11" t="s">
        <v>284</v>
      </c>
      <c r="Y55" s="11" t="s">
        <v>24</v>
      </c>
      <c r="Z55" s="11" t="s">
        <v>285</v>
      </c>
      <c r="AC55" s="11" t="s">
        <v>111</v>
      </c>
      <c r="AD55" s="11" t="s">
        <v>286</v>
      </c>
      <c r="AE55" s="11" t="s">
        <v>387</v>
      </c>
      <c r="AL55" s="11">
        <v>1</v>
      </c>
    </row>
    <row r="56" spans="2:55" x14ac:dyDescent="0.45">
      <c r="B56" s="11" t="s">
        <v>21</v>
      </c>
      <c r="C56" s="11" t="s">
        <v>23</v>
      </c>
      <c r="D56" s="11" t="s">
        <v>24</v>
      </c>
      <c r="E56" s="11" t="s">
        <v>25</v>
      </c>
      <c r="F56" s="11" t="s">
        <v>388</v>
      </c>
      <c r="G56" s="11" t="s">
        <v>389</v>
      </c>
      <c r="H56" s="11" t="s">
        <v>21</v>
      </c>
      <c r="I56" s="11" t="s">
        <v>390</v>
      </c>
      <c r="J56" s="11" t="s">
        <v>391</v>
      </c>
      <c r="K56" s="11">
        <v>1</v>
      </c>
      <c r="L56" s="11" t="s">
        <v>392</v>
      </c>
      <c r="M56" s="11" t="s">
        <v>393</v>
      </c>
      <c r="Q56" s="11" t="s">
        <v>105</v>
      </c>
      <c r="R56" s="11" t="s">
        <v>106</v>
      </c>
      <c r="S56" s="11" t="s">
        <v>1584</v>
      </c>
      <c r="T56" s="11" t="s">
        <v>107</v>
      </c>
      <c r="U56" s="11" t="s">
        <v>108</v>
      </c>
      <c r="V56" s="11" t="s">
        <v>21</v>
      </c>
      <c r="W56" s="11" t="s">
        <v>283</v>
      </c>
      <c r="X56" s="11" t="s">
        <v>284</v>
      </c>
      <c r="Y56" s="11" t="s">
        <v>24</v>
      </c>
      <c r="Z56" s="11" t="s">
        <v>285</v>
      </c>
      <c r="AC56" s="11" t="s">
        <v>111</v>
      </c>
      <c r="AD56" s="11" t="s">
        <v>286</v>
      </c>
      <c r="AE56" s="11" t="s">
        <v>387</v>
      </c>
      <c r="AL56" s="11">
        <v>1</v>
      </c>
    </row>
    <row r="57" spans="2:55" x14ac:dyDescent="0.45">
      <c r="B57" s="11" t="s">
        <v>21</v>
      </c>
      <c r="C57" s="11" t="s">
        <v>23</v>
      </c>
      <c r="D57" s="11" t="s">
        <v>24</v>
      </c>
      <c r="E57" s="11" t="s">
        <v>25</v>
      </c>
      <c r="F57" s="11" t="s">
        <v>394</v>
      </c>
      <c r="G57" s="11" t="s">
        <v>395</v>
      </c>
      <c r="H57" s="11" t="s">
        <v>21</v>
      </c>
      <c r="I57" s="11" t="s">
        <v>263</v>
      </c>
      <c r="J57" s="11" t="s">
        <v>264</v>
      </c>
      <c r="K57" s="11">
        <v>2</v>
      </c>
      <c r="L57" s="11" t="s">
        <v>396</v>
      </c>
      <c r="M57" s="11" t="s">
        <v>266</v>
      </c>
      <c r="Q57" s="11" t="s">
        <v>105</v>
      </c>
      <c r="R57" s="11" t="s">
        <v>106</v>
      </c>
      <c r="S57" s="11" t="s">
        <v>1584</v>
      </c>
      <c r="T57" s="11" t="s">
        <v>107</v>
      </c>
      <c r="U57" s="11" t="s">
        <v>108</v>
      </c>
      <c r="V57" s="11" t="s">
        <v>21</v>
      </c>
      <c r="W57" s="11" t="s">
        <v>283</v>
      </c>
      <c r="X57" s="11" t="s">
        <v>284</v>
      </c>
      <c r="Y57" s="11" t="s">
        <v>24</v>
      </c>
      <c r="Z57" s="11" t="s">
        <v>285</v>
      </c>
      <c r="AC57" s="11" t="s">
        <v>111</v>
      </c>
      <c r="AD57" s="11" t="s">
        <v>286</v>
      </c>
      <c r="AE57" s="11" t="s">
        <v>387</v>
      </c>
      <c r="AL57" s="11">
        <v>1</v>
      </c>
    </row>
    <row r="58" spans="2:55" x14ac:dyDescent="0.45">
      <c r="B58" s="11" t="s">
        <v>21</v>
      </c>
      <c r="C58" s="11" t="s">
        <v>23</v>
      </c>
      <c r="D58" s="11" t="s">
        <v>24</v>
      </c>
      <c r="E58" s="11" t="s">
        <v>25</v>
      </c>
      <c r="F58" s="11" t="s">
        <v>397</v>
      </c>
      <c r="G58" s="11" t="s">
        <v>398</v>
      </c>
      <c r="H58" s="11" t="s">
        <v>21</v>
      </c>
      <c r="I58" s="11" t="s">
        <v>399</v>
      </c>
      <c r="J58" s="11" t="s">
        <v>400</v>
      </c>
      <c r="K58" s="11">
        <v>1</v>
      </c>
      <c r="L58" s="11" t="s">
        <v>401</v>
      </c>
      <c r="M58" s="11" t="s">
        <v>402</v>
      </c>
      <c r="Q58" s="11" t="s">
        <v>105</v>
      </c>
      <c r="R58" s="11" t="s">
        <v>106</v>
      </c>
      <c r="S58" s="11" t="s">
        <v>1584</v>
      </c>
      <c r="T58" s="11" t="s">
        <v>107</v>
      </c>
      <c r="U58" s="11" t="s">
        <v>108</v>
      </c>
      <c r="V58" s="11" t="s">
        <v>21</v>
      </c>
      <c r="W58" s="11" t="s">
        <v>283</v>
      </c>
      <c r="X58" s="11" t="s">
        <v>284</v>
      </c>
      <c r="Y58" s="11" t="s">
        <v>24</v>
      </c>
      <c r="Z58" s="11" t="s">
        <v>285</v>
      </c>
      <c r="AC58" s="11" t="s">
        <v>111</v>
      </c>
      <c r="AD58" s="11" t="s">
        <v>286</v>
      </c>
      <c r="AE58" s="11" t="s">
        <v>387</v>
      </c>
      <c r="AL58" s="11">
        <v>1</v>
      </c>
      <c r="BA58" s="11">
        <v>1</v>
      </c>
    </row>
    <row r="59" spans="2:55" x14ac:dyDescent="0.45">
      <c r="B59" s="11" t="s">
        <v>21</v>
      </c>
      <c r="C59" s="11" t="s">
        <v>23</v>
      </c>
      <c r="D59" s="11" t="s">
        <v>24</v>
      </c>
      <c r="E59" s="11" t="s">
        <v>25</v>
      </c>
      <c r="F59" s="11" t="s">
        <v>403</v>
      </c>
      <c r="G59" s="11" t="s">
        <v>404</v>
      </c>
      <c r="H59" s="11" t="s">
        <v>21</v>
      </c>
      <c r="I59" s="11" t="s">
        <v>405</v>
      </c>
      <c r="J59" s="11" t="s">
        <v>375</v>
      </c>
      <c r="K59" s="11">
        <v>1</v>
      </c>
      <c r="L59" s="11" t="s">
        <v>406</v>
      </c>
      <c r="M59" s="11" t="s">
        <v>407</v>
      </c>
      <c r="Q59" s="11" t="s">
        <v>105</v>
      </c>
      <c r="R59" s="11" t="s">
        <v>106</v>
      </c>
      <c r="S59" s="11" t="s">
        <v>1584</v>
      </c>
      <c r="T59" s="11" t="s">
        <v>107</v>
      </c>
      <c r="U59" s="11" t="s">
        <v>108</v>
      </c>
      <c r="V59" s="11" t="s">
        <v>21</v>
      </c>
      <c r="W59" s="11" t="s">
        <v>283</v>
      </c>
      <c r="X59" s="11" t="s">
        <v>284</v>
      </c>
      <c r="Y59" s="11" t="s">
        <v>24</v>
      </c>
      <c r="Z59" s="11" t="s">
        <v>285</v>
      </c>
      <c r="AC59" s="11" t="s">
        <v>111</v>
      </c>
      <c r="AD59" s="11" t="s">
        <v>286</v>
      </c>
      <c r="AE59" s="11" t="s">
        <v>387</v>
      </c>
      <c r="AL59" s="11">
        <v>1</v>
      </c>
      <c r="BA59" s="11">
        <v>1</v>
      </c>
    </row>
    <row r="60" spans="2:55" x14ac:dyDescent="0.45">
      <c r="B60" s="11" t="s">
        <v>21</v>
      </c>
      <c r="C60" s="11" t="s">
        <v>23</v>
      </c>
      <c r="D60" s="11" t="s">
        <v>24</v>
      </c>
      <c r="E60" s="11" t="s">
        <v>25</v>
      </c>
      <c r="F60" s="11" t="s">
        <v>408</v>
      </c>
      <c r="G60" s="11" t="s">
        <v>409</v>
      </c>
      <c r="H60" s="11" t="s">
        <v>21</v>
      </c>
      <c r="I60" s="11" t="s">
        <v>410</v>
      </c>
      <c r="J60" s="11" t="s">
        <v>324</v>
      </c>
      <c r="K60" s="11">
        <v>1</v>
      </c>
      <c r="L60" s="11" t="s">
        <v>411</v>
      </c>
      <c r="M60" s="11" t="s">
        <v>412</v>
      </c>
      <c r="Q60" s="11" t="s">
        <v>105</v>
      </c>
      <c r="R60" s="11" t="s">
        <v>106</v>
      </c>
      <c r="S60" s="11" t="s">
        <v>1584</v>
      </c>
      <c r="T60" s="11" t="s">
        <v>107</v>
      </c>
      <c r="U60" s="11" t="s">
        <v>108</v>
      </c>
      <c r="V60" s="11" t="s">
        <v>21</v>
      </c>
      <c r="W60" s="11" t="s">
        <v>283</v>
      </c>
      <c r="X60" s="11" t="s">
        <v>284</v>
      </c>
      <c r="Y60" s="11" t="s">
        <v>24</v>
      </c>
      <c r="Z60" s="11" t="s">
        <v>285</v>
      </c>
      <c r="AC60" s="11" t="s">
        <v>111</v>
      </c>
      <c r="AD60" s="11" t="s">
        <v>286</v>
      </c>
      <c r="AE60" s="11" t="s">
        <v>168</v>
      </c>
      <c r="AL60" s="11">
        <v>1</v>
      </c>
    </row>
    <row r="61" spans="2:55" x14ac:dyDescent="0.45">
      <c r="B61" s="11" t="s">
        <v>21</v>
      </c>
      <c r="C61" s="11" t="s">
        <v>23</v>
      </c>
      <c r="D61" s="11" t="s">
        <v>24</v>
      </c>
      <c r="E61" s="11" t="s">
        <v>25</v>
      </c>
      <c r="F61" s="11" t="s">
        <v>413</v>
      </c>
      <c r="G61" s="11" t="s">
        <v>414</v>
      </c>
      <c r="H61" s="11" t="s">
        <v>21</v>
      </c>
      <c r="I61" s="11" t="s">
        <v>159</v>
      </c>
      <c r="J61" s="11" t="s">
        <v>123</v>
      </c>
      <c r="K61" s="11">
        <v>1</v>
      </c>
      <c r="L61" s="11" t="s">
        <v>415</v>
      </c>
      <c r="M61" s="11" t="s">
        <v>161</v>
      </c>
      <c r="Q61" s="11" t="s">
        <v>105</v>
      </c>
      <c r="R61" s="11" t="s">
        <v>106</v>
      </c>
      <c r="S61" s="11" t="s">
        <v>1584</v>
      </c>
      <c r="T61" s="11" t="s">
        <v>107</v>
      </c>
      <c r="U61" s="11" t="s">
        <v>108</v>
      </c>
      <c r="V61" s="11" t="s">
        <v>21</v>
      </c>
      <c r="W61" s="11" t="s">
        <v>416</v>
      </c>
      <c r="X61" s="11" t="s">
        <v>417</v>
      </c>
      <c r="Y61" s="11" t="s">
        <v>24</v>
      </c>
      <c r="Z61" s="11" t="s">
        <v>418</v>
      </c>
      <c r="AC61" s="11" t="s">
        <v>111</v>
      </c>
      <c r="AD61" s="11" t="s">
        <v>128</v>
      </c>
      <c r="AE61" s="11" t="s">
        <v>113</v>
      </c>
      <c r="AL61" s="11">
        <v>1</v>
      </c>
    </row>
    <row r="62" spans="2:55" x14ac:dyDescent="0.45">
      <c r="B62" s="11" t="s">
        <v>21</v>
      </c>
      <c r="C62" s="11" t="s">
        <v>23</v>
      </c>
      <c r="D62" s="11" t="s">
        <v>24</v>
      </c>
      <c r="E62" s="11" t="s">
        <v>25</v>
      </c>
      <c r="F62" s="11" t="s">
        <v>419</v>
      </c>
      <c r="G62" s="11" t="s">
        <v>420</v>
      </c>
      <c r="H62" s="11" t="s">
        <v>21</v>
      </c>
      <c r="I62" s="11" t="s">
        <v>421</v>
      </c>
      <c r="J62" s="11" t="s">
        <v>422</v>
      </c>
      <c r="K62" s="11">
        <v>1</v>
      </c>
      <c r="L62" s="11" t="s">
        <v>423</v>
      </c>
      <c r="M62" s="11" t="s">
        <v>424</v>
      </c>
      <c r="Q62" s="11" t="s">
        <v>105</v>
      </c>
      <c r="R62" s="11" t="s">
        <v>106</v>
      </c>
      <c r="S62" s="11" t="s">
        <v>1584</v>
      </c>
      <c r="T62" s="11" t="s">
        <v>107</v>
      </c>
      <c r="U62" s="11" t="s">
        <v>108</v>
      </c>
      <c r="V62" s="11" t="s">
        <v>21</v>
      </c>
      <c r="W62" s="11" t="s">
        <v>416</v>
      </c>
      <c r="X62" s="11" t="s">
        <v>417</v>
      </c>
      <c r="Y62" s="11" t="s">
        <v>24</v>
      </c>
      <c r="Z62" s="11" t="s">
        <v>418</v>
      </c>
      <c r="AC62" s="11" t="s">
        <v>111</v>
      </c>
      <c r="AD62" s="11" t="s">
        <v>128</v>
      </c>
      <c r="AE62" s="11" t="s">
        <v>113</v>
      </c>
      <c r="AL62" s="11">
        <v>1</v>
      </c>
    </row>
    <row r="63" spans="2:55" x14ac:dyDescent="0.45">
      <c r="B63" s="11" t="s">
        <v>21</v>
      </c>
      <c r="C63" s="11" t="s">
        <v>23</v>
      </c>
      <c r="D63" s="11" t="s">
        <v>24</v>
      </c>
      <c r="E63" s="11" t="s">
        <v>25</v>
      </c>
      <c r="F63" s="11" t="s">
        <v>425</v>
      </c>
      <c r="G63" s="11" t="s">
        <v>426</v>
      </c>
      <c r="H63" s="11" t="s">
        <v>21</v>
      </c>
      <c r="I63" s="11" t="s">
        <v>427</v>
      </c>
      <c r="J63" s="11" t="s">
        <v>428</v>
      </c>
      <c r="K63" s="11">
        <v>1</v>
      </c>
      <c r="L63" s="11" t="s">
        <v>429</v>
      </c>
      <c r="M63" s="11" t="s">
        <v>430</v>
      </c>
      <c r="Q63" s="11" t="s">
        <v>105</v>
      </c>
      <c r="R63" s="11" t="s">
        <v>106</v>
      </c>
      <c r="S63" s="11" t="s">
        <v>1584</v>
      </c>
      <c r="T63" s="11" t="s">
        <v>107</v>
      </c>
      <c r="U63" s="11" t="s">
        <v>108</v>
      </c>
      <c r="V63" s="11" t="s">
        <v>21</v>
      </c>
      <c r="W63" s="11" t="s">
        <v>416</v>
      </c>
      <c r="X63" s="11" t="s">
        <v>417</v>
      </c>
      <c r="Y63" s="11" t="s">
        <v>24</v>
      </c>
      <c r="Z63" s="11" t="s">
        <v>418</v>
      </c>
      <c r="AC63" s="11" t="s">
        <v>111</v>
      </c>
      <c r="AD63" s="11" t="s">
        <v>128</v>
      </c>
      <c r="AE63" s="11" t="s">
        <v>113</v>
      </c>
      <c r="AL63" s="11">
        <v>1</v>
      </c>
      <c r="AU63" s="11">
        <v>1</v>
      </c>
      <c r="AV63" s="11" t="s">
        <v>431</v>
      </c>
      <c r="AW63" s="11">
        <v>1440</v>
      </c>
      <c r="AX63" s="11">
        <v>1680</v>
      </c>
      <c r="AZ63" s="11">
        <v>1</v>
      </c>
    </row>
    <row r="64" spans="2:55" x14ac:dyDescent="0.45">
      <c r="B64" s="11" t="s">
        <v>21</v>
      </c>
      <c r="C64" s="11" t="s">
        <v>23</v>
      </c>
      <c r="D64" s="11" t="s">
        <v>24</v>
      </c>
      <c r="E64" s="11" t="s">
        <v>25</v>
      </c>
      <c r="F64" s="11" t="s">
        <v>432</v>
      </c>
      <c r="G64" s="11" t="s">
        <v>433</v>
      </c>
      <c r="H64" s="11" t="s">
        <v>21</v>
      </c>
      <c r="I64" s="11" t="s">
        <v>434</v>
      </c>
      <c r="J64" s="11" t="s">
        <v>435</v>
      </c>
      <c r="K64" s="11">
        <v>1</v>
      </c>
      <c r="L64" s="11" t="s">
        <v>431</v>
      </c>
      <c r="M64" s="11" t="s">
        <v>436</v>
      </c>
      <c r="Q64" s="11" t="s">
        <v>105</v>
      </c>
      <c r="R64" s="11" t="s">
        <v>106</v>
      </c>
      <c r="S64" s="11" t="s">
        <v>1584</v>
      </c>
      <c r="T64" s="11" t="s">
        <v>107</v>
      </c>
      <c r="U64" s="11" t="s">
        <v>108</v>
      </c>
      <c r="V64" s="11" t="s">
        <v>21</v>
      </c>
      <c r="W64" s="11" t="s">
        <v>416</v>
      </c>
      <c r="X64" s="11" t="s">
        <v>417</v>
      </c>
      <c r="Y64" s="11" t="s">
        <v>24</v>
      </c>
      <c r="Z64" s="11" t="s">
        <v>418</v>
      </c>
      <c r="AC64" s="11" t="s">
        <v>111</v>
      </c>
      <c r="AD64" s="11" t="s">
        <v>128</v>
      </c>
      <c r="AE64" s="11" t="s">
        <v>138</v>
      </c>
      <c r="AL64" s="11">
        <v>1</v>
      </c>
      <c r="AU64" s="11">
        <v>1</v>
      </c>
      <c r="AZ64" s="11">
        <v>2</v>
      </c>
      <c r="BB64" s="11">
        <v>6</v>
      </c>
      <c r="BC64" s="11" t="s">
        <v>431</v>
      </c>
    </row>
    <row r="65" spans="2:63" x14ac:dyDescent="0.45">
      <c r="B65" s="11" t="s">
        <v>21</v>
      </c>
      <c r="C65" s="11" t="s">
        <v>23</v>
      </c>
      <c r="D65" s="11" t="s">
        <v>24</v>
      </c>
      <c r="E65" s="11" t="s">
        <v>25</v>
      </c>
      <c r="F65" s="11" t="s">
        <v>437</v>
      </c>
      <c r="G65" s="11" t="s">
        <v>438</v>
      </c>
      <c r="H65" s="11" t="s">
        <v>21</v>
      </c>
      <c r="I65" s="11" t="s">
        <v>141</v>
      </c>
      <c r="J65" s="11" t="s">
        <v>142</v>
      </c>
      <c r="K65" s="11">
        <v>1</v>
      </c>
      <c r="L65" s="11" t="s">
        <v>439</v>
      </c>
      <c r="M65" s="11" t="s">
        <v>144</v>
      </c>
      <c r="Q65" s="11" t="s">
        <v>105</v>
      </c>
      <c r="R65" s="11" t="s">
        <v>106</v>
      </c>
      <c r="S65" s="11" t="s">
        <v>1584</v>
      </c>
      <c r="T65" s="11" t="s">
        <v>107</v>
      </c>
      <c r="U65" s="11" t="s">
        <v>108</v>
      </c>
      <c r="V65" s="11" t="s">
        <v>21</v>
      </c>
      <c r="W65" s="11" t="s">
        <v>416</v>
      </c>
      <c r="X65" s="11" t="s">
        <v>417</v>
      </c>
      <c r="Y65" s="11" t="s">
        <v>24</v>
      </c>
      <c r="Z65" s="11" t="s">
        <v>418</v>
      </c>
      <c r="AC65" s="11" t="s">
        <v>111</v>
      </c>
      <c r="AD65" s="11" t="s">
        <v>128</v>
      </c>
      <c r="AE65" s="11" t="s">
        <v>113</v>
      </c>
      <c r="AL65" s="11">
        <v>1</v>
      </c>
      <c r="AU65" s="11">
        <v>1</v>
      </c>
      <c r="AZ65" s="11">
        <v>2</v>
      </c>
      <c r="BA65" s="11">
        <v>1</v>
      </c>
    </row>
    <row r="66" spans="2:63" x14ac:dyDescent="0.45">
      <c r="B66" s="11" t="s">
        <v>21</v>
      </c>
      <c r="C66" s="11" t="s">
        <v>23</v>
      </c>
      <c r="D66" s="11" t="s">
        <v>24</v>
      </c>
      <c r="E66" s="11" t="s">
        <v>25</v>
      </c>
      <c r="F66" s="11" t="s">
        <v>440</v>
      </c>
      <c r="G66" s="11" t="s">
        <v>441</v>
      </c>
      <c r="H66" s="11" t="s">
        <v>21</v>
      </c>
      <c r="I66" s="11" t="s">
        <v>150</v>
      </c>
      <c r="J66" s="11" t="s">
        <v>151</v>
      </c>
      <c r="K66" s="11">
        <v>1</v>
      </c>
      <c r="L66" s="11" t="s">
        <v>442</v>
      </c>
      <c r="M66" s="11" t="s">
        <v>153</v>
      </c>
      <c r="Q66" s="11" t="s">
        <v>443</v>
      </c>
      <c r="R66" s="11" t="s">
        <v>24</v>
      </c>
      <c r="T66" s="11" t="s">
        <v>444</v>
      </c>
      <c r="U66" s="11" t="s">
        <v>445</v>
      </c>
      <c r="V66" s="11" t="s">
        <v>21</v>
      </c>
      <c r="W66" s="11" t="s">
        <v>416</v>
      </c>
      <c r="X66" s="11" t="s">
        <v>417</v>
      </c>
      <c r="Y66" s="11" t="s">
        <v>24</v>
      </c>
      <c r="Z66" s="11" t="s">
        <v>418</v>
      </c>
      <c r="AC66" s="11" t="s">
        <v>111</v>
      </c>
      <c r="AD66" s="11" t="s">
        <v>128</v>
      </c>
      <c r="AE66" s="11" t="s">
        <v>113</v>
      </c>
      <c r="AL66" s="11">
        <v>1</v>
      </c>
      <c r="AU66" s="11">
        <v>1</v>
      </c>
      <c r="AZ66" s="11">
        <v>2</v>
      </c>
      <c r="BA66" s="11">
        <v>1</v>
      </c>
    </row>
    <row r="67" spans="2:63" x14ac:dyDescent="0.45">
      <c r="B67" s="11" t="s">
        <v>21</v>
      </c>
      <c r="C67" s="11" t="s">
        <v>23</v>
      </c>
      <c r="D67" s="11" t="s">
        <v>24</v>
      </c>
      <c r="E67" s="11" t="s">
        <v>25</v>
      </c>
      <c r="F67" s="11" t="s">
        <v>446</v>
      </c>
      <c r="G67" s="11" t="s">
        <v>447</v>
      </c>
      <c r="H67" s="11" t="s">
        <v>21</v>
      </c>
      <c r="I67" s="11" t="s">
        <v>159</v>
      </c>
      <c r="J67" s="11" t="s">
        <v>123</v>
      </c>
      <c r="K67" s="11">
        <v>2</v>
      </c>
      <c r="L67" s="11" t="s">
        <v>448</v>
      </c>
      <c r="M67" s="11" t="s">
        <v>161</v>
      </c>
      <c r="Q67" s="11" t="s">
        <v>105</v>
      </c>
      <c r="R67" s="11" t="s">
        <v>106</v>
      </c>
      <c r="S67" s="11" t="s">
        <v>1584</v>
      </c>
      <c r="T67" s="11" t="s">
        <v>107</v>
      </c>
      <c r="U67" s="11" t="s">
        <v>108</v>
      </c>
      <c r="V67" s="11" t="s">
        <v>21</v>
      </c>
      <c r="W67" s="11" t="s">
        <v>416</v>
      </c>
      <c r="X67" s="11" t="s">
        <v>417</v>
      </c>
      <c r="Y67" s="11" t="s">
        <v>24</v>
      </c>
      <c r="Z67" s="11" t="s">
        <v>418</v>
      </c>
      <c r="AC67" s="11" t="s">
        <v>111</v>
      </c>
      <c r="AD67" s="11" t="s">
        <v>128</v>
      </c>
      <c r="AE67" s="11" t="s">
        <v>113</v>
      </c>
      <c r="AL67" s="11">
        <v>1</v>
      </c>
    </row>
    <row r="68" spans="2:63" x14ac:dyDescent="0.45">
      <c r="B68" s="11" t="s">
        <v>21</v>
      </c>
      <c r="C68" s="11" t="s">
        <v>23</v>
      </c>
      <c r="D68" s="11" t="s">
        <v>24</v>
      </c>
      <c r="E68" s="11" t="s">
        <v>25</v>
      </c>
      <c r="F68" s="11" t="s">
        <v>449</v>
      </c>
      <c r="G68" s="11" t="s">
        <v>450</v>
      </c>
      <c r="H68" s="11" t="s">
        <v>21</v>
      </c>
      <c r="I68" s="11" t="s">
        <v>451</v>
      </c>
      <c r="J68" s="11" t="s">
        <v>452</v>
      </c>
      <c r="K68" s="11">
        <v>1</v>
      </c>
      <c r="L68" s="11" t="s">
        <v>453</v>
      </c>
      <c r="M68" s="11" t="s">
        <v>454</v>
      </c>
      <c r="Q68" s="11" t="s">
        <v>105</v>
      </c>
      <c r="R68" s="11" t="s">
        <v>106</v>
      </c>
      <c r="S68" s="11" t="s">
        <v>1584</v>
      </c>
      <c r="T68" s="11" t="s">
        <v>107</v>
      </c>
      <c r="U68" s="11" t="s">
        <v>108</v>
      </c>
      <c r="V68" s="11" t="s">
        <v>21</v>
      </c>
      <c r="W68" s="11" t="s">
        <v>416</v>
      </c>
      <c r="X68" s="11" t="s">
        <v>417</v>
      </c>
      <c r="Y68" s="11" t="s">
        <v>24</v>
      </c>
      <c r="Z68" s="11" t="s">
        <v>418</v>
      </c>
      <c r="AC68" s="11" t="s">
        <v>111</v>
      </c>
      <c r="AD68" s="11" t="s">
        <v>128</v>
      </c>
      <c r="AE68" s="11" t="s">
        <v>113</v>
      </c>
      <c r="AL68" s="11">
        <v>1</v>
      </c>
      <c r="BA68" s="11">
        <v>1</v>
      </c>
    </row>
    <row r="69" spans="2:63" x14ac:dyDescent="0.45">
      <c r="B69" s="11" t="s">
        <v>21</v>
      </c>
      <c r="C69" s="11" t="s">
        <v>23</v>
      </c>
      <c r="D69" s="11" t="s">
        <v>24</v>
      </c>
      <c r="E69" s="11" t="s">
        <v>25</v>
      </c>
      <c r="F69" s="11" t="s">
        <v>455</v>
      </c>
      <c r="G69" s="11" t="s">
        <v>456</v>
      </c>
      <c r="H69" s="11" t="s">
        <v>21</v>
      </c>
      <c r="I69" s="11" t="s">
        <v>164</v>
      </c>
      <c r="J69" s="11" t="s">
        <v>165</v>
      </c>
      <c r="K69" s="11">
        <v>1</v>
      </c>
      <c r="L69" s="11" t="s">
        <v>457</v>
      </c>
      <c r="M69" s="11" t="s">
        <v>167</v>
      </c>
      <c r="Q69" s="11" t="s">
        <v>105</v>
      </c>
      <c r="R69" s="11" t="s">
        <v>106</v>
      </c>
      <c r="S69" s="11" t="s">
        <v>1584</v>
      </c>
      <c r="T69" s="11" t="s">
        <v>107</v>
      </c>
      <c r="U69" s="11" t="s">
        <v>108</v>
      </c>
      <c r="V69" s="11" t="s">
        <v>21</v>
      </c>
      <c r="W69" s="11" t="s">
        <v>416</v>
      </c>
      <c r="X69" s="11" t="s">
        <v>417</v>
      </c>
      <c r="Y69" s="11" t="s">
        <v>24</v>
      </c>
      <c r="Z69" s="11" t="s">
        <v>418</v>
      </c>
      <c r="AC69" s="11" t="s">
        <v>111</v>
      </c>
      <c r="AD69" s="11" t="s">
        <v>128</v>
      </c>
      <c r="AE69" s="11" t="s">
        <v>168</v>
      </c>
      <c r="AL69" s="11">
        <v>1</v>
      </c>
    </row>
    <row r="70" spans="2:63" x14ac:dyDescent="0.45">
      <c r="B70" s="11" t="s">
        <v>21</v>
      </c>
      <c r="C70" s="11" t="s">
        <v>23</v>
      </c>
      <c r="D70" s="11" t="s">
        <v>24</v>
      </c>
      <c r="E70" s="11" t="s">
        <v>25</v>
      </c>
      <c r="F70" s="11" t="s">
        <v>458</v>
      </c>
      <c r="G70" s="11" t="s">
        <v>459</v>
      </c>
      <c r="H70" s="11" t="s">
        <v>21</v>
      </c>
      <c r="I70" s="11" t="s">
        <v>263</v>
      </c>
      <c r="J70" s="11" t="s">
        <v>264</v>
      </c>
      <c r="K70" s="11">
        <v>1</v>
      </c>
      <c r="L70" s="11" t="s">
        <v>460</v>
      </c>
      <c r="M70" s="11" t="s">
        <v>266</v>
      </c>
      <c r="Q70" s="11" t="s">
        <v>105</v>
      </c>
      <c r="R70" s="11" t="s">
        <v>106</v>
      </c>
      <c r="S70" s="11" t="s">
        <v>1584</v>
      </c>
      <c r="T70" s="11" t="s">
        <v>107</v>
      </c>
      <c r="U70" s="11" t="s">
        <v>108</v>
      </c>
      <c r="V70" s="11" t="s">
        <v>21</v>
      </c>
      <c r="W70" s="11" t="s">
        <v>461</v>
      </c>
      <c r="X70" s="11" t="s">
        <v>24</v>
      </c>
      <c r="Y70" s="11" t="s">
        <v>24</v>
      </c>
      <c r="Z70" s="11" t="s">
        <v>462</v>
      </c>
      <c r="AC70" s="11" t="s">
        <v>111</v>
      </c>
      <c r="AD70" s="11" t="s">
        <v>184</v>
      </c>
      <c r="AE70" s="11" t="s">
        <v>287</v>
      </c>
      <c r="AL70" s="11">
        <v>1</v>
      </c>
      <c r="AP70" s="11" t="s">
        <v>21</v>
      </c>
      <c r="AQ70" s="11" t="s">
        <v>185</v>
      </c>
      <c r="AS70" s="11" t="s">
        <v>460</v>
      </c>
      <c r="AT70" s="11">
        <v>1</v>
      </c>
      <c r="AU70" s="11">
        <v>1</v>
      </c>
      <c r="AV70" s="11" t="s">
        <v>463</v>
      </c>
      <c r="AW70" s="11">
        <v>15</v>
      </c>
      <c r="AX70" s="11">
        <v>20</v>
      </c>
    </row>
    <row r="71" spans="2:63" x14ac:dyDescent="0.45">
      <c r="B71" s="11" t="s">
        <v>21</v>
      </c>
      <c r="C71" s="11" t="s">
        <v>23</v>
      </c>
      <c r="D71" s="11" t="s">
        <v>24</v>
      </c>
      <c r="E71" s="11" t="s">
        <v>25</v>
      </c>
      <c r="F71" s="11" t="s">
        <v>464</v>
      </c>
      <c r="G71" s="11" t="s">
        <v>465</v>
      </c>
      <c r="H71" s="11" t="s">
        <v>21</v>
      </c>
      <c r="I71" s="11" t="s">
        <v>291</v>
      </c>
      <c r="J71" s="11" t="s">
        <v>292</v>
      </c>
      <c r="K71" s="11">
        <v>1</v>
      </c>
      <c r="L71" s="11" t="s">
        <v>463</v>
      </c>
      <c r="M71" s="11" t="s">
        <v>293</v>
      </c>
      <c r="Q71" s="11" t="s">
        <v>105</v>
      </c>
      <c r="R71" s="11" t="s">
        <v>106</v>
      </c>
      <c r="S71" s="11" t="s">
        <v>1584</v>
      </c>
      <c r="T71" s="11" t="s">
        <v>107</v>
      </c>
      <c r="U71" s="11" t="s">
        <v>108</v>
      </c>
      <c r="V71" s="11" t="s">
        <v>21</v>
      </c>
      <c r="W71" s="11" t="s">
        <v>461</v>
      </c>
      <c r="X71" s="11" t="s">
        <v>24</v>
      </c>
      <c r="Y71" s="11" t="s">
        <v>24</v>
      </c>
      <c r="Z71" s="11" t="s">
        <v>462</v>
      </c>
      <c r="AC71" s="11" t="s">
        <v>111</v>
      </c>
      <c r="AD71" s="11" t="s">
        <v>184</v>
      </c>
      <c r="AE71" s="11" t="s">
        <v>287</v>
      </c>
      <c r="AL71" s="11">
        <v>1</v>
      </c>
      <c r="AP71" s="11" t="s">
        <v>21</v>
      </c>
      <c r="AQ71" s="11" t="s">
        <v>294</v>
      </c>
      <c r="AS71" s="11" t="s">
        <v>460</v>
      </c>
      <c r="AT71" s="11">
        <v>2</v>
      </c>
      <c r="AU71" s="11">
        <v>1</v>
      </c>
    </row>
    <row r="72" spans="2:63" x14ac:dyDescent="0.45">
      <c r="B72" s="11" t="s">
        <v>21</v>
      </c>
      <c r="C72" s="11" t="s">
        <v>23</v>
      </c>
      <c r="D72" s="11" t="s">
        <v>24</v>
      </c>
      <c r="E72" s="11" t="s">
        <v>25</v>
      </c>
      <c r="F72" s="11" t="s">
        <v>466</v>
      </c>
      <c r="G72" s="11" t="s">
        <v>467</v>
      </c>
      <c r="H72" s="11" t="s">
        <v>21</v>
      </c>
      <c r="I72" s="11" t="s">
        <v>189</v>
      </c>
      <c r="J72" s="11" t="s">
        <v>190</v>
      </c>
      <c r="K72" s="11">
        <v>1</v>
      </c>
      <c r="L72" s="11" t="s">
        <v>468</v>
      </c>
      <c r="M72" s="11" t="s">
        <v>191</v>
      </c>
      <c r="Q72" s="11" t="s">
        <v>105</v>
      </c>
      <c r="R72" s="11" t="s">
        <v>106</v>
      </c>
      <c r="S72" s="11" t="s">
        <v>1584</v>
      </c>
      <c r="T72" s="11" t="s">
        <v>107</v>
      </c>
      <c r="U72" s="11" t="s">
        <v>108</v>
      </c>
      <c r="V72" s="11" t="s">
        <v>21</v>
      </c>
      <c r="W72" s="11" t="s">
        <v>461</v>
      </c>
      <c r="X72" s="11" t="s">
        <v>24</v>
      </c>
      <c r="Y72" s="11" t="s">
        <v>24</v>
      </c>
      <c r="Z72" s="11" t="s">
        <v>462</v>
      </c>
      <c r="AC72" s="11" t="s">
        <v>111</v>
      </c>
      <c r="AD72" s="11" t="s">
        <v>184</v>
      </c>
      <c r="AE72" s="11" t="s">
        <v>469</v>
      </c>
      <c r="AL72" s="11">
        <v>1</v>
      </c>
      <c r="AP72" s="11" t="s">
        <v>21</v>
      </c>
      <c r="AQ72" s="11" t="s">
        <v>192</v>
      </c>
      <c r="AS72" s="11" t="s">
        <v>468</v>
      </c>
      <c r="AT72" s="11">
        <v>3</v>
      </c>
    </row>
    <row r="73" spans="2:63" x14ac:dyDescent="0.45">
      <c r="B73" s="11" t="s">
        <v>21</v>
      </c>
      <c r="C73" s="11" t="s">
        <v>23</v>
      </c>
      <c r="D73" s="11" t="s">
        <v>24</v>
      </c>
      <c r="E73" s="11" t="s">
        <v>25</v>
      </c>
      <c r="F73" s="11" t="s">
        <v>470</v>
      </c>
      <c r="G73" s="11" t="s">
        <v>471</v>
      </c>
      <c r="H73" s="11" t="s">
        <v>21</v>
      </c>
      <c r="I73" s="11" t="s">
        <v>200</v>
      </c>
      <c r="J73" s="11" t="s">
        <v>201</v>
      </c>
      <c r="K73" s="11">
        <v>1</v>
      </c>
      <c r="L73" s="11" t="s">
        <v>472</v>
      </c>
      <c r="M73" s="11" t="s">
        <v>203</v>
      </c>
      <c r="Q73" s="11" t="s">
        <v>105</v>
      </c>
      <c r="R73" s="11" t="s">
        <v>106</v>
      </c>
      <c r="S73" s="11" t="s">
        <v>1584</v>
      </c>
      <c r="T73" s="11" t="s">
        <v>107</v>
      </c>
      <c r="U73" s="11" t="s">
        <v>108</v>
      </c>
      <c r="V73" s="11" t="s">
        <v>21</v>
      </c>
      <c r="W73" s="11" t="s">
        <v>461</v>
      </c>
      <c r="X73" s="11" t="s">
        <v>24</v>
      </c>
      <c r="Y73" s="11" t="s">
        <v>24</v>
      </c>
      <c r="Z73" s="11" t="s">
        <v>462</v>
      </c>
      <c r="AC73" s="11" t="s">
        <v>111</v>
      </c>
      <c r="AD73" s="11" t="s">
        <v>184</v>
      </c>
      <c r="AE73" s="11" t="s">
        <v>469</v>
      </c>
      <c r="AF73" s="11">
        <v>2</v>
      </c>
      <c r="AL73" s="11">
        <v>1</v>
      </c>
      <c r="AP73" s="11" t="s">
        <v>21</v>
      </c>
      <c r="AQ73" s="11" t="s">
        <v>192</v>
      </c>
      <c r="AS73" s="11" t="s">
        <v>468</v>
      </c>
      <c r="AT73" s="11">
        <v>3</v>
      </c>
      <c r="BH73" s="11" t="s">
        <v>106</v>
      </c>
      <c r="BI73" s="11" t="s">
        <v>105</v>
      </c>
      <c r="BJ73" s="11" t="s">
        <v>106</v>
      </c>
      <c r="BK73" s="11" t="s">
        <v>106</v>
      </c>
    </row>
    <row r="74" spans="2:63" x14ac:dyDescent="0.45">
      <c r="B74" s="11" t="s">
        <v>21</v>
      </c>
      <c r="C74" s="11" t="s">
        <v>23</v>
      </c>
      <c r="D74" s="11" t="s">
        <v>24</v>
      </c>
      <c r="E74" s="11" t="s">
        <v>25</v>
      </c>
      <c r="F74" s="11" t="s">
        <v>473</v>
      </c>
      <c r="G74" s="11" t="s">
        <v>474</v>
      </c>
      <c r="H74" s="11" t="s">
        <v>21</v>
      </c>
      <c r="I74" s="11" t="s">
        <v>206</v>
      </c>
      <c r="J74" s="11" t="s">
        <v>207</v>
      </c>
      <c r="K74" s="11">
        <v>1</v>
      </c>
      <c r="L74" s="11" t="s">
        <v>475</v>
      </c>
      <c r="M74" s="11" t="s">
        <v>209</v>
      </c>
      <c r="Q74" s="11" t="s">
        <v>105</v>
      </c>
      <c r="R74" s="11" t="s">
        <v>106</v>
      </c>
      <c r="S74" s="11" t="s">
        <v>1584</v>
      </c>
      <c r="T74" s="11" t="s">
        <v>107</v>
      </c>
      <c r="U74" s="11" t="s">
        <v>108</v>
      </c>
      <c r="V74" s="11" t="s">
        <v>21</v>
      </c>
      <c r="W74" s="11" t="s">
        <v>461</v>
      </c>
      <c r="X74" s="11" t="s">
        <v>24</v>
      </c>
      <c r="Y74" s="11" t="s">
        <v>24</v>
      </c>
      <c r="Z74" s="11" t="s">
        <v>462</v>
      </c>
      <c r="AC74" s="11" t="s">
        <v>111</v>
      </c>
      <c r="AD74" s="11" t="s">
        <v>184</v>
      </c>
      <c r="AE74" s="11" t="s">
        <v>469</v>
      </c>
      <c r="AL74" s="11">
        <v>1</v>
      </c>
      <c r="AP74" s="11" t="s">
        <v>21</v>
      </c>
      <c r="AQ74" s="11" t="s">
        <v>192</v>
      </c>
      <c r="AS74" s="11" t="s">
        <v>468</v>
      </c>
      <c r="AT74" s="11">
        <v>3</v>
      </c>
    </row>
    <row r="75" spans="2:63" x14ac:dyDescent="0.45">
      <c r="B75" s="11" t="s">
        <v>21</v>
      </c>
      <c r="C75" s="11" t="s">
        <v>23</v>
      </c>
      <c r="D75" s="11" t="s">
        <v>24</v>
      </c>
      <c r="E75" s="11" t="s">
        <v>25</v>
      </c>
      <c r="F75" s="11" t="s">
        <v>476</v>
      </c>
      <c r="G75" s="11" t="s">
        <v>477</v>
      </c>
      <c r="H75" s="11" t="s">
        <v>21</v>
      </c>
      <c r="I75" s="11" t="s">
        <v>212</v>
      </c>
      <c r="J75" s="11" t="s">
        <v>213</v>
      </c>
      <c r="K75" s="11">
        <v>1</v>
      </c>
      <c r="L75" s="11" t="s">
        <v>478</v>
      </c>
      <c r="M75" s="11" t="s">
        <v>215</v>
      </c>
      <c r="Q75" s="11" t="s">
        <v>105</v>
      </c>
      <c r="R75" s="11" t="s">
        <v>106</v>
      </c>
      <c r="S75" s="11" t="s">
        <v>1584</v>
      </c>
      <c r="T75" s="11" t="s">
        <v>107</v>
      </c>
      <c r="U75" s="11" t="s">
        <v>108</v>
      </c>
      <c r="V75" s="11" t="s">
        <v>21</v>
      </c>
      <c r="W75" s="11" t="s">
        <v>461</v>
      </c>
      <c r="X75" s="11" t="s">
        <v>24</v>
      </c>
      <c r="Y75" s="11" t="s">
        <v>24</v>
      </c>
      <c r="Z75" s="11" t="s">
        <v>462</v>
      </c>
      <c r="AC75" s="11" t="s">
        <v>111</v>
      </c>
      <c r="AD75" s="11" t="s">
        <v>184</v>
      </c>
      <c r="AE75" s="11" t="s">
        <v>469</v>
      </c>
      <c r="AL75" s="11">
        <v>1</v>
      </c>
      <c r="AP75" s="11" t="s">
        <v>21</v>
      </c>
      <c r="AQ75" s="11" t="s">
        <v>192</v>
      </c>
      <c r="AS75" s="11" t="s">
        <v>468</v>
      </c>
      <c r="AT75" s="11">
        <v>3</v>
      </c>
    </row>
    <row r="76" spans="2:63" x14ac:dyDescent="0.45">
      <c r="B76" s="11" t="s">
        <v>21</v>
      </c>
      <c r="C76" s="11" t="s">
        <v>23</v>
      </c>
      <c r="D76" s="11" t="s">
        <v>24</v>
      </c>
      <c r="E76" s="11" t="s">
        <v>25</v>
      </c>
      <c r="F76" s="11" t="s">
        <v>479</v>
      </c>
      <c r="G76" s="11" t="s">
        <v>480</v>
      </c>
      <c r="H76" s="11" t="s">
        <v>21</v>
      </c>
      <c r="I76" s="11" t="s">
        <v>218</v>
      </c>
      <c r="J76" s="11" t="s">
        <v>219</v>
      </c>
      <c r="K76" s="11">
        <v>1</v>
      </c>
      <c r="L76" s="11" t="s">
        <v>481</v>
      </c>
      <c r="M76" s="11" t="s">
        <v>221</v>
      </c>
      <c r="Q76" s="11" t="s">
        <v>105</v>
      </c>
      <c r="R76" s="11" t="s">
        <v>106</v>
      </c>
      <c r="S76" s="11" t="s">
        <v>1584</v>
      </c>
      <c r="T76" s="11" t="s">
        <v>107</v>
      </c>
      <c r="U76" s="11" t="s">
        <v>108</v>
      </c>
      <c r="V76" s="11" t="s">
        <v>21</v>
      </c>
      <c r="W76" s="11" t="s">
        <v>461</v>
      </c>
      <c r="X76" s="11" t="s">
        <v>24</v>
      </c>
      <c r="Y76" s="11" t="s">
        <v>24</v>
      </c>
      <c r="Z76" s="11" t="s">
        <v>462</v>
      </c>
      <c r="AC76" s="11" t="s">
        <v>111</v>
      </c>
      <c r="AD76" s="11" t="s">
        <v>184</v>
      </c>
      <c r="AE76" s="11" t="s">
        <v>469</v>
      </c>
      <c r="AL76" s="11">
        <v>1</v>
      </c>
      <c r="AP76" s="11" t="s">
        <v>21</v>
      </c>
      <c r="AQ76" s="11" t="s">
        <v>192</v>
      </c>
      <c r="AS76" s="11" t="s">
        <v>468</v>
      </c>
      <c r="AT76" s="11">
        <v>3</v>
      </c>
      <c r="BD76" s="11" t="s">
        <v>472</v>
      </c>
    </row>
    <row r="77" spans="2:63" x14ac:dyDescent="0.45">
      <c r="B77" s="11" t="s">
        <v>21</v>
      </c>
      <c r="C77" s="11" t="s">
        <v>23</v>
      </c>
      <c r="D77" s="11" t="s">
        <v>24</v>
      </c>
      <c r="E77" s="11" t="s">
        <v>25</v>
      </c>
      <c r="F77" s="11" t="s">
        <v>482</v>
      </c>
      <c r="G77" s="11" t="s">
        <v>483</v>
      </c>
      <c r="H77" s="11" t="s">
        <v>21</v>
      </c>
      <c r="I77" s="11" t="s">
        <v>230</v>
      </c>
      <c r="J77" s="11" t="s">
        <v>231</v>
      </c>
      <c r="K77" s="11">
        <v>1</v>
      </c>
      <c r="L77" s="11" t="s">
        <v>484</v>
      </c>
      <c r="M77" s="11" t="s">
        <v>233</v>
      </c>
      <c r="Q77" s="11" t="s">
        <v>105</v>
      </c>
      <c r="R77" s="11" t="s">
        <v>106</v>
      </c>
      <c r="S77" s="11" t="s">
        <v>1584</v>
      </c>
      <c r="T77" s="11" t="s">
        <v>107</v>
      </c>
      <c r="U77" s="11" t="s">
        <v>108</v>
      </c>
      <c r="V77" s="11" t="s">
        <v>21</v>
      </c>
      <c r="W77" s="11" t="s">
        <v>461</v>
      </c>
      <c r="X77" s="11" t="s">
        <v>24</v>
      </c>
      <c r="Y77" s="11" t="s">
        <v>24</v>
      </c>
      <c r="Z77" s="11" t="s">
        <v>462</v>
      </c>
      <c r="AC77" s="11" t="s">
        <v>111</v>
      </c>
      <c r="AD77" s="11" t="s">
        <v>184</v>
      </c>
      <c r="AE77" s="11" t="s">
        <v>352</v>
      </c>
      <c r="AL77" s="11">
        <v>1</v>
      </c>
      <c r="AP77" s="11" t="s">
        <v>21</v>
      </c>
      <c r="AQ77" s="11" t="s">
        <v>234</v>
      </c>
      <c r="AS77" s="11" t="s">
        <v>468</v>
      </c>
      <c r="AT77" s="11">
        <v>3</v>
      </c>
    </row>
    <row r="78" spans="2:63" x14ac:dyDescent="0.45">
      <c r="B78" s="11" t="s">
        <v>21</v>
      </c>
      <c r="C78" s="11" t="s">
        <v>23</v>
      </c>
      <c r="D78" s="11" t="s">
        <v>24</v>
      </c>
      <c r="E78" s="11" t="s">
        <v>25</v>
      </c>
      <c r="F78" s="11" t="s">
        <v>485</v>
      </c>
      <c r="G78" s="11" t="s">
        <v>486</v>
      </c>
      <c r="H78" s="11" t="s">
        <v>21</v>
      </c>
      <c r="I78" s="11" t="s">
        <v>348</v>
      </c>
      <c r="J78" s="11" t="s">
        <v>349</v>
      </c>
      <c r="K78" s="11">
        <v>1</v>
      </c>
      <c r="L78" s="11" t="s">
        <v>487</v>
      </c>
      <c r="M78" s="11" t="s">
        <v>351</v>
      </c>
      <c r="Q78" s="11" t="s">
        <v>105</v>
      </c>
      <c r="R78" s="11" t="s">
        <v>106</v>
      </c>
      <c r="S78" s="11" t="s">
        <v>1584</v>
      </c>
      <c r="T78" s="11" t="s">
        <v>107</v>
      </c>
      <c r="U78" s="11" t="s">
        <v>108</v>
      </c>
      <c r="V78" s="11" t="s">
        <v>21</v>
      </c>
      <c r="W78" s="11" t="s">
        <v>461</v>
      </c>
      <c r="X78" s="11" t="s">
        <v>24</v>
      </c>
      <c r="Y78" s="11" t="s">
        <v>24</v>
      </c>
      <c r="Z78" s="11" t="s">
        <v>462</v>
      </c>
      <c r="AC78" s="11" t="s">
        <v>111</v>
      </c>
      <c r="AD78" s="11" t="s">
        <v>184</v>
      </c>
      <c r="AE78" s="11" t="s">
        <v>352</v>
      </c>
      <c r="AL78" s="11">
        <v>1</v>
      </c>
      <c r="AT78" s="11">
        <v>0</v>
      </c>
    </row>
    <row r="79" spans="2:63" x14ac:dyDescent="0.45">
      <c r="B79" s="11" t="s">
        <v>21</v>
      </c>
      <c r="C79" s="11" t="s">
        <v>23</v>
      </c>
      <c r="D79" s="11" t="s">
        <v>24</v>
      </c>
      <c r="E79" s="11" t="s">
        <v>25</v>
      </c>
      <c r="F79" s="11" t="s">
        <v>488</v>
      </c>
      <c r="G79" s="11" t="s">
        <v>489</v>
      </c>
      <c r="H79" s="11" t="s">
        <v>21</v>
      </c>
      <c r="I79" s="11" t="s">
        <v>230</v>
      </c>
      <c r="J79" s="11" t="s">
        <v>231</v>
      </c>
      <c r="K79" s="11">
        <v>2</v>
      </c>
      <c r="L79" s="11" t="s">
        <v>490</v>
      </c>
      <c r="M79" s="11" t="s">
        <v>233</v>
      </c>
      <c r="Q79" s="11" t="s">
        <v>105</v>
      </c>
      <c r="R79" s="11" t="s">
        <v>106</v>
      </c>
      <c r="S79" s="11" t="s">
        <v>1584</v>
      </c>
      <c r="T79" s="11" t="s">
        <v>107</v>
      </c>
      <c r="U79" s="11" t="s">
        <v>108</v>
      </c>
      <c r="V79" s="11" t="s">
        <v>21</v>
      </c>
      <c r="W79" s="11" t="s">
        <v>461</v>
      </c>
      <c r="X79" s="11" t="s">
        <v>24</v>
      </c>
      <c r="Y79" s="11" t="s">
        <v>24</v>
      </c>
      <c r="Z79" s="11" t="s">
        <v>462</v>
      </c>
      <c r="AC79" s="11" t="s">
        <v>111</v>
      </c>
      <c r="AD79" s="11" t="s">
        <v>184</v>
      </c>
      <c r="AE79" s="11" t="s">
        <v>352</v>
      </c>
      <c r="AL79" s="11">
        <v>1</v>
      </c>
      <c r="AP79" s="11" t="s">
        <v>21</v>
      </c>
      <c r="AQ79" s="11" t="s">
        <v>491</v>
      </c>
      <c r="AS79" s="11" t="s">
        <v>460</v>
      </c>
      <c r="AT79" s="11">
        <v>2</v>
      </c>
    </row>
    <row r="80" spans="2:63" x14ac:dyDescent="0.45">
      <c r="B80" s="11" t="s">
        <v>21</v>
      </c>
      <c r="C80" s="11" t="s">
        <v>23</v>
      </c>
      <c r="D80" s="11" t="s">
        <v>24</v>
      </c>
      <c r="E80" s="11" t="s">
        <v>25</v>
      </c>
      <c r="F80" s="11" t="s">
        <v>492</v>
      </c>
      <c r="G80" s="11" t="s">
        <v>493</v>
      </c>
      <c r="H80" s="11" t="s">
        <v>21</v>
      </c>
      <c r="I80" s="11" t="s">
        <v>237</v>
      </c>
      <c r="J80" s="11" t="s">
        <v>238</v>
      </c>
      <c r="K80" s="11">
        <v>1</v>
      </c>
      <c r="L80" s="11" t="s">
        <v>494</v>
      </c>
      <c r="M80" s="11" t="s">
        <v>240</v>
      </c>
      <c r="Q80" s="11" t="s">
        <v>105</v>
      </c>
      <c r="R80" s="11" t="s">
        <v>106</v>
      </c>
      <c r="S80" s="11" t="s">
        <v>1584</v>
      </c>
      <c r="T80" s="11" t="s">
        <v>107</v>
      </c>
      <c r="U80" s="11" t="s">
        <v>108</v>
      </c>
      <c r="V80" s="11" t="s">
        <v>21</v>
      </c>
      <c r="W80" s="11" t="s">
        <v>461</v>
      </c>
      <c r="X80" s="11" t="s">
        <v>24</v>
      </c>
      <c r="Y80" s="11" t="s">
        <v>24</v>
      </c>
      <c r="Z80" s="11" t="s">
        <v>462</v>
      </c>
      <c r="AC80" s="11" t="s">
        <v>111</v>
      </c>
      <c r="AD80" s="11" t="s">
        <v>184</v>
      </c>
      <c r="AE80" s="11" t="s">
        <v>352</v>
      </c>
      <c r="AL80" s="11">
        <v>1</v>
      </c>
    </row>
    <row r="81" spans="2:55" x14ac:dyDescent="0.45">
      <c r="B81" s="11" t="s">
        <v>21</v>
      </c>
      <c r="C81" s="11" t="s">
        <v>23</v>
      </c>
      <c r="D81" s="11" t="s">
        <v>24</v>
      </c>
      <c r="E81" s="11" t="s">
        <v>25</v>
      </c>
      <c r="F81" s="11" t="s">
        <v>495</v>
      </c>
      <c r="G81" s="11" t="s">
        <v>496</v>
      </c>
      <c r="H81" s="11" t="s">
        <v>21</v>
      </c>
      <c r="I81" s="11" t="s">
        <v>178</v>
      </c>
      <c r="J81" s="11" t="s">
        <v>179</v>
      </c>
      <c r="K81" s="11">
        <v>1</v>
      </c>
      <c r="L81" s="11" t="s">
        <v>497</v>
      </c>
      <c r="M81" s="11" t="s">
        <v>181</v>
      </c>
      <c r="Q81" s="11" t="s">
        <v>105</v>
      </c>
      <c r="R81" s="11" t="s">
        <v>106</v>
      </c>
      <c r="S81" s="11" t="s">
        <v>1584</v>
      </c>
      <c r="T81" s="11" t="s">
        <v>107</v>
      </c>
      <c r="U81" s="11" t="s">
        <v>108</v>
      </c>
      <c r="V81" s="11" t="s">
        <v>21</v>
      </c>
      <c r="W81" s="11" t="s">
        <v>461</v>
      </c>
      <c r="X81" s="11" t="s">
        <v>24</v>
      </c>
      <c r="Y81" s="11" t="s">
        <v>24</v>
      </c>
      <c r="Z81" s="11" t="s">
        <v>462</v>
      </c>
      <c r="AC81" s="11" t="s">
        <v>111</v>
      </c>
      <c r="AD81" s="11" t="s">
        <v>184</v>
      </c>
      <c r="AE81" s="11" t="s">
        <v>352</v>
      </c>
      <c r="AL81" s="11">
        <v>1</v>
      </c>
    </row>
    <row r="82" spans="2:55" x14ac:dyDescent="0.45">
      <c r="B82" s="11" t="s">
        <v>21</v>
      </c>
      <c r="C82" s="11" t="s">
        <v>23</v>
      </c>
      <c r="D82" s="11" t="s">
        <v>24</v>
      </c>
      <c r="E82" s="11" t="s">
        <v>25</v>
      </c>
      <c r="F82" s="11" t="s">
        <v>498</v>
      </c>
      <c r="G82" s="11" t="s">
        <v>499</v>
      </c>
      <c r="H82" s="11" t="s">
        <v>21</v>
      </c>
      <c r="I82" s="11" t="s">
        <v>500</v>
      </c>
      <c r="J82" s="11" t="s">
        <v>501</v>
      </c>
      <c r="K82" s="11">
        <v>1</v>
      </c>
      <c r="L82" s="11" t="s">
        <v>502</v>
      </c>
      <c r="M82" s="11" t="s">
        <v>503</v>
      </c>
      <c r="Q82" s="11" t="s">
        <v>105</v>
      </c>
      <c r="R82" s="11" t="s">
        <v>106</v>
      </c>
      <c r="S82" s="11" t="s">
        <v>1584</v>
      </c>
      <c r="T82" s="11" t="s">
        <v>107</v>
      </c>
      <c r="U82" s="11" t="s">
        <v>108</v>
      </c>
      <c r="V82" s="11" t="s">
        <v>21</v>
      </c>
      <c r="W82" s="11" t="s">
        <v>461</v>
      </c>
      <c r="X82" s="11" t="s">
        <v>24</v>
      </c>
      <c r="Y82" s="11" t="s">
        <v>24</v>
      </c>
      <c r="Z82" s="11" t="s">
        <v>462</v>
      </c>
      <c r="AC82" s="11" t="s">
        <v>111</v>
      </c>
      <c r="AD82" s="11" t="s">
        <v>184</v>
      </c>
      <c r="AE82" s="11" t="s">
        <v>352</v>
      </c>
      <c r="AL82" s="11">
        <v>1</v>
      </c>
    </row>
    <row r="83" spans="2:55" x14ac:dyDescent="0.45">
      <c r="B83" s="11" t="s">
        <v>21</v>
      </c>
      <c r="C83" s="11" t="s">
        <v>23</v>
      </c>
      <c r="D83" s="11" t="s">
        <v>24</v>
      </c>
      <c r="E83" s="11" t="s">
        <v>25</v>
      </c>
      <c r="F83" s="11" t="s">
        <v>504</v>
      </c>
      <c r="G83" s="11" t="s">
        <v>505</v>
      </c>
      <c r="H83" s="11" t="s">
        <v>21</v>
      </c>
      <c r="I83" s="11" t="s">
        <v>243</v>
      </c>
      <c r="J83" s="11" t="s">
        <v>244</v>
      </c>
      <c r="K83" s="11">
        <v>1</v>
      </c>
      <c r="L83" s="11" t="s">
        <v>506</v>
      </c>
      <c r="M83" s="11" t="s">
        <v>246</v>
      </c>
      <c r="Q83" s="11" t="s">
        <v>105</v>
      </c>
      <c r="R83" s="11" t="s">
        <v>106</v>
      </c>
      <c r="S83" s="11" t="s">
        <v>1584</v>
      </c>
      <c r="T83" s="11" t="s">
        <v>107</v>
      </c>
      <c r="U83" s="11" t="s">
        <v>108</v>
      </c>
      <c r="V83" s="11" t="s">
        <v>21</v>
      </c>
      <c r="W83" s="11" t="s">
        <v>461</v>
      </c>
      <c r="X83" s="11" t="s">
        <v>24</v>
      </c>
      <c r="Y83" s="11" t="s">
        <v>24</v>
      </c>
      <c r="Z83" s="11" t="s">
        <v>462</v>
      </c>
      <c r="AC83" s="11" t="s">
        <v>111</v>
      </c>
      <c r="AD83" s="11" t="s">
        <v>184</v>
      </c>
      <c r="AE83" s="11" t="s">
        <v>356</v>
      </c>
      <c r="AL83" s="11">
        <v>1</v>
      </c>
    </row>
    <row r="84" spans="2:55" x14ac:dyDescent="0.45">
      <c r="B84" s="11" t="s">
        <v>21</v>
      </c>
      <c r="C84" s="11" t="s">
        <v>23</v>
      </c>
      <c r="D84" s="11" t="s">
        <v>24</v>
      </c>
      <c r="E84" s="11" t="s">
        <v>25</v>
      </c>
      <c r="F84" s="11" t="s">
        <v>507</v>
      </c>
      <c r="G84" s="11" t="s">
        <v>508</v>
      </c>
      <c r="H84" s="11" t="s">
        <v>21</v>
      </c>
      <c r="I84" s="11" t="s">
        <v>249</v>
      </c>
      <c r="J84" s="11" t="s">
        <v>225</v>
      </c>
      <c r="K84" s="11">
        <v>1</v>
      </c>
      <c r="L84" s="11" t="s">
        <v>509</v>
      </c>
      <c r="M84" s="11" t="s">
        <v>251</v>
      </c>
      <c r="Q84" s="11" t="s">
        <v>105</v>
      </c>
      <c r="R84" s="11" t="s">
        <v>106</v>
      </c>
      <c r="S84" s="11" t="s">
        <v>1584</v>
      </c>
      <c r="T84" s="11" t="s">
        <v>107</v>
      </c>
      <c r="U84" s="11" t="s">
        <v>108</v>
      </c>
      <c r="V84" s="11" t="s">
        <v>21</v>
      </c>
      <c r="W84" s="11" t="s">
        <v>461</v>
      </c>
      <c r="X84" s="11" t="s">
        <v>24</v>
      </c>
      <c r="Y84" s="11" t="s">
        <v>24</v>
      </c>
      <c r="Z84" s="11" t="s">
        <v>462</v>
      </c>
      <c r="AC84" s="11" t="s">
        <v>111</v>
      </c>
      <c r="AD84" s="11" t="s">
        <v>184</v>
      </c>
      <c r="AE84" s="11" t="s">
        <v>356</v>
      </c>
      <c r="AL84" s="11">
        <v>1</v>
      </c>
    </row>
    <row r="85" spans="2:55" x14ac:dyDescent="0.45">
      <c r="B85" s="11" t="s">
        <v>21</v>
      </c>
      <c r="C85" s="11" t="s">
        <v>23</v>
      </c>
      <c r="D85" s="11" t="s">
        <v>24</v>
      </c>
      <c r="E85" s="11" t="s">
        <v>25</v>
      </c>
      <c r="F85" s="11" t="s">
        <v>510</v>
      </c>
      <c r="G85" s="11" t="s">
        <v>511</v>
      </c>
      <c r="H85" s="11" t="s">
        <v>21</v>
      </c>
      <c r="I85" s="11" t="s">
        <v>254</v>
      </c>
      <c r="J85" s="11" t="s">
        <v>255</v>
      </c>
      <c r="K85" s="11">
        <v>1</v>
      </c>
      <c r="L85" s="11" t="s">
        <v>512</v>
      </c>
      <c r="M85" s="11" t="s">
        <v>257</v>
      </c>
      <c r="Q85" s="11" t="s">
        <v>105</v>
      </c>
      <c r="R85" s="11" t="s">
        <v>106</v>
      </c>
      <c r="S85" s="11" t="s">
        <v>1584</v>
      </c>
      <c r="T85" s="11" t="s">
        <v>107</v>
      </c>
      <c r="U85" s="11" t="s">
        <v>108</v>
      </c>
      <c r="V85" s="11" t="s">
        <v>21</v>
      </c>
      <c r="W85" s="11" t="s">
        <v>461</v>
      </c>
      <c r="X85" s="11" t="s">
        <v>24</v>
      </c>
      <c r="Y85" s="11" t="s">
        <v>24</v>
      </c>
      <c r="Z85" s="11" t="s">
        <v>462</v>
      </c>
      <c r="AC85" s="11" t="s">
        <v>111</v>
      </c>
      <c r="AD85" s="11" t="s">
        <v>184</v>
      </c>
      <c r="AE85" s="11" t="s">
        <v>356</v>
      </c>
      <c r="AL85" s="11">
        <v>1</v>
      </c>
    </row>
    <row r="86" spans="2:55" x14ac:dyDescent="0.45">
      <c r="B86" s="11" t="s">
        <v>21</v>
      </c>
      <c r="C86" s="11" t="s">
        <v>23</v>
      </c>
      <c r="D86" s="11" t="s">
        <v>24</v>
      </c>
      <c r="E86" s="11" t="s">
        <v>25</v>
      </c>
      <c r="F86" s="11" t="s">
        <v>513</v>
      </c>
      <c r="G86" s="11" t="s">
        <v>514</v>
      </c>
      <c r="H86" s="11" t="s">
        <v>21</v>
      </c>
      <c r="I86" s="11" t="s">
        <v>243</v>
      </c>
      <c r="J86" s="11" t="s">
        <v>244</v>
      </c>
      <c r="K86" s="11">
        <v>2</v>
      </c>
      <c r="L86" s="11" t="s">
        <v>515</v>
      </c>
      <c r="M86" s="11" t="s">
        <v>246</v>
      </c>
      <c r="Q86" s="11" t="s">
        <v>105</v>
      </c>
      <c r="R86" s="11" t="s">
        <v>106</v>
      </c>
      <c r="S86" s="11" t="s">
        <v>1584</v>
      </c>
      <c r="T86" s="11" t="s">
        <v>107</v>
      </c>
      <c r="U86" s="11" t="s">
        <v>108</v>
      </c>
      <c r="V86" s="11" t="s">
        <v>21</v>
      </c>
      <c r="W86" s="11" t="s">
        <v>461</v>
      </c>
      <c r="X86" s="11" t="s">
        <v>24</v>
      </c>
      <c r="Y86" s="11" t="s">
        <v>24</v>
      </c>
      <c r="Z86" s="11" t="s">
        <v>462</v>
      </c>
      <c r="AC86" s="11" t="s">
        <v>111</v>
      </c>
      <c r="AD86" s="11" t="s">
        <v>184</v>
      </c>
      <c r="AE86" s="11" t="s">
        <v>356</v>
      </c>
      <c r="AL86" s="11">
        <v>1</v>
      </c>
    </row>
    <row r="87" spans="2:55" x14ac:dyDescent="0.45">
      <c r="B87" s="11" t="s">
        <v>21</v>
      </c>
      <c r="C87" s="11" t="s">
        <v>23</v>
      </c>
      <c r="D87" s="11" t="s">
        <v>24</v>
      </c>
      <c r="E87" s="11" t="s">
        <v>25</v>
      </c>
      <c r="F87" s="11" t="s">
        <v>516</v>
      </c>
      <c r="G87" s="11" t="s">
        <v>517</v>
      </c>
      <c r="H87" s="11" t="s">
        <v>21</v>
      </c>
      <c r="I87" s="11" t="s">
        <v>390</v>
      </c>
      <c r="J87" s="11" t="s">
        <v>391</v>
      </c>
      <c r="K87" s="11">
        <v>1</v>
      </c>
      <c r="L87" s="11" t="s">
        <v>518</v>
      </c>
      <c r="M87" s="11" t="s">
        <v>393</v>
      </c>
      <c r="Q87" s="11" t="s">
        <v>105</v>
      </c>
      <c r="R87" s="11" t="s">
        <v>106</v>
      </c>
      <c r="S87" s="11" t="s">
        <v>1584</v>
      </c>
      <c r="T87" s="11" t="s">
        <v>107</v>
      </c>
      <c r="U87" s="11" t="s">
        <v>108</v>
      </c>
      <c r="V87" s="11" t="s">
        <v>21</v>
      </c>
      <c r="W87" s="11" t="s">
        <v>461</v>
      </c>
      <c r="X87" s="11" t="s">
        <v>24</v>
      </c>
      <c r="Y87" s="11" t="s">
        <v>24</v>
      </c>
      <c r="Z87" s="11" t="s">
        <v>462</v>
      </c>
      <c r="AC87" s="11" t="s">
        <v>111</v>
      </c>
      <c r="AD87" s="11" t="s">
        <v>184</v>
      </c>
      <c r="AE87" s="11" t="s">
        <v>356</v>
      </c>
      <c r="AL87" s="11">
        <v>1</v>
      </c>
    </row>
    <row r="88" spans="2:55" x14ac:dyDescent="0.45">
      <c r="B88" s="11" t="s">
        <v>21</v>
      </c>
      <c r="C88" s="11" t="s">
        <v>23</v>
      </c>
      <c r="D88" s="11" t="s">
        <v>24</v>
      </c>
      <c r="E88" s="11" t="s">
        <v>25</v>
      </c>
      <c r="F88" s="11" t="s">
        <v>519</v>
      </c>
      <c r="G88" s="11" t="s">
        <v>520</v>
      </c>
      <c r="H88" s="11" t="s">
        <v>21</v>
      </c>
      <c r="I88" s="11" t="s">
        <v>368</v>
      </c>
      <c r="J88" s="11" t="s">
        <v>369</v>
      </c>
      <c r="K88" s="11">
        <v>1</v>
      </c>
      <c r="L88" s="11" t="s">
        <v>521</v>
      </c>
      <c r="M88" s="11" t="s">
        <v>371</v>
      </c>
      <c r="Q88" s="11" t="s">
        <v>105</v>
      </c>
      <c r="R88" s="11" t="s">
        <v>106</v>
      </c>
      <c r="S88" s="11" t="s">
        <v>1584</v>
      </c>
      <c r="T88" s="11" t="s">
        <v>107</v>
      </c>
      <c r="U88" s="11" t="s">
        <v>108</v>
      </c>
      <c r="V88" s="11" t="s">
        <v>21</v>
      </c>
      <c r="W88" s="11" t="s">
        <v>461</v>
      </c>
      <c r="X88" s="11" t="s">
        <v>24</v>
      </c>
      <c r="Y88" s="11" t="s">
        <v>24</v>
      </c>
      <c r="Z88" s="11" t="s">
        <v>462</v>
      </c>
      <c r="AC88" s="11" t="s">
        <v>111</v>
      </c>
      <c r="AD88" s="11" t="s">
        <v>184</v>
      </c>
      <c r="AE88" s="11" t="s">
        <v>356</v>
      </c>
      <c r="AL88" s="11">
        <v>1</v>
      </c>
      <c r="AP88" s="11" t="s">
        <v>21</v>
      </c>
      <c r="AQ88" s="11" t="s">
        <v>273</v>
      </c>
      <c r="AS88" s="11" t="s">
        <v>521</v>
      </c>
      <c r="AT88" s="11">
        <v>2</v>
      </c>
    </row>
    <row r="89" spans="2:55" x14ac:dyDescent="0.45">
      <c r="B89" s="11" t="s">
        <v>21</v>
      </c>
      <c r="C89" s="11" t="s">
        <v>23</v>
      </c>
      <c r="D89" s="11" t="s">
        <v>24</v>
      </c>
      <c r="E89" s="11" t="s">
        <v>25</v>
      </c>
      <c r="F89" s="11" t="s">
        <v>522</v>
      </c>
      <c r="G89" s="11" t="s">
        <v>523</v>
      </c>
      <c r="H89" s="11" t="s">
        <v>21</v>
      </c>
      <c r="I89" s="11" t="s">
        <v>524</v>
      </c>
      <c r="J89" s="11" t="s">
        <v>428</v>
      </c>
      <c r="K89" s="11">
        <v>1</v>
      </c>
      <c r="L89" s="11" t="s">
        <v>525</v>
      </c>
      <c r="M89" s="11" t="s">
        <v>526</v>
      </c>
      <c r="Q89" s="11" t="s">
        <v>105</v>
      </c>
      <c r="R89" s="11" t="s">
        <v>106</v>
      </c>
      <c r="S89" s="11" t="s">
        <v>1584</v>
      </c>
      <c r="T89" s="11" t="s">
        <v>107</v>
      </c>
      <c r="U89" s="11" t="s">
        <v>108</v>
      </c>
      <c r="V89" s="11" t="s">
        <v>21</v>
      </c>
      <c r="W89" s="11" t="s">
        <v>461</v>
      </c>
      <c r="X89" s="11" t="s">
        <v>24</v>
      </c>
      <c r="Y89" s="11" t="s">
        <v>24</v>
      </c>
      <c r="Z89" s="11" t="s">
        <v>462</v>
      </c>
      <c r="AC89" s="11" t="s">
        <v>111</v>
      </c>
      <c r="AD89" s="11" t="s">
        <v>184</v>
      </c>
      <c r="AE89" s="11" t="s">
        <v>356</v>
      </c>
      <c r="AL89" s="11">
        <v>1</v>
      </c>
      <c r="BA89" s="11">
        <v>1</v>
      </c>
    </row>
    <row r="90" spans="2:55" x14ac:dyDescent="0.45">
      <c r="B90" s="11" t="s">
        <v>21</v>
      </c>
      <c r="C90" s="11" t="s">
        <v>23</v>
      </c>
      <c r="D90" s="11" t="s">
        <v>24</v>
      </c>
      <c r="E90" s="11" t="s">
        <v>25</v>
      </c>
      <c r="F90" s="11" t="s">
        <v>527</v>
      </c>
      <c r="G90" s="11" t="s">
        <v>528</v>
      </c>
      <c r="H90" s="11" t="s">
        <v>21</v>
      </c>
      <c r="I90" s="11" t="s">
        <v>529</v>
      </c>
      <c r="J90" s="11" t="s">
        <v>530</v>
      </c>
      <c r="K90" s="11">
        <v>1</v>
      </c>
      <c r="L90" s="11" t="s">
        <v>531</v>
      </c>
      <c r="M90" s="11" t="s">
        <v>532</v>
      </c>
      <c r="Q90" s="11" t="s">
        <v>105</v>
      </c>
      <c r="R90" s="11" t="s">
        <v>106</v>
      </c>
      <c r="S90" s="11" t="s">
        <v>1584</v>
      </c>
      <c r="T90" s="11" t="s">
        <v>107</v>
      </c>
      <c r="U90" s="11" t="s">
        <v>108</v>
      </c>
      <c r="V90" s="11" t="s">
        <v>21</v>
      </c>
      <c r="W90" s="11" t="s">
        <v>461</v>
      </c>
      <c r="X90" s="11" t="s">
        <v>24</v>
      </c>
      <c r="Y90" s="11" t="s">
        <v>24</v>
      </c>
      <c r="Z90" s="11" t="s">
        <v>462</v>
      </c>
      <c r="AC90" s="11" t="s">
        <v>111</v>
      </c>
      <c r="AD90" s="11" t="s">
        <v>184</v>
      </c>
      <c r="AE90" s="11" t="s">
        <v>356</v>
      </c>
      <c r="AL90" s="11">
        <v>1</v>
      </c>
    </row>
    <row r="91" spans="2:55" x14ac:dyDescent="0.45">
      <c r="B91" s="11" t="s">
        <v>21</v>
      </c>
      <c r="C91" s="11" t="s">
        <v>23</v>
      </c>
      <c r="D91" s="11" t="s">
        <v>24</v>
      </c>
      <c r="E91" s="11" t="s">
        <v>25</v>
      </c>
      <c r="F91" s="11" t="s">
        <v>533</v>
      </c>
      <c r="G91" s="11" t="s">
        <v>534</v>
      </c>
      <c r="H91" s="11" t="s">
        <v>21</v>
      </c>
      <c r="I91" s="11" t="s">
        <v>524</v>
      </c>
      <c r="J91" s="11" t="s">
        <v>428</v>
      </c>
      <c r="K91" s="11">
        <v>2</v>
      </c>
      <c r="L91" s="11" t="s">
        <v>535</v>
      </c>
      <c r="M91" s="11" t="s">
        <v>526</v>
      </c>
      <c r="Q91" s="11" t="s">
        <v>105</v>
      </c>
      <c r="R91" s="11" t="s">
        <v>106</v>
      </c>
      <c r="S91" s="11" t="s">
        <v>1584</v>
      </c>
      <c r="T91" s="11" t="s">
        <v>107</v>
      </c>
      <c r="U91" s="11" t="s">
        <v>108</v>
      </c>
      <c r="V91" s="11" t="s">
        <v>21</v>
      </c>
      <c r="W91" s="11" t="s">
        <v>461</v>
      </c>
      <c r="X91" s="11" t="s">
        <v>24</v>
      </c>
      <c r="Y91" s="11" t="s">
        <v>24</v>
      </c>
      <c r="Z91" s="11" t="s">
        <v>462</v>
      </c>
      <c r="AC91" s="11" t="s">
        <v>111</v>
      </c>
      <c r="AD91" s="11" t="s">
        <v>184</v>
      </c>
      <c r="AE91" s="11" t="s">
        <v>356</v>
      </c>
      <c r="AL91" s="11">
        <v>1</v>
      </c>
      <c r="BA91" s="11">
        <v>1</v>
      </c>
    </row>
    <row r="92" spans="2:55" x14ac:dyDescent="0.45">
      <c r="B92" s="11" t="s">
        <v>21</v>
      </c>
      <c r="C92" s="11" t="s">
        <v>23</v>
      </c>
      <c r="D92" s="11" t="s">
        <v>24</v>
      </c>
      <c r="E92" s="11" t="s">
        <v>25</v>
      </c>
      <c r="F92" s="11" t="s">
        <v>536</v>
      </c>
      <c r="G92" s="11" t="s">
        <v>537</v>
      </c>
      <c r="H92" s="11" t="s">
        <v>21</v>
      </c>
      <c r="I92" s="11" t="s">
        <v>410</v>
      </c>
      <c r="J92" s="11" t="s">
        <v>324</v>
      </c>
      <c r="K92" s="11">
        <v>1</v>
      </c>
      <c r="L92" s="11" t="s">
        <v>538</v>
      </c>
      <c r="M92" s="11" t="s">
        <v>412</v>
      </c>
      <c r="Q92" s="11" t="s">
        <v>105</v>
      </c>
      <c r="R92" s="11" t="s">
        <v>106</v>
      </c>
      <c r="S92" s="11" t="s">
        <v>1584</v>
      </c>
      <c r="T92" s="11" t="s">
        <v>107</v>
      </c>
      <c r="U92" s="11" t="s">
        <v>108</v>
      </c>
      <c r="V92" s="11" t="s">
        <v>21</v>
      </c>
      <c r="W92" s="11" t="s">
        <v>461</v>
      </c>
      <c r="X92" s="11" t="s">
        <v>24</v>
      </c>
      <c r="Y92" s="11" t="s">
        <v>24</v>
      </c>
      <c r="Z92" s="11" t="s">
        <v>462</v>
      </c>
      <c r="AC92" s="11" t="s">
        <v>111</v>
      </c>
      <c r="AD92" s="11" t="s">
        <v>184</v>
      </c>
      <c r="AE92" s="11" t="s">
        <v>168</v>
      </c>
      <c r="AL92" s="11">
        <v>1</v>
      </c>
    </row>
    <row r="93" spans="2:55" x14ac:dyDescent="0.45">
      <c r="B93" s="11" t="s">
        <v>21</v>
      </c>
      <c r="C93" s="11" t="s">
        <v>23</v>
      </c>
      <c r="D93" s="11" t="s">
        <v>24</v>
      </c>
      <c r="E93" s="11" t="s">
        <v>25</v>
      </c>
      <c r="F93" s="11" t="s">
        <v>539</v>
      </c>
      <c r="G93" s="11" t="s">
        <v>540</v>
      </c>
      <c r="H93" s="11" t="s">
        <v>21</v>
      </c>
      <c r="I93" s="11" t="s">
        <v>541</v>
      </c>
      <c r="J93" s="11" t="s">
        <v>542</v>
      </c>
      <c r="K93" s="11">
        <v>1</v>
      </c>
      <c r="L93" s="11" t="s">
        <v>543</v>
      </c>
      <c r="M93" s="11" t="s">
        <v>544</v>
      </c>
      <c r="Q93" s="11" t="s">
        <v>105</v>
      </c>
      <c r="R93" s="11" t="s">
        <v>106</v>
      </c>
      <c r="S93" s="11" t="s">
        <v>1584</v>
      </c>
      <c r="T93" s="11" t="s">
        <v>107</v>
      </c>
      <c r="U93" s="11" t="s">
        <v>108</v>
      </c>
      <c r="V93" s="11" t="s">
        <v>21</v>
      </c>
      <c r="W93" s="11" t="s">
        <v>545</v>
      </c>
      <c r="X93" s="11" t="s">
        <v>24</v>
      </c>
      <c r="Y93" s="11" t="s">
        <v>24</v>
      </c>
      <c r="Z93" s="11" t="s">
        <v>546</v>
      </c>
      <c r="AC93" s="11" t="s">
        <v>111</v>
      </c>
      <c r="AD93" s="11" t="s">
        <v>547</v>
      </c>
      <c r="AE93" s="11" t="s">
        <v>113</v>
      </c>
      <c r="AL93" s="11">
        <v>1</v>
      </c>
      <c r="BA93" s="11">
        <v>1</v>
      </c>
    </row>
    <row r="94" spans="2:55" x14ac:dyDescent="0.45">
      <c r="B94" s="11" t="s">
        <v>21</v>
      </c>
      <c r="C94" s="11" t="s">
        <v>23</v>
      </c>
      <c r="D94" s="11" t="s">
        <v>24</v>
      </c>
      <c r="E94" s="11" t="s">
        <v>25</v>
      </c>
      <c r="F94" s="11" t="s">
        <v>548</v>
      </c>
      <c r="G94" s="11" t="s">
        <v>549</v>
      </c>
      <c r="H94" s="11" t="s">
        <v>21</v>
      </c>
      <c r="I94" s="11" t="s">
        <v>421</v>
      </c>
      <c r="J94" s="11" t="s">
        <v>422</v>
      </c>
      <c r="K94" s="11">
        <v>1</v>
      </c>
      <c r="L94" s="11" t="s">
        <v>550</v>
      </c>
      <c r="M94" s="11" t="s">
        <v>424</v>
      </c>
      <c r="Q94" s="11" t="s">
        <v>105</v>
      </c>
      <c r="R94" s="11" t="s">
        <v>106</v>
      </c>
      <c r="S94" s="11" t="s">
        <v>1584</v>
      </c>
      <c r="T94" s="11" t="s">
        <v>107</v>
      </c>
      <c r="U94" s="11" t="s">
        <v>108</v>
      </c>
      <c r="V94" s="11" t="s">
        <v>21</v>
      </c>
      <c r="W94" s="11" t="s">
        <v>545</v>
      </c>
      <c r="X94" s="11" t="s">
        <v>24</v>
      </c>
      <c r="Y94" s="11" t="s">
        <v>24</v>
      </c>
      <c r="Z94" s="11" t="s">
        <v>546</v>
      </c>
      <c r="AC94" s="11" t="s">
        <v>111</v>
      </c>
      <c r="AD94" s="11" t="s">
        <v>547</v>
      </c>
      <c r="AE94" s="11" t="s">
        <v>113</v>
      </c>
      <c r="AL94" s="11">
        <v>1</v>
      </c>
    </row>
    <row r="95" spans="2:55" x14ac:dyDescent="0.45">
      <c r="B95" s="11" t="s">
        <v>21</v>
      </c>
      <c r="C95" s="11" t="s">
        <v>23</v>
      </c>
      <c r="D95" s="11" t="s">
        <v>24</v>
      </c>
      <c r="E95" s="11" t="s">
        <v>25</v>
      </c>
      <c r="F95" s="11" t="s">
        <v>551</v>
      </c>
      <c r="G95" s="11" t="s">
        <v>552</v>
      </c>
      <c r="H95" s="11" t="s">
        <v>21</v>
      </c>
      <c r="I95" s="11" t="s">
        <v>427</v>
      </c>
      <c r="J95" s="11" t="s">
        <v>428</v>
      </c>
      <c r="K95" s="11">
        <v>1</v>
      </c>
      <c r="L95" s="11" t="s">
        <v>553</v>
      </c>
      <c r="M95" s="11" t="s">
        <v>430</v>
      </c>
      <c r="Q95" s="11" t="s">
        <v>105</v>
      </c>
      <c r="R95" s="11" t="s">
        <v>106</v>
      </c>
      <c r="S95" s="11" t="s">
        <v>1584</v>
      </c>
      <c r="T95" s="11" t="s">
        <v>107</v>
      </c>
      <c r="U95" s="11" t="s">
        <v>108</v>
      </c>
      <c r="V95" s="11" t="s">
        <v>21</v>
      </c>
      <c r="W95" s="11" t="s">
        <v>545</v>
      </c>
      <c r="X95" s="11" t="s">
        <v>24</v>
      </c>
      <c r="Y95" s="11" t="s">
        <v>24</v>
      </c>
      <c r="Z95" s="11" t="s">
        <v>546</v>
      </c>
      <c r="AC95" s="11" t="s">
        <v>111</v>
      </c>
      <c r="AD95" s="11" t="s">
        <v>547</v>
      </c>
      <c r="AE95" s="11" t="s">
        <v>113</v>
      </c>
      <c r="AL95" s="11">
        <v>1</v>
      </c>
    </row>
    <row r="96" spans="2:55" x14ac:dyDescent="0.45">
      <c r="B96" s="11" t="s">
        <v>21</v>
      </c>
      <c r="C96" s="11" t="s">
        <v>23</v>
      </c>
      <c r="D96" s="11" t="s">
        <v>24</v>
      </c>
      <c r="E96" s="11" t="s">
        <v>25</v>
      </c>
      <c r="F96" s="11" t="s">
        <v>554</v>
      </c>
      <c r="G96" s="11" t="s">
        <v>555</v>
      </c>
      <c r="H96" s="11" t="s">
        <v>21</v>
      </c>
      <c r="I96" s="11" t="s">
        <v>556</v>
      </c>
      <c r="J96" s="11" t="s">
        <v>557</v>
      </c>
      <c r="K96" s="11">
        <v>1</v>
      </c>
      <c r="L96" s="11" t="s">
        <v>558</v>
      </c>
      <c r="M96" s="11" t="s">
        <v>546</v>
      </c>
      <c r="Q96" s="11" t="s">
        <v>105</v>
      </c>
      <c r="R96" s="11" t="s">
        <v>106</v>
      </c>
      <c r="S96" s="11" t="s">
        <v>1584</v>
      </c>
      <c r="T96" s="11" t="s">
        <v>107</v>
      </c>
      <c r="U96" s="11" t="s">
        <v>108</v>
      </c>
      <c r="V96" s="11" t="s">
        <v>21</v>
      </c>
      <c r="W96" s="11" t="s">
        <v>545</v>
      </c>
      <c r="X96" s="11" t="s">
        <v>24</v>
      </c>
      <c r="Y96" s="11" t="s">
        <v>24</v>
      </c>
      <c r="Z96" s="11" t="s">
        <v>546</v>
      </c>
      <c r="AC96" s="11" t="s">
        <v>111</v>
      </c>
      <c r="AD96" s="11" t="s">
        <v>547</v>
      </c>
      <c r="AE96" s="11" t="s">
        <v>138</v>
      </c>
      <c r="AL96" s="11">
        <v>1</v>
      </c>
      <c r="AU96" s="11">
        <v>1</v>
      </c>
      <c r="AZ96" s="11">
        <v>1</v>
      </c>
      <c r="BB96" s="11">
        <v>6</v>
      </c>
      <c r="BC96" s="11" t="s">
        <v>558</v>
      </c>
    </row>
    <row r="97" spans="2:63" x14ac:dyDescent="0.45">
      <c r="B97" s="11" t="s">
        <v>21</v>
      </c>
      <c r="C97" s="11" t="s">
        <v>23</v>
      </c>
      <c r="D97" s="11" t="s">
        <v>24</v>
      </c>
      <c r="E97" s="11" t="s">
        <v>25</v>
      </c>
      <c r="F97" s="11" t="s">
        <v>559</v>
      </c>
      <c r="G97" s="11" t="s">
        <v>560</v>
      </c>
      <c r="H97" s="11" t="s">
        <v>21</v>
      </c>
      <c r="I97" s="11" t="s">
        <v>141</v>
      </c>
      <c r="J97" s="11" t="s">
        <v>142</v>
      </c>
      <c r="K97" s="11">
        <v>1</v>
      </c>
      <c r="L97" s="11" t="s">
        <v>561</v>
      </c>
      <c r="M97" s="11" t="s">
        <v>144</v>
      </c>
      <c r="Q97" s="11" t="s">
        <v>105</v>
      </c>
      <c r="R97" s="11" t="s">
        <v>106</v>
      </c>
      <c r="S97" s="11" t="s">
        <v>1584</v>
      </c>
      <c r="T97" s="11" t="s">
        <v>107</v>
      </c>
      <c r="U97" s="11" t="s">
        <v>108</v>
      </c>
      <c r="V97" s="11" t="s">
        <v>21</v>
      </c>
      <c r="W97" s="11" t="s">
        <v>545</v>
      </c>
      <c r="X97" s="11" t="s">
        <v>24</v>
      </c>
      <c r="Y97" s="11" t="s">
        <v>24</v>
      </c>
      <c r="Z97" s="11" t="s">
        <v>546</v>
      </c>
      <c r="AC97" s="11" t="s">
        <v>111</v>
      </c>
      <c r="AD97" s="11" t="s">
        <v>547</v>
      </c>
      <c r="AE97" s="11" t="s">
        <v>113</v>
      </c>
      <c r="AL97" s="11">
        <v>1</v>
      </c>
      <c r="AU97" s="11">
        <v>1</v>
      </c>
      <c r="AZ97" s="11">
        <v>2</v>
      </c>
      <c r="BA97" s="11">
        <v>1</v>
      </c>
    </row>
    <row r="98" spans="2:63" x14ac:dyDescent="0.45">
      <c r="B98" s="11" t="s">
        <v>21</v>
      </c>
      <c r="C98" s="11" t="s">
        <v>23</v>
      </c>
      <c r="D98" s="11" t="s">
        <v>24</v>
      </c>
      <c r="E98" s="11" t="s">
        <v>25</v>
      </c>
      <c r="F98" s="11" t="s">
        <v>562</v>
      </c>
      <c r="G98" s="11" t="s">
        <v>563</v>
      </c>
      <c r="H98" s="11" t="s">
        <v>21</v>
      </c>
      <c r="I98" s="11" t="s">
        <v>150</v>
      </c>
      <c r="J98" s="11" t="s">
        <v>151</v>
      </c>
      <c r="K98" s="11">
        <v>1</v>
      </c>
      <c r="L98" s="11" t="s">
        <v>564</v>
      </c>
      <c r="M98" s="11" t="s">
        <v>153</v>
      </c>
      <c r="Q98" s="11" t="s">
        <v>105</v>
      </c>
      <c r="R98" s="11" t="s">
        <v>106</v>
      </c>
      <c r="S98" s="11" t="s">
        <v>1584</v>
      </c>
      <c r="T98" s="11" t="s">
        <v>107</v>
      </c>
      <c r="U98" s="11" t="s">
        <v>108</v>
      </c>
      <c r="V98" s="11" t="s">
        <v>21</v>
      </c>
      <c r="W98" s="11" t="s">
        <v>545</v>
      </c>
      <c r="X98" s="11" t="s">
        <v>24</v>
      </c>
      <c r="Y98" s="11" t="s">
        <v>24</v>
      </c>
      <c r="Z98" s="11" t="s">
        <v>546</v>
      </c>
      <c r="AC98" s="11" t="s">
        <v>111</v>
      </c>
      <c r="AD98" s="11" t="s">
        <v>547</v>
      </c>
      <c r="AE98" s="11" t="s">
        <v>113</v>
      </c>
      <c r="AL98" s="11">
        <v>1</v>
      </c>
      <c r="AU98" s="11">
        <v>1</v>
      </c>
      <c r="AZ98" s="11">
        <v>2</v>
      </c>
      <c r="BA98" s="11">
        <v>1</v>
      </c>
    </row>
    <row r="99" spans="2:63" x14ac:dyDescent="0.45">
      <c r="B99" s="11" t="s">
        <v>21</v>
      </c>
      <c r="C99" s="11" t="s">
        <v>23</v>
      </c>
      <c r="D99" s="11" t="s">
        <v>24</v>
      </c>
      <c r="E99" s="11" t="s">
        <v>25</v>
      </c>
      <c r="F99" s="11" t="s">
        <v>565</v>
      </c>
      <c r="G99" s="11" t="s">
        <v>566</v>
      </c>
      <c r="H99" s="11" t="s">
        <v>21</v>
      </c>
      <c r="I99" s="11" t="s">
        <v>150</v>
      </c>
      <c r="J99" s="11" t="s">
        <v>151</v>
      </c>
      <c r="K99" s="11">
        <v>3</v>
      </c>
      <c r="L99" s="11" t="s">
        <v>567</v>
      </c>
      <c r="M99" s="11" t="s">
        <v>153</v>
      </c>
      <c r="Q99" s="11" t="s">
        <v>105</v>
      </c>
      <c r="R99" s="11" t="s">
        <v>106</v>
      </c>
      <c r="S99" s="11" t="s">
        <v>1584</v>
      </c>
      <c r="T99" s="11" t="s">
        <v>107</v>
      </c>
      <c r="U99" s="11" t="s">
        <v>108</v>
      </c>
      <c r="V99" s="11" t="s">
        <v>21</v>
      </c>
      <c r="W99" s="11" t="s">
        <v>545</v>
      </c>
      <c r="X99" s="11" t="s">
        <v>24</v>
      </c>
      <c r="Y99" s="11" t="s">
        <v>24</v>
      </c>
      <c r="Z99" s="11" t="s">
        <v>546</v>
      </c>
      <c r="AC99" s="11" t="s">
        <v>111</v>
      </c>
      <c r="AD99" s="11" t="s">
        <v>547</v>
      </c>
      <c r="AE99" s="11" t="s">
        <v>113</v>
      </c>
      <c r="AL99" s="11">
        <v>1</v>
      </c>
      <c r="AU99" s="11">
        <v>1</v>
      </c>
      <c r="AZ99" s="11">
        <v>2</v>
      </c>
      <c r="BA99" s="11">
        <v>1</v>
      </c>
    </row>
    <row r="100" spans="2:63" x14ac:dyDescent="0.45">
      <c r="B100" s="11" t="s">
        <v>21</v>
      </c>
      <c r="C100" s="11" t="s">
        <v>23</v>
      </c>
      <c r="D100" s="11" t="s">
        <v>24</v>
      </c>
      <c r="E100" s="11" t="s">
        <v>25</v>
      </c>
      <c r="F100" s="11" t="s">
        <v>568</v>
      </c>
      <c r="G100" s="11" t="s">
        <v>569</v>
      </c>
      <c r="H100" s="11" t="s">
        <v>21</v>
      </c>
      <c r="I100" s="11" t="s">
        <v>164</v>
      </c>
      <c r="J100" s="11" t="s">
        <v>165</v>
      </c>
      <c r="K100" s="11">
        <v>1</v>
      </c>
      <c r="L100" s="11" t="s">
        <v>570</v>
      </c>
      <c r="M100" s="11" t="s">
        <v>167</v>
      </c>
      <c r="Q100" s="11" t="s">
        <v>105</v>
      </c>
      <c r="R100" s="11" t="s">
        <v>106</v>
      </c>
      <c r="S100" s="11" t="s">
        <v>1584</v>
      </c>
      <c r="T100" s="11" t="s">
        <v>107</v>
      </c>
      <c r="U100" s="11" t="s">
        <v>108</v>
      </c>
      <c r="V100" s="11" t="s">
        <v>21</v>
      </c>
      <c r="W100" s="11" t="s">
        <v>545</v>
      </c>
      <c r="X100" s="11" t="s">
        <v>24</v>
      </c>
      <c r="Y100" s="11" t="s">
        <v>24</v>
      </c>
      <c r="Z100" s="11" t="s">
        <v>546</v>
      </c>
      <c r="AC100" s="11" t="s">
        <v>111</v>
      </c>
      <c r="AD100" s="11" t="s">
        <v>547</v>
      </c>
      <c r="AE100" s="11" t="s">
        <v>168</v>
      </c>
      <c r="AL100" s="11">
        <v>1</v>
      </c>
    </row>
    <row r="101" spans="2:63" x14ac:dyDescent="0.45">
      <c r="B101" s="11" t="s">
        <v>21</v>
      </c>
      <c r="C101" s="11" t="s">
        <v>23</v>
      </c>
      <c r="D101" s="11" t="s">
        <v>24</v>
      </c>
      <c r="E101" s="11" t="s">
        <v>25</v>
      </c>
      <c r="F101" s="11" t="s">
        <v>571</v>
      </c>
      <c r="G101" s="11" t="s">
        <v>572</v>
      </c>
      <c r="H101" s="11" t="s">
        <v>21</v>
      </c>
      <c r="I101" s="11" t="s">
        <v>573</v>
      </c>
      <c r="J101" s="11" t="s">
        <v>574</v>
      </c>
      <c r="K101" s="11">
        <v>1</v>
      </c>
      <c r="L101" s="11" t="s">
        <v>575</v>
      </c>
      <c r="M101" s="11" t="s">
        <v>576</v>
      </c>
      <c r="Q101" s="11" t="s">
        <v>105</v>
      </c>
      <c r="R101" s="11" t="s">
        <v>106</v>
      </c>
      <c r="S101" s="11" t="s">
        <v>1584</v>
      </c>
      <c r="T101" s="11" t="s">
        <v>107</v>
      </c>
      <c r="U101" s="11" t="s">
        <v>108</v>
      </c>
      <c r="V101" s="11" t="s">
        <v>21</v>
      </c>
      <c r="W101" s="11" t="s">
        <v>577</v>
      </c>
      <c r="X101" s="11" t="s">
        <v>24</v>
      </c>
      <c r="Y101" s="11" t="s">
        <v>24</v>
      </c>
      <c r="Z101" s="11" t="s">
        <v>578</v>
      </c>
      <c r="AC101" s="11" t="s">
        <v>111</v>
      </c>
      <c r="AD101" s="11" t="s">
        <v>579</v>
      </c>
      <c r="AE101" s="11" t="s">
        <v>287</v>
      </c>
      <c r="AL101" s="11">
        <v>1</v>
      </c>
      <c r="AP101" s="11" t="s">
        <v>21</v>
      </c>
      <c r="AQ101" s="11" t="s">
        <v>185</v>
      </c>
      <c r="AS101" s="11" t="s">
        <v>575</v>
      </c>
      <c r="AT101" s="11">
        <v>1</v>
      </c>
      <c r="AU101" s="11">
        <v>1</v>
      </c>
      <c r="AV101" s="11" t="s">
        <v>580</v>
      </c>
      <c r="AW101" s="11">
        <v>15</v>
      </c>
      <c r="AX101" s="11">
        <v>20</v>
      </c>
    </row>
    <row r="102" spans="2:63" x14ac:dyDescent="0.45">
      <c r="B102" s="11" t="s">
        <v>21</v>
      </c>
      <c r="C102" s="11" t="s">
        <v>23</v>
      </c>
      <c r="D102" s="11" t="s">
        <v>24</v>
      </c>
      <c r="E102" s="11" t="s">
        <v>25</v>
      </c>
      <c r="F102" s="11" t="s">
        <v>581</v>
      </c>
      <c r="G102" s="11" t="s">
        <v>582</v>
      </c>
      <c r="H102" s="11" t="s">
        <v>21</v>
      </c>
      <c r="I102" s="11" t="s">
        <v>291</v>
      </c>
      <c r="J102" s="11" t="s">
        <v>292</v>
      </c>
      <c r="K102" s="11">
        <v>1</v>
      </c>
      <c r="L102" s="11" t="s">
        <v>580</v>
      </c>
      <c r="M102" s="11" t="s">
        <v>293</v>
      </c>
      <c r="Q102" s="11" t="s">
        <v>105</v>
      </c>
      <c r="R102" s="11" t="s">
        <v>106</v>
      </c>
      <c r="S102" s="11" t="s">
        <v>1584</v>
      </c>
      <c r="T102" s="11" t="s">
        <v>107</v>
      </c>
      <c r="U102" s="11" t="s">
        <v>108</v>
      </c>
      <c r="V102" s="11" t="s">
        <v>21</v>
      </c>
      <c r="W102" s="11" t="s">
        <v>577</v>
      </c>
      <c r="X102" s="11" t="s">
        <v>24</v>
      </c>
      <c r="Y102" s="11" t="s">
        <v>24</v>
      </c>
      <c r="Z102" s="11" t="s">
        <v>578</v>
      </c>
      <c r="AC102" s="11" t="s">
        <v>111</v>
      </c>
      <c r="AD102" s="11" t="s">
        <v>579</v>
      </c>
      <c r="AE102" s="11" t="s">
        <v>287</v>
      </c>
      <c r="AL102" s="11">
        <v>1</v>
      </c>
      <c r="AP102" s="11" t="s">
        <v>21</v>
      </c>
      <c r="AQ102" s="11" t="s">
        <v>294</v>
      </c>
      <c r="AS102" s="11" t="s">
        <v>575</v>
      </c>
      <c r="AT102" s="11">
        <v>2</v>
      </c>
      <c r="AU102" s="11">
        <v>1</v>
      </c>
    </row>
    <row r="103" spans="2:63" x14ac:dyDescent="0.45">
      <c r="B103" s="11" t="s">
        <v>21</v>
      </c>
      <c r="C103" s="11" t="s">
        <v>23</v>
      </c>
      <c r="D103" s="11" t="s">
        <v>24</v>
      </c>
      <c r="E103" s="11" t="s">
        <v>25</v>
      </c>
      <c r="F103" s="11" t="s">
        <v>583</v>
      </c>
      <c r="G103" s="11" t="s">
        <v>584</v>
      </c>
      <c r="H103" s="11" t="s">
        <v>21</v>
      </c>
      <c r="I103" s="11" t="s">
        <v>189</v>
      </c>
      <c r="J103" s="11" t="s">
        <v>190</v>
      </c>
      <c r="K103" s="11">
        <v>1</v>
      </c>
      <c r="L103" s="11" t="s">
        <v>585</v>
      </c>
      <c r="M103" s="11" t="s">
        <v>191</v>
      </c>
      <c r="Q103" s="11" t="s">
        <v>105</v>
      </c>
      <c r="R103" s="11" t="s">
        <v>106</v>
      </c>
      <c r="S103" s="11" t="s">
        <v>1584</v>
      </c>
      <c r="T103" s="11" t="s">
        <v>107</v>
      </c>
      <c r="U103" s="11" t="s">
        <v>108</v>
      </c>
      <c r="V103" s="11" t="s">
        <v>21</v>
      </c>
      <c r="W103" s="11" t="s">
        <v>577</v>
      </c>
      <c r="X103" s="11" t="s">
        <v>24</v>
      </c>
      <c r="Y103" s="11" t="s">
        <v>24</v>
      </c>
      <c r="Z103" s="11" t="s">
        <v>578</v>
      </c>
      <c r="AC103" s="11" t="s">
        <v>111</v>
      </c>
      <c r="AD103" s="11" t="s">
        <v>579</v>
      </c>
      <c r="AE103" s="11" t="s">
        <v>469</v>
      </c>
      <c r="AL103" s="11">
        <v>1</v>
      </c>
      <c r="AP103" s="11" t="s">
        <v>21</v>
      </c>
      <c r="AQ103" s="11" t="s">
        <v>192</v>
      </c>
      <c r="AS103" s="11" t="s">
        <v>585</v>
      </c>
      <c r="AT103" s="11">
        <v>3</v>
      </c>
    </row>
    <row r="104" spans="2:63" x14ac:dyDescent="0.45">
      <c r="B104" s="11" t="s">
        <v>21</v>
      </c>
      <c r="C104" s="11" t="s">
        <v>23</v>
      </c>
      <c r="D104" s="11" t="s">
        <v>24</v>
      </c>
      <c r="E104" s="11" t="s">
        <v>25</v>
      </c>
      <c r="F104" s="11" t="s">
        <v>586</v>
      </c>
      <c r="G104" s="11" t="s">
        <v>587</v>
      </c>
      <c r="H104" s="11" t="s">
        <v>21</v>
      </c>
      <c r="I104" s="11" t="s">
        <v>200</v>
      </c>
      <c r="J104" s="11" t="s">
        <v>201</v>
      </c>
      <c r="K104" s="11">
        <v>1</v>
      </c>
      <c r="L104" s="11" t="s">
        <v>588</v>
      </c>
      <c r="M104" s="11" t="s">
        <v>203</v>
      </c>
      <c r="Q104" s="11" t="s">
        <v>105</v>
      </c>
      <c r="R104" s="11" t="s">
        <v>106</v>
      </c>
      <c r="S104" s="11" t="s">
        <v>1584</v>
      </c>
      <c r="T104" s="11" t="s">
        <v>107</v>
      </c>
      <c r="U104" s="11" t="s">
        <v>108</v>
      </c>
      <c r="V104" s="11" t="s">
        <v>21</v>
      </c>
      <c r="W104" s="11" t="s">
        <v>577</v>
      </c>
      <c r="X104" s="11" t="s">
        <v>24</v>
      </c>
      <c r="Y104" s="11" t="s">
        <v>24</v>
      </c>
      <c r="Z104" s="11" t="s">
        <v>578</v>
      </c>
      <c r="AC104" s="11" t="s">
        <v>111</v>
      </c>
      <c r="AD104" s="11" t="s">
        <v>579</v>
      </c>
      <c r="AE104" s="11" t="s">
        <v>469</v>
      </c>
      <c r="AF104" s="11">
        <v>3</v>
      </c>
      <c r="AL104" s="11">
        <v>1</v>
      </c>
      <c r="AP104" s="11" t="s">
        <v>21</v>
      </c>
      <c r="AQ104" s="11" t="s">
        <v>192</v>
      </c>
      <c r="AS104" s="11" t="s">
        <v>585</v>
      </c>
      <c r="AT104" s="11">
        <v>3</v>
      </c>
      <c r="BH104" s="11" t="s">
        <v>106</v>
      </c>
      <c r="BI104" s="11" t="s">
        <v>105</v>
      </c>
      <c r="BJ104" s="11" t="s">
        <v>106</v>
      </c>
      <c r="BK104" s="11" t="s">
        <v>106</v>
      </c>
    </row>
    <row r="105" spans="2:63" x14ac:dyDescent="0.45">
      <c r="B105" s="11" t="s">
        <v>21</v>
      </c>
      <c r="C105" s="11" t="s">
        <v>23</v>
      </c>
      <c r="D105" s="11" t="s">
        <v>24</v>
      </c>
      <c r="E105" s="11" t="s">
        <v>25</v>
      </c>
      <c r="F105" s="11" t="s">
        <v>589</v>
      </c>
      <c r="G105" s="11" t="s">
        <v>590</v>
      </c>
      <c r="H105" s="11" t="s">
        <v>21</v>
      </c>
      <c r="I105" s="11" t="s">
        <v>206</v>
      </c>
      <c r="J105" s="11" t="s">
        <v>207</v>
      </c>
      <c r="K105" s="11">
        <v>1</v>
      </c>
      <c r="L105" s="11" t="s">
        <v>591</v>
      </c>
      <c r="M105" s="11" t="s">
        <v>209</v>
      </c>
      <c r="Q105" s="11" t="s">
        <v>105</v>
      </c>
      <c r="R105" s="11" t="s">
        <v>106</v>
      </c>
      <c r="S105" s="11" t="s">
        <v>1584</v>
      </c>
      <c r="T105" s="11" t="s">
        <v>107</v>
      </c>
      <c r="U105" s="11" t="s">
        <v>108</v>
      </c>
      <c r="V105" s="11" t="s">
        <v>21</v>
      </c>
      <c r="W105" s="11" t="s">
        <v>577</v>
      </c>
      <c r="X105" s="11" t="s">
        <v>24</v>
      </c>
      <c r="Y105" s="11" t="s">
        <v>24</v>
      </c>
      <c r="Z105" s="11" t="s">
        <v>578</v>
      </c>
      <c r="AC105" s="11" t="s">
        <v>111</v>
      </c>
      <c r="AD105" s="11" t="s">
        <v>579</v>
      </c>
      <c r="AE105" s="11" t="s">
        <v>469</v>
      </c>
      <c r="AL105" s="11">
        <v>1</v>
      </c>
      <c r="AP105" s="11" t="s">
        <v>21</v>
      </c>
      <c r="AQ105" s="11" t="s">
        <v>192</v>
      </c>
      <c r="AS105" s="11" t="s">
        <v>585</v>
      </c>
      <c r="AT105" s="11">
        <v>3</v>
      </c>
    </row>
    <row r="106" spans="2:63" x14ac:dyDescent="0.45">
      <c r="B106" s="11" t="s">
        <v>21</v>
      </c>
      <c r="C106" s="11" t="s">
        <v>23</v>
      </c>
      <c r="D106" s="11" t="s">
        <v>24</v>
      </c>
      <c r="E106" s="11" t="s">
        <v>25</v>
      </c>
      <c r="F106" s="11" t="s">
        <v>592</v>
      </c>
      <c r="G106" s="11" t="s">
        <v>593</v>
      </c>
      <c r="H106" s="11" t="s">
        <v>21</v>
      </c>
      <c r="I106" s="11" t="s">
        <v>212</v>
      </c>
      <c r="J106" s="11" t="s">
        <v>213</v>
      </c>
      <c r="K106" s="11">
        <v>1</v>
      </c>
      <c r="L106" s="11" t="s">
        <v>594</v>
      </c>
      <c r="M106" s="11" t="s">
        <v>215</v>
      </c>
      <c r="Q106" s="11" t="s">
        <v>105</v>
      </c>
      <c r="R106" s="11" t="s">
        <v>106</v>
      </c>
      <c r="S106" s="11" t="s">
        <v>1584</v>
      </c>
      <c r="T106" s="11" t="s">
        <v>107</v>
      </c>
      <c r="U106" s="11" t="s">
        <v>108</v>
      </c>
      <c r="V106" s="11" t="s">
        <v>21</v>
      </c>
      <c r="W106" s="11" t="s">
        <v>577</v>
      </c>
      <c r="X106" s="11" t="s">
        <v>24</v>
      </c>
      <c r="Y106" s="11" t="s">
        <v>24</v>
      </c>
      <c r="Z106" s="11" t="s">
        <v>578</v>
      </c>
      <c r="AC106" s="11" t="s">
        <v>111</v>
      </c>
      <c r="AD106" s="11" t="s">
        <v>579</v>
      </c>
      <c r="AE106" s="11" t="s">
        <v>469</v>
      </c>
      <c r="AL106" s="11">
        <v>1</v>
      </c>
      <c r="AP106" s="11" t="s">
        <v>21</v>
      </c>
      <c r="AQ106" s="11" t="s">
        <v>192</v>
      </c>
      <c r="AS106" s="11" t="s">
        <v>585</v>
      </c>
      <c r="AT106" s="11">
        <v>3</v>
      </c>
    </row>
    <row r="107" spans="2:63" x14ac:dyDescent="0.45">
      <c r="B107" s="11" t="s">
        <v>21</v>
      </c>
      <c r="C107" s="11" t="s">
        <v>23</v>
      </c>
      <c r="D107" s="11" t="s">
        <v>24</v>
      </c>
      <c r="E107" s="11" t="s">
        <v>25</v>
      </c>
      <c r="F107" s="11" t="s">
        <v>595</v>
      </c>
      <c r="G107" s="11" t="s">
        <v>596</v>
      </c>
      <c r="H107" s="11" t="s">
        <v>21</v>
      </c>
      <c r="I107" s="11" t="s">
        <v>218</v>
      </c>
      <c r="J107" s="11" t="s">
        <v>219</v>
      </c>
      <c r="K107" s="11">
        <v>1</v>
      </c>
      <c r="L107" s="11" t="s">
        <v>597</v>
      </c>
      <c r="M107" s="11" t="s">
        <v>221</v>
      </c>
      <c r="Q107" s="11" t="s">
        <v>105</v>
      </c>
      <c r="R107" s="11" t="s">
        <v>106</v>
      </c>
      <c r="S107" s="11" t="s">
        <v>1584</v>
      </c>
      <c r="T107" s="11" t="s">
        <v>107</v>
      </c>
      <c r="U107" s="11" t="s">
        <v>108</v>
      </c>
      <c r="V107" s="11" t="s">
        <v>21</v>
      </c>
      <c r="W107" s="11" t="s">
        <v>577</v>
      </c>
      <c r="X107" s="11" t="s">
        <v>24</v>
      </c>
      <c r="Y107" s="11" t="s">
        <v>24</v>
      </c>
      <c r="Z107" s="11" t="s">
        <v>578</v>
      </c>
      <c r="AC107" s="11" t="s">
        <v>111</v>
      </c>
      <c r="AD107" s="11" t="s">
        <v>579</v>
      </c>
      <c r="AE107" s="11" t="s">
        <v>469</v>
      </c>
      <c r="AL107" s="11">
        <v>1</v>
      </c>
      <c r="AP107" s="11" t="s">
        <v>21</v>
      </c>
      <c r="AQ107" s="11" t="s">
        <v>192</v>
      </c>
      <c r="AS107" s="11" t="s">
        <v>585</v>
      </c>
      <c r="AT107" s="11">
        <v>3</v>
      </c>
      <c r="BD107" s="11" t="s">
        <v>588</v>
      </c>
    </row>
    <row r="108" spans="2:63" x14ac:dyDescent="0.45">
      <c r="B108" s="11" t="s">
        <v>21</v>
      </c>
      <c r="C108" s="11" t="s">
        <v>23</v>
      </c>
      <c r="D108" s="11" t="s">
        <v>24</v>
      </c>
      <c r="E108" s="11" t="s">
        <v>25</v>
      </c>
      <c r="F108" s="11" t="s">
        <v>598</v>
      </c>
      <c r="G108" s="11" t="s">
        <v>599</v>
      </c>
      <c r="H108" s="11" t="s">
        <v>21</v>
      </c>
      <c r="I108" s="11" t="s">
        <v>243</v>
      </c>
      <c r="J108" s="11" t="s">
        <v>244</v>
      </c>
      <c r="K108" s="11">
        <v>1</v>
      </c>
      <c r="L108" s="11" t="s">
        <v>600</v>
      </c>
      <c r="M108" s="11" t="s">
        <v>246</v>
      </c>
      <c r="Q108" s="11" t="s">
        <v>105</v>
      </c>
      <c r="R108" s="11" t="s">
        <v>106</v>
      </c>
      <c r="S108" s="11" t="s">
        <v>1584</v>
      </c>
      <c r="T108" s="11" t="s">
        <v>107</v>
      </c>
      <c r="U108" s="11" t="s">
        <v>108</v>
      </c>
      <c r="V108" s="11" t="s">
        <v>21</v>
      </c>
      <c r="W108" s="11" t="s">
        <v>577</v>
      </c>
      <c r="X108" s="11" t="s">
        <v>24</v>
      </c>
      <c r="Y108" s="11" t="s">
        <v>24</v>
      </c>
      <c r="Z108" s="11" t="s">
        <v>578</v>
      </c>
      <c r="AC108" s="11" t="s">
        <v>111</v>
      </c>
      <c r="AD108" s="11" t="s">
        <v>579</v>
      </c>
      <c r="AE108" s="11" t="s">
        <v>387</v>
      </c>
      <c r="AL108" s="11">
        <v>1</v>
      </c>
    </row>
    <row r="109" spans="2:63" x14ac:dyDescent="0.45">
      <c r="B109" s="11" t="s">
        <v>21</v>
      </c>
      <c r="C109" s="11" t="s">
        <v>23</v>
      </c>
      <c r="D109" s="11" t="s">
        <v>24</v>
      </c>
      <c r="E109" s="11" t="s">
        <v>25</v>
      </c>
      <c r="F109" s="11" t="s">
        <v>601</v>
      </c>
      <c r="G109" s="11" t="s">
        <v>101</v>
      </c>
      <c r="H109" s="11" t="s">
        <v>21</v>
      </c>
      <c r="I109" s="11" t="s">
        <v>263</v>
      </c>
      <c r="J109" s="11" t="s">
        <v>264</v>
      </c>
      <c r="K109" s="11">
        <v>1</v>
      </c>
      <c r="L109" s="11" t="s">
        <v>602</v>
      </c>
      <c r="M109" s="11" t="s">
        <v>266</v>
      </c>
      <c r="Q109" s="11" t="s">
        <v>105</v>
      </c>
      <c r="R109" s="11" t="s">
        <v>106</v>
      </c>
      <c r="S109" s="11" t="s">
        <v>1584</v>
      </c>
      <c r="T109" s="11" t="s">
        <v>107</v>
      </c>
      <c r="U109" s="11" t="s">
        <v>108</v>
      </c>
      <c r="V109" s="11" t="s">
        <v>21</v>
      </c>
      <c r="W109" s="11" t="s">
        <v>577</v>
      </c>
      <c r="X109" s="11" t="s">
        <v>24</v>
      </c>
      <c r="Y109" s="11" t="s">
        <v>24</v>
      </c>
      <c r="Z109" s="11" t="s">
        <v>578</v>
      </c>
      <c r="AC109" s="11" t="s">
        <v>111</v>
      </c>
      <c r="AD109" s="11" t="s">
        <v>579</v>
      </c>
      <c r="AE109" s="11" t="s">
        <v>387</v>
      </c>
      <c r="AL109" s="11">
        <v>1</v>
      </c>
    </row>
    <row r="110" spans="2:63" x14ac:dyDescent="0.45">
      <c r="B110" s="11" t="s">
        <v>21</v>
      </c>
      <c r="C110" s="11" t="s">
        <v>23</v>
      </c>
      <c r="D110" s="11" t="s">
        <v>24</v>
      </c>
      <c r="E110" s="11" t="s">
        <v>25</v>
      </c>
      <c r="F110" s="11" t="s">
        <v>603</v>
      </c>
      <c r="G110" s="11" t="s">
        <v>604</v>
      </c>
      <c r="H110" s="11" t="s">
        <v>21</v>
      </c>
      <c r="I110" s="11" t="s">
        <v>249</v>
      </c>
      <c r="J110" s="11" t="s">
        <v>225</v>
      </c>
      <c r="K110" s="11">
        <v>1</v>
      </c>
      <c r="L110" s="11" t="s">
        <v>605</v>
      </c>
      <c r="M110" s="11" t="s">
        <v>251</v>
      </c>
      <c r="Q110" s="11" t="s">
        <v>105</v>
      </c>
      <c r="R110" s="11" t="s">
        <v>106</v>
      </c>
      <c r="S110" s="11" t="s">
        <v>1584</v>
      </c>
      <c r="T110" s="11" t="s">
        <v>107</v>
      </c>
      <c r="U110" s="11" t="s">
        <v>108</v>
      </c>
      <c r="V110" s="11" t="s">
        <v>21</v>
      </c>
      <c r="W110" s="11" t="s">
        <v>577</v>
      </c>
      <c r="X110" s="11" t="s">
        <v>24</v>
      </c>
      <c r="Y110" s="11" t="s">
        <v>24</v>
      </c>
      <c r="Z110" s="11" t="s">
        <v>578</v>
      </c>
      <c r="AC110" s="11" t="s">
        <v>111</v>
      </c>
      <c r="AD110" s="11" t="s">
        <v>579</v>
      </c>
      <c r="AE110" s="11" t="s">
        <v>356</v>
      </c>
      <c r="AL110" s="11">
        <v>1</v>
      </c>
    </row>
    <row r="111" spans="2:63" x14ac:dyDescent="0.45">
      <c r="B111" s="11" t="s">
        <v>21</v>
      </c>
      <c r="C111" s="11" t="s">
        <v>23</v>
      </c>
      <c r="D111" s="11" t="s">
        <v>24</v>
      </c>
      <c r="E111" s="11" t="s">
        <v>25</v>
      </c>
      <c r="F111" s="11" t="s">
        <v>606</v>
      </c>
      <c r="G111" s="11" t="s">
        <v>607</v>
      </c>
      <c r="H111" s="11" t="s">
        <v>21</v>
      </c>
      <c r="I111" s="11" t="s">
        <v>254</v>
      </c>
      <c r="J111" s="11" t="s">
        <v>255</v>
      </c>
      <c r="K111" s="11">
        <v>1</v>
      </c>
      <c r="L111" s="11" t="s">
        <v>608</v>
      </c>
      <c r="M111" s="11" t="s">
        <v>257</v>
      </c>
      <c r="Q111" s="11" t="s">
        <v>105</v>
      </c>
      <c r="R111" s="11" t="s">
        <v>106</v>
      </c>
      <c r="S111" s="11" t="s">
        <v>1584</v>
      </c>
      <c r="T111" s="11" t="s">
        <v>107</v>
      </c>
      <c r="U111" s="11" t="s">
        <v>108</v>
      </c>
      <c r="V111" s="11" t="s">
        <v>21</v>
      </c>
      <c r="W111" s="11" t="s">
        <v>577</v>
      </c>
      <c r="X111" s="11" t="s">
        <v>24</v>
      </c>
      <c r="Y111" s="11" t="s">
        <v>24</v>
      </c>
      <c r="Z111" s="11" t="s">
        <v>578</v>
      </c>
      <c r="AC111" s="11" t="s">
        <v>111</v>
      </c>
      <c r="AD111" s="11" t="s">
        <v>579</v>
      </c>
      <c r="AE111" s="11" t="s">
        <v>356</v>
      </c>
      <c r="AL111" s="11">
        <v>1</v>
      </c>
    </row>
    <row r="112" spans="2:63" x14ac:dyDescent="0.45">
      <c r="B112" s="11" t="s">
        <v>21</v>
      </c>
      <c r="C112" s="11" t="s">
        <v>23</v>
      </c>
      <c r="D112" s="11" t="s">
        <v>24</v>
      </c>
      <c r="E112" s="11" t="s">
        <v>25</v>
      </c>
      <c r="F112" s="11" t="s">
        <v>609</v>
      </c>
      <c r="G112" s="11" t="s">
        <v>610</v>
      </c>
      <c r="H112" s="11" t="s">
        <v>21</v>
      </c>
      <c r="I112" s="11" t="s">
        <v>243</v>
      </c>
      <c r="J112" s="11" t="s">
        <v>244</v>
      </c>
      <c r="K112" s="11">
        <v>2</v>
      </c>
      <c r="L112" s="11" t="s">
        <v>611</v>
      </c>
      <c r="M112" s="11" t="s">
        <v>246</v>
      </c>
      <c r="Q112" s="11" t="s">
        <v>105</v>
      </c>
      <c r="R112" s="11" t="s">
        <v>106</v>
      </c>
      <c r="S112" s="11" t="s">
        <v>1584</v>
      </c>
      <c r="T112" s="11" t="s">
        <v>107</v>
      </c>
      <c r="U112" s="11" t="s">
        <v>108</v>
      </c>
      <c r="V112" s="11" t="s">
        <v>21</v>
      </c>
      <c r="W112" s="11" t="s">
        <v>577</v>
      </c>
      <c r="X112" s="11" t="s">
        <v>24</v>
      </c>
      <c r="Y112" s="11" t="s">
        <v>24</v>
      </c>
      <c r="Z112" s="11" t="s">
        <v>578</v>
      </c>
      <c r="AC112" s="11" t="s">
        <v>111</v>
      </c>
      <c r="AD112" s="11" t="s">
        <v>579</v>
      </c>
      <c r="AE112" s="11" t="s">
        <v>356</v>
      </c>
      <c r="AL112" s="11">
        <v>1</v>
      </c>
    </row>
    <row r="113" spans="2:63" x14ac:dyDescent="0.45">
      <c r="B113" s="11" t="s">
        <v>21</v>
      </c>
      <c r="C113" s="11" t="s">
        <v>23</v>
      </c>
      <c r="D113" s="11" t="s">
        <v>24</v>
      </c>
      <c r="E113" s="11" t="s">
        <v>25</v>
      </c>
      <c r="F113" s="11" t="s">
        <v>612</v>
      </c>
      <c r="G113" s="11" t="s">
        <v>613</v>
      </c>
      <c r="H113" s="11" t="s">
        <v>21</v>
      </c>
      <c r="I113" s="11" t="s">
        <v>368</v>
      </c>
      <c r="J113" s="11" t="s">
        <v>369</v>
      </c>
      <c r="K113" s="11">
        <v>1</v>
      </c>
      <c r="L113" s="11" t="s">
        <v>614</v>
      </c>
      <c r="M113" s="11" t="s">
        <v>371</v>
      </c>
      <c r="Q113" s="11" t="s">
        <v>105</v>
      </c>
      <c r="R113" s="11" t="s">
        <v>106</v>
      </c>
      <c r="S113" s="11" t="s">
        <v>1584</v>
      </c>
      <c r="T113" s="11" t="s">
        <v>107</v>
      </c>
      <c r="U113" s="11" t="s">
        <v>108</v>
      </c>
      <c r="V113" s="11" t="s">
        <v>21</v>
      </c>
      <c r="W113" s="11" t="s">
        <v>577</v>
      </c>
      <c r="X113" s="11" t="s">
        <v>24</v>
      </c>
      <c r="Y113" s="11" t="s">
        <v>24</v>
      </c>
      <c r="Z113" s="11" t="s">
        <v>578</v>
      </c>
      <c r="AC113" s="11" t="s">
        <v>111</v>
      </c>
      <c r="AD113" s="11" t="s">
        <v>579</v>
      </c>
      <c r="AE113" s="11" t="s">
        <v>356</v>
      </c>
      <c r="AL113" s="11">
        <v>1</v>
      </c>
      <c r="AP113" s="11" t="s">
        <v>21</v>
      </c>
      <c r="AQ113" s="11" t="s">
        <v>273</v>
      </c>
      <c r="AS113" s="11" t="s">
        <v>614</v>
      </c>
      <c r="AT113" s="11">
        <v>2</v>
      </c>
    </row>
    <row r="114" spans="2:63" x14ac:dyDescent="0.45">
      <c r="B114" s="11" t="s">
        <v>21</v>
      </c>
      <c r="C114" s="11" t="s">
        <v>23</v>
      </c>
      <c r="D114" s="11" t="s">
        <v>24</v>
      </c>
      <c r="E114" s="11" t="s">
        <v>25</v>
      </c>
      <c r="F114" s="11" t="s">
        <v>615</v>
      </c>
      <c r="G114" s="11" t="s">
        <v>616</v>
      </c>
      <c r="H114" s="11" t="s">
        <v>21</v>
      </c>
      <c r="I114" s="11" t="s">
        <v>390</v>
      </c>
      <c r="J114" s="11" t="s">
        <v>391</v>
      </c>
      <c r="K114" s="11">
        <v>1</v>
      </c>
      <c r="L114" s="11" t="s">
        <v>617</v>
      </c>
      <c r="M114" s="11" t="s">
        <v>393</v>
      </c>
      <c r="Q114" s="11" t="s">
        <v>105</v>
      </c>
      <c r="R114" s="11" t="s">
        <v>106</v>
      </c>
      <c r="S114" s="11" t="s">
        <v>1584</v>
      </c>
      <c r="T114" s="11" t="s">
        <v>107</v>
      </c>
      <c r="U114" s="11" t="s">
        <v>108</v>
      </c>
      <c r="V114" s="11" t="s">
        <v>21</v>
      </c>
      <c r="W114" s="11" t="s">
        <v>618</v>
      </c>
      <c r="X114" s="11" t="s">
        <v>24</v>
      </c>
      <c r="Y114" s="11" t="s">
        <v>24</v>
      </c>
      <c r="Z114" s="11" t="s">
        <v>619</v>
      </c>
      <c r="AC114" s="11" t="s">
        <v>111</v>
      </c>
      <c r="AD114" s="11" t="s">
        <v>184</v>
      </c>
      <c r="AE114" s="11" t="s">
        <v>287</v>
      </c>
      <c r="AL114" s="11">
        <v>1</v>
      </c>
      <c r="AP114" s="11" t="s">
        <v>21</v>
      </c>
      <c r="AQ114" s="11" t="s">
        <v>185</v>
      </c>
      <c r="AS114" s="11" t="s">
        <v>617</v>
      </c>
      <c r="AT114" s="11">
        <v>1</v>
      </c>
      <c r="AU114" s="11">
        <v>1</v>
      </c>
      <c r="AV114" s="11" t="s">
        <v>620</v>
      </c>
      <c r="AW114" s="11">
        <v>15</v>
      </c>
      <c r="AX114" s="11">
        <v>20</v>
      </c>
    </row>
    <row r="115" spans="2:63" x14ac:dyDescent="0.45">
      <c r="B115" s="11" t="s">
        <v>21</v>
      </c>
      <c r="C115" s="11" t="s">
        <v>23</v>
      </c>
      <c r="D115" s="11" t="s">
        <v>24</v>
      </c>
      <c r="E115" s="11" t="s">
        <v>25</v>
      </c>
      <c r="F115" s="11" t="s">
        <v>621</v>
      </c>
      <c r="G115" s="11" t="s">
        <v>622</v>
      </c>
      <c r="H115" s="11" t="s">
        <v>21</v>
      </c>
      <c r="I115" s="11" t="s">
        <v>291</v>
      </c>
      <c r="J115" s="11" t="s">
        <v>292</v>
      </c>
      <c r="K115" s="11">
        <v>1</v>
      </c>
      <c r="L115" s="11" t="s">
        <v>620</v>
      </c>
      <c r="M115" s="11" t="s">
        <v>293</v>
      </c>
      <c r="Q115" s="11" t="s">
        <v>105</v>
      </c>
      <c r="R115" s="11" t="s">
        <v>106</v>
      </c>
      <c r="S115" s="11" t="s">
        <v>1584</v>
      </c>
      <c r="T115" s="11" t="s">
        <v>107</v>
      </c>
      <c r="U115" s="11" t="s">
        <v>108</v>
      </c>
      <c r="V115" s="11" t="s">
        <v>21</v>
      </c>
      <c r="W115" s="11" t="s">
        <v>618</v>
      </c>
      <c r="X115" s="11" t="s">
        <v>24</v>
      </c>
      <c r="Y115" s="11" t="s">
        <v>24</v>
      </c>
      <c r="Z115" s="11" t="s">
        <v>619</v>
      </c>
      <c r="AC115" s="11" t="s">
        <v>111</v>
      </c>
      <c r="AD115" s="11" t="s">
        <v>184</v>
      </c>
      <c r="AE115" s="11" t="s">
        <v>287</v>
      </c>
      <c r="AL115" s="11">
        <v>1</v>
      </c>
      <c r="AP115" s="11" t="s">
        <v>21</v>
      </c>
      <c r="AQ115" s="11" t="s">
        <v>294</v>
      </c>
      <c r="AS115" s="11" t="s">
        <v>617</v>
      </c>
      <c r="AT115" s="11">
        <v>2</v>
      </c>
      <c r="AU115" s="11">
        <v>1</v>
      </c>
    </row>
    <row r="116" spans="2:63" x14ac:dyDescent="0.45">
      <c r="B116" s="11" t="s">
        <v>21</v>
      </c>
      <c r="C116" s="11" t="s">
        <v>23</v>
      </c>
      <c r="D116" s="11" t="s">
        <v>24</v>
      </c>
      <c r="E116" s="11" t="s">
        <v>25</v>
      </c>
      <c r="F116" s="11" t="s">
        <v>623</v>
      </c>
      <c r="G116" s="11" t="s">
        <v>624</v>
      </c>
      <c r="H116" s="11" t="s">
        <v>21</v>
      </c>
      <c r="I116" s="11" t="s">
        <v>189</v>
      </c>
      <c r="J116" s="11" t="s">
        <v>190</v>
      </c>
      <c r="K116" s="11">
        <v>1</v>
      </c>
      <c r="L116" s="11" t="s">
        <v>625</v>
      </c>
      <c r="M116" s="11" t="s">
        <v>191</v>
      </c>
      <c r="Q116" s="11" t="s">
        <v>105</v>
      </c>
      <c r="R116" s="11" t="s">
        <v>106</v>
      </c>
      <c r="S116" s="11" t="s">
        <v>1584</v>
      </c>
      <c r="T116" s="11" t="s">
        <v>107</v>
      </c>
      <c r="U116" s="11" t="s">
        <v>108</v>
      </c>
      <c r="V116" s="11" t="s">
        <v>21</v>
      </c>
      <c r="W116" s="11" t="s">
        <v>618</v>
      </c>
      <c r="X116" s="11" t="s">
        <v>24</v>
      </c>
      <c r="Y116" s="11" t="s">
        <v>24</v>
      </c>
      <c r="Z116" s="11" t="s">
        <v>619</v>
      </c>
      <c r="AC116" s="11" t="s">
        <v>111</v>
      </c>
      <c r="AD116" s="11" t="s">
        <v>184</v>
      </c>
      <c r="AE116" s="11" t="s">
        <v>469</v>
      </c>
      <c r="AL116" s="11">
        <v>1</v>
      </c>
      <c r="AP116" s="11" t="s">
        <v>21</v>
      </c>
      <c r="AQ116" s="11" t="s">
        <v>192</v>
      </c>
      <c r="AS116" s="11" t="s">
        <v>625</v>
      </c>
      <c r="AT116" s="11">
        <v>3</v>
      </c>
    </row>
    <row r="117" spans="2:63" x14ac:dyDescent="0.45">
      <c r="B117" s="11" t="s">
        <v>21</v>
      </c>
      <c r="C117" s="11" t="s">
        <v>23</v>
      </c>
      <c r="D117" s="11" t="s">
        <v>24</v>
      </c>
      <c r="E117" s="11" t="s">
        <v>25</v>
      </c>
      <c r="F117" s="11" t="s">
        <v>626</v>
      </c>
      <c r="G117" s="11" t="s">
        <v>627</v>
      </c>
      <c r="H117" s="11" t="s">
        <v>21</v>
      </c>
      <c r="I117" s="11" t="s">
        <v>200</v>
      </c>
      <c r="J117" s="11" t="s">
        <v>201</v>
      </c>
      <c r="K117" s="11">
        <v>1</v>
      </c>
      <c r="L117" s="11" t="s">
        <v>628</v>
      </c>
      <c r="M117" s="11" t="s">
        <v>203</v>
      </c>
      <c r="Q117" s="11" t="s">
        <v>105</v>
      </c>
      <c r="R117" s="11" t="s">
        <v>106</v>
      </c>
      <c r="S117" s="11" t="s">
        <v>1584</v>
      </c>
      <c r="T117" s="11" t="s">
        <v>107</v>
      </c>
      <c r="U117" s="11" t="s">
        <v>108</v>
      </c>
      <c r="V117" s="11" t="s">
        <v>21</v>
      </c>
      <c r="W117" s="11" t="s">
        <v>618</v>
      </c>
      <c r="X117" s="11" t="s">
        <v>24</v>
      </c>
      <c r="Y117" s="11" t="s">
        <v>24</v>
      </c>
      <c r="Z117" s="11" t="s">
        <v>619</v>
      </c>
      <c r="AC117" s="11" t="s">
        <v>111</v>
      </c>
      <c r="AD117" s="11" t="s">
        <v>184</v>
      </c>
      <c r="AE117" s="11" t="s">
        <v>469</v>
      </c>
      <c r="AF117" s="11">
        <v>4</v>
      </c>
      <c r="AL117" s="11">
        <v>1</v>
      </c>
      <c r="AP117" s="11" t="s">
        <v>21</v>
      </c>
      <c r="AQ117" s="11" t="s">
        <v>192</v>
      </c>
      <c r="AS117" s="11" t="s">
        <v>625</v>
      </c>
      <c r="AT117" s="11">
        <v>3</v>
      </c>
      <c r="BH117" s="11" t="s">
        <v>106</v>
      </c>
      <c r="BI117" s="11" t="s">
        <v>105</v>
      </c>
      <c r="BJ117" s="11" t="s">
        <v>106</v>
      </c>
      <c r="BK117" s="11" t="s">
        <v>106</v>
      </c>
    </row>
    <row r="118" spans="2:63" x14ac:dyDescent="0.45">
      <c r="B118" s="11" t="s">
        <v>21</v>
      </c>
      <c r="C118" s="11" t="s">
        <v>23</v>
      </c>
      <c r="D118" s="11" t="s">
        <v>24</v>
      </c>
      <c r="E118" s="11" t="s">
        <v>25</v>
      </c>
      <c r="F118" s="11" t="s">
        <v>629</v>
      </c>
      <c r="G118" s="11" t="s">
        <v>630</v>
      </c>
      <c r="H118" s="11" t="s">
        <v>21</v>
      </c>
      <c r="I118" s="11" t="s">
        <v>206</v>
      </c>
      <c r="J118" s="11" t="s">
        <v>207</v>
      </c>
      <c r="K118" s="11">
        <v>1</v>
      </c>
      <c r="L118" s="11" t="s">
        <v>631</v>
      </c>
      <c r="M118" s="11" t="s">
        <v>209</v>
      </c>
      <c r="Q118" s="11" t="s">
        <v>105</v>
      </c>
      <c r="R118" s="11" t="s">
        <v>106</v>
      </c>
      <c r="S118" s="11" t="s">
        <v>1584</v>
      </c>
      <c r="T118" s="11" t="s">
        <v>107</v>
      </c>
      <c r="U118" s="11" t="s">
        <v>108</v>
      </c>
      <c r="V118" s="11" t="s">
        <v>21</v>
      </c>
      <c r="W118" s="11" t="s">
        <v>618</v>
      </c>
      <c r="X118" s="11" t="s">
        <v>24</v>
      </c>
      <c r="Y118" s="11" t="s">
        <v>24</v>
      </c>
      <c r="Z118" s="11" t="s">
        <v>619</v>
      </c>
      <c r="AC118" s="11" t="s">
        <v>111</v>
      </c>
      <c r="AD118" s="11" t="s">
        <v>184</v>
      </c>
      <c r="AE118" s="11" t="s">
        <v>469</v>
      </c>
      <c r="AL118" s="11">
        <v>1</v>
      </c>
      <c r="AP118" s="11" t="s">
        <v>21</v>
      </c>
      <c r="AQ118" s="11" t="s">
        <v>192</v>
      </c>
      <c r="AS118" s="11" t="s">
        <v>625</v>
      </c>
      <c r="AT118" s="11">
        <v>3</v>
      </c>
    </row>
    <row r="119" spans="2:63" x14ac:dyDescent="0.45">
      <c r="B119" s="11" t="s">
        <v>21</v>
      </c>
      <c r="C119" s="11" t="s">
        <v>23</v>
      </c>
      <c r="D119" s="11" t="s">
        <v>24</v>
      </c>
      <c r="E119" s="11" t="s">
        <v>25</v>
      </c>
      <c r="F119" s="11" t="s">
        <v>632</v>
      </c>
      <c r="G119" s="11" t="s">
        <v>633</v>
      </c>
      <c r="H119" s="11" t="s">
        <v>21</v>
      </c>
      <c r="I119" s="11" t="s">
        <v>212</v>
      </c>
      <c r="J119" s="11" t="s">
        <v>213</v>
      </c>
      <c r="K119" s="11">
        <v>1</v>
      </c>
      <c r="L119" s="11" t="s">
        <v>634</v>
      </c>
      <c r="M119" s="11" t="s">
        <v>215</v>
      </c>
      <c r="Q119" s="11" t="s">
        <v>105</v>
      </c>
      <c r="R119" s="11" t="s">
        <v>106</v>
      </c>
      <c r="S119" s="11" t="s">
        <v>1584</v>
      </c>
      <c r="T119" s="11" t="s">
        <v>107</v>
      </c>
      <c r="U119" s="11" t="s">
        <v>108</v>
      </c>
      <c r="V119" s="11" t="s">
        <v>21</v>
      </c>
      <c r="W119" s="11" t="s">
        <v>618</v>
      </c>
      <c r="X119" s="11" t="s">
        <v>24</v>
      </c>
      <c r="Y119" s="11" t="s">
        <v>24</v>
      </c>
      <c r="Z119" s="11" t="s">
        <v>619</v>
      </c>
      <c r="AC119" s="11" t="s">
        <v>111</v>
      </c>
      <c r="AD119" s="11" t="s">
        <v>184</v>
      </c>
      <c r="AE119" s="11" t="s">
        <v>469</v>
      </c>
      <c r="AL119" s="11">
        <v>1</v>
      </c>
      <c r="AP119" s="11" t="s">
        <v>21</v>
      </c>
      <c r="AQ119" s="11" t="s">
        <v>192</v>
      </c>
      <c r="AS119" s="11" t="s">
        <v>625</v>
      </c>
      <c r="AT119" s="11">
        <v>3</v>
      </c>
    </row>
    <row r="120" spans="2:63" x14ac:dyDescent="0.45">
      <c r="B120" s="11" t="s">
        <v>21</v>
      </c>
      <c r="C120" s="11" t="s">
        <v>23</v>
      </c>
      <c r="D120" s="11" t="s">
        <v>24</v>
      </c>
      <c r="E120" s="11" t="s">
        <v>25</v>
      </c>
      <c r="F120" s="11" t="s">
        <v>635</v>
      </c>
      <c r="G120" s="11" t="s">
        <v>636</v>
      </c>
      <c r="H120" s="11" t="s">
        <v>21</v>
      </c>
      <c r="I120" s="11" t="s">
        <v>218</v>
      </c>
      <c r="J120" s="11" t="s">
        <v>219</v>
      </c>
      <c r="K120" s="11">
        <v>1</v>
      </c>
      <c r="L120" s="11" t="s">
        <v>637</v>
      </c>
      <c r="M120" s="11" t="s">
        <v>221</v>
      </c>
      <c r="Q120" s="11" t="s">
        <v>105</v>
      </c>
      <c r="R120" s="11" t="s">
        <v>106</v>
      </c>
      <c r="S120" s="11" t="s">
        <v>1584</v>
      </c>
      <c r="T120" s="11" t="s">
        <v>107</v>
      </c>
      <c r="U120" s="11" t="s">
        <v>108</v>
      </c>
      <c r="V120" s="11" t="s">
        <v>21</v>
      </c>
      <c r="W120" s="11" t="s">
        <v>618</v>
      </c>
      <c r="X120" s="11" t="s">
        <v>24</v>
      </c>
      <c r="Y120" s="11" t="s">
        <v>24</v>
      </c>
      <c r="Z120" s="11" t="s">
        <v>619</v>
      </c>
      <c r="AC120" s="11" t="s">
        <v>111</v>
      </c>
      <c r="AD120" s="11" t="s">
        <v>184</v>
      </c>
      <c r="AE120" s="11" t="s">
        <v>469</v>
      </c>
      <c r="AL120" s="11">
        <v>1</v>
      </c>
      <c r="AP120" s="11" t="s">
        <v>21</v>
      </c>
      <c r="AQ120" s="11" t="s">
        <v>192</v>
      </c>
      <c r="AS120" s="11" t="s">
        <v>625</v>
      </c>
      <c r="AT120" s="11">
        <v>3</v>
      </c>
      <c r="BD120" s="11" t="s">
        <v>628</v>
      </c>
    </row>
    <row r="121" spans="2:63" x14ac:dyDescent="0.45">
      <c r="B121" s="11" t="s">
        <v>21</v>
      </c>
      <c r="C121" s="11" t="s">
        <v>23</v>
      </c>
      <c r="D121" s="11" t="s">
        <v>24</v>
      </c>
      <c r="E121" s="11" t="s">
        <v>25</v>
      </c>
      <c r="F121" s="11" t="s">
        <v>638</v>
      </c>
      <c r="G121" s="11" t="s">
        <v>639</v>
      </c>
      <c r="H121" s="11" t="s">
        <v>21</v>
      </c>
      <c r="I121" s="11" t="s">
        <v>640</v>
      </c>
      <c r="J121" s="11" t="s">
        <v>641</v>
      </c>
      <c r="K121" s="11">
        <v>1</v>
      </c>
      <c r="L121" s="11" t="s">
        <v>642</v>
      </c>
      <c r="M121" s="11" t="s">
        <v>643</v>
      </c>
      <c r="Q121" s="11" t="s">
        <v>105</v>
      </c>
      <c r="R121" s="11" t="s">
        <v>106</v>
      </c>
      <c r="S121" s="11" t="s">
        <v>1584</v>
      </c>
      <c r="T121" s="11" t="s">
        <v>107</v>
      </c>
      <c r="U121" s="11" t="s">
        <v>108</v>
      </c>
      <c r="V121" s="11" t="s">
        <v>21</v>
      </c>
      <c r="W121" s="11" t="s">
        <v>618</v>
      </c>
      <c r="X121" s="11" t="s">
        <v>24</v>
      </c>
      <c r="Y121" s="11" t="s">
        <v>24</v>
      </c>
      <c r="Z121" s="11" t="s">
        <v>619</v>
      </c>
      <c r="AC121" s="11" t="s">
        <v>111</v>
      </c>
      <c r="AD121" s="11" t="s">
        <v>184</v>
      </c>
      <c r="AE121" s="11" t="s">
        <v>469</v>
      </c>
      <c r="AL121" s="11">
        <v>1</v>
      </c>
      <c r="AP121" s="11" t="s">
        <v>21</v>
      </c>
      <c r="AQ121" s="11" t="s">
        <v>192</v>
      </c>
      <c r="AS121" s="11" t="s">
        <v>625</v>
      </c>
      <c r="AT121" s="11">
        <v>3</v>
      </c>
      <c r="BA121" s="11">
        <v>1</v>
      </c>
    </row>
    <row r="122" spans="2:63" x14ac:dyDescent="0.45">
      <c r="B122" s="11" t="s">
        <v>21</v>
      </c>
      <c r="C122" s="11" t="s">
        <v>23</v>
      </c>
      <c r="D122" s="11" t="s">
        <v>24</v>
      </c>
      <c r="E122" s="11" t="s">
        <v>25</v>
      </c>
      <c r="F122" s="11" t="s">
        <v>644</v>
      </c>
      <c r="G122" s="11" t="s">
        <v>645</v>
      </c>
      <c r="H122" s="11" t="s">
        <v>21</v>
      </c>
      <c r="I122" s="11" t="s">
        <v>348</v>
      </c>
      <c r="J122" s="11" t="s">
        <v>349</v>
      </c>
      <c r="K122" s="11">
        <v>1</v>
      </c>
      <c r="L122" s="11" t="s">
        <v>646</v>
      </c>
      <c r="M122" s="11" t="s">
        <v>351</v>
      </c>
      <c r="Q122" s="11" t="s">
        <v>105</v>
      </c>
      <c r="R122" s="11" t="s">
        <v>106</v>
      </c>
      <c r="S122" s="11" t="s">
        <v>1584</v>
      </c>
      <c r="T122" s="11" t="s">
        <v>107</v>
      </c>
      <c r="U122" s="11" t="s">
        <v>108</v>
      </c>
      <c r="V122" s="11" t="s">
        <v>21</v>
      </c>
      <c r="W122" s="11" t="s">
        <v>618</v>
      </c>
      <c r="X122" s="11" t="s">
        <v>24</v>
      </c>
      <c r="Y122" s="11" t="s">
        <v>24</v>
      </c>
      <c r="Z122" s="11" t="s">
        <v>619</v>
      </c>
      <c r="AC122" s="11" t="s">
        <v>111</v>
      </c>
      <c r="AD122" s="11" t="s">
        <v>184</v>
      </c>
      <c r="AE122" s="11" t="s">
        <v>352</v>
      </c>
      <c r="AL122" s="11">
        <v>1</v>
      </c>
      <c r="AT122" s="11">
        <v>0</v>
      </c>
    </row>
    <row r="123" spans="2:63" x14ac:dyDescent="0.45">
      <c r="B123" s="11" t="s">
        <v>21</v>
      </c>
      <c r="C123" s="11" t="s">
        <v>23</v>
      </c>
      <c r="D123" s="11" t="s">
        <v>24</v>
      </c>
      <c r="E123" s="11" t="s">
        <v>25</v>
      </c>
      <c r="F123" s="11" t="s">
        <v>647</v>
      </c>
      <c r="G123" s="11" t="s">
        <v>648</v>
      </c>
      <c r="H123" s="11" t="s">
        <v>21</v>
      </c>
      <c r="I123" s="11" t="s">
        <v>243</v>
      </c>
      <c r="J123" s="11" t="s">
        <v>244</v>
      </c>
      <c r="K123" s="11">
        <v>1</v>
      </c>
      <c r="L123" s="11" t="s">
        <v>649</v>
      </c>
      <c r="M123" s="11" t="s">
        <v>246</v>
      </c>
      <c r="Q123" s="11" t="s">
        <v>105</v>
      </c>
      <c r="R123" s="11" t="s">
        <v>106</v>
      </c>
      <c r="S123" s="11" t="s">
        <v>1584</v>
      </c>
      <c r="T123" s="11" t="s">
        <v>107</v>
      </c>
      <c r="U123" s="11" t="s">
        <v>108</v>
      </c>
      <c r="V123" s="11" t="s">
        <v>21</v>
      </c>
      <c r="W123" s="11" t="s">
        <v>618</v>
      </c>
      <c r="X123" s="11" t="s">
        <v>24</v>
      </c>
      <c r="Y123" s="11" t="s">
        <v>24</v>
      </c>
      <c r="Z123" s="11" t="s">
        <v>619</v>
      </c>
      <c r="AC123" s="11" t="s">
        <v>111</v>
      </c>
      <c r="AD123" s="11" t="s">
        <v>184</v>
      </c>
      <c r="AE123" s="11" t="s">
        <v>356</v>
      </c>
      <c r="AL123" s="11">
        <v>1</v>
      </c>
      <c r="AT123" s="11">
        <v>0</v>
      </c>
    </row>
    <row r="124" spans="2:63" x14ac:dyDescent="0.45">
      <c r="B124" s="11" t="s">
        <v>21</v>
      </c>
      <c r="C124" s="11" t="s">
        <v>23</v>
      </c>
      <c r="D124" s="11" t="s">
        <v>24</v>
      </c>
      <c r="E124" s="11" t="s">
        <v>25</v>
      </c>
      <c r="F124" s="11" t="s">
        <v>650</v>
      </c>
      <c r="G124" s="11" t="s">
        <v>651</v>
      </c>
      <c r="H124" s="11" t="s">
        <v>21</v>
      </c>
      <c r="I124" s="11" t="s">
        <v>249</v>
      </c>
      <c r="J124" s="11" t="s">
        <v>225</v>
      </c>
      <c r="K124" s="11">
        <v>1</v>
      </c>
      <c r="L124" s="11" t="s">
        <v>652</v>
      </c>
      <c r="M124" s="11" t="s">
        <v>251</v>
      </c>
      <c r="Q124" s="11" t="s">
        <v>105</v>
      </c>
      <c r="R124" s="11" t="s">
        <v>106</v>
      </c>
      <c r="S124" s="11" t="s">
        <v>1584</v>
      </c>
      <c r="T124" s="11" t="s">
        <v>107</v>
      </c>
      <c r="U124" s="11" t="s">
        <v>108</v>
      </c>
      <c r="V124" s="11" t="s">
        <v>21</v>
      </c>
      <c r="W124" s="11" t="s">
        <v>618</v>
      </c>
      <c r="X124" s="11" t="s">
        <v>24</v>
      </c>
      <c r="Y124" s="11" t="s">
        <v>24</v>
      </c>
      <c r="Z124" s="11" t="s">
        <v>619</v>
      </c>
      <c r="AC124" s="11" t="s">
        <v>111</v>
      </c>
      <c r="AD124" s="11" t="s">
        <v>184</v>
      </c>
      <c r="AE124" s="11" t="s">
        <v>356</v>
      </c>
      <c r="AL124" s="11">
        <v>1</v>
      </c>
      <c r="AT124" s="11">
        <v>0</v>
      </c>
    </row>
    <row r="125" spans="2:63" x14ac:dyDescent="0.45">
      <c r="B125" s="11" t="s">
        <v>21</v>
      </c>
      <c r="C125" s="11" t="s">
        <v>23</v>
      </c>
      <c r="D125" s="11" t="s">
        <v>24</v>
      </c>
      <c r="E125" s="11" t="s">
        <v>25</v>
      </c>
      <c r="F125" s="11" t="s">
        <v>653</v>
      </c>
      <c r="G125" s="11" t="s">
        <v>654</v>
      </c>
      <c r="H125" s="11" t="s">
        <v>21</v>
      </c>
      <c r="I125" s="11" t="s">
        <v>254</v>
      </c>
      <c r="J125" s="11" t="s">
        <v>255</v>
      </c>
      <c r="K125" s="11">
        <v>1</v>
      </c>
      <c r="L125" s="11" t="s">
        <v>655</v>
      </c>
      <c r="M125" s="11" t="s">
        <v>257</v>
      </c>
      <c r="Q125" s="11" t="s">
        <v>105</v>
      </c>
      <c r="R125" s="11" t="s">
        <v>106</v>
      </c>
      <c r="S125" s="11" t="s">
        <v>1584</v>
      </c>
      <c r="T125" s="11" t="s">
        <v>107</v>
      </c>
      <c r="U125" s="11" t="s">
        <v>108</v>
      </c>
      <c r="V125" s="11" t="s">
        <v>21</v>
      </c>
      <c r="W125" s="11" t="s">
        <v>618</v>
      </c>
      <c r="X125" s="11" t="s">
        <v>24</v>
      </c>
      <c r="Y125" s="11" t="s">
        <v>24</v>
      </c>
      <c r="Z125" s="11" t="s">
        <v>619</v>
      </c>
      <c r="AC125" s="11" t="s">
        <v>111</v>
      </c>
      <c r="AD125" s="11" t="s">
        <v>184</v>
      </c>
      <c r="AE125" s="11" t="s">
        <v>356</v>
      </c>
      <c r="AL125" s="11">
        <v>1</v>
      </c>
      <c r="AT125" s="11">
        <v>0</v>
      </c>
    </row>
    <row r="126" spans="2:63" x14ac:dyDescent="0.45">
      <c r="B126" s="11" t="s">
        <v>21</v>
      </c>
      <c r="C126" s="11" t="s">
        <v>23</v>
      </c>
      <c r="D126" s="11" t="s">
        <v>24</v>
      </c>
      <c r="E126" s="11" t="s">
        <v>25</v>
      </c>
      <c r="F126" s="11" t="s">
        <v>656</v>
      </c>
      <c r="G126" s="11" t="s">
        <v>657</v>
      </c>
      <c r="H126" s="11" t="s">
        <v>21</v>
      </c>
      <c r="I126" s="11" t="s">
        <v>243</v>
      </c>
      <c r="J126" s="11" t="s">
        <v>244</v>
      </c>
      <c r="K126" s="11">
        <v>2</v>
      </c>
      <c r="L126" s="11" t="s">
        <v>658</v>
      </c>
      <c r="M126" s="11" t="s">
        <v>246</v>
      </c>
      <c r="Q126" s="11" t="s">
        <v>105</v>
      </c>
      <c r="R126" s="11" t="s">
        <v>106</v>
      </c>
      <c r="S126" s="11" t="s">
        <v>1584</v>
      </c>
      <c r="T126" s="11" t="s">
        <v>107</v>
      </c>
      <c r="U126" s="11" t="s">
        <v>108</v>
      </c>
      <c r="V126" s="11" t="s">
        <v>21</v>
      </c>
      <c r="W126" s="11" t="s">
        <v>618</v>
      </c>
      <c r="X126" s="11" t="s">
        <v>24</v>
      </c>
      <c r="Y126" s="11" t="s">
        <v>24</v>
      </c>
      <c r="Z126" s="11" t="s">
        <v>619</v>
      </c>
      <c r="AC126" s="11" t="s">
        <v>111</v>
      </c>
      <c r="AD126" s="11" t="s">
        <v>184</v>
      </c>
      <c r="AE126" s="11" t="s">
        <v>356</v>
      </c>
      <c r="AL126" s="11">
        <v>1</v>
      </c>
      <c r="AT126" s="11">
        <v>0</v>
      </c>
    </row>
    <row r="127" spans="2:63" x14ac:dyDescent="0.45">
      <c r="B127" s="11" t="s">
        <v>21</v>
      </c>
      <c r="C127" s="11" t="s">
        <v>23</v>
      </c>
      <c r="D127" s="11" t="s">
        <v>24</v>
      </c>
      <c r="E127" s="11" t="s">
        <v>25</v>
      </c>
      <c r="F127" s="11" t="s">
        <v>659</v>
      </c>
      <c r="G127" s="11" t="s">
        <v>660</v>
      </c>
      <c r="H127" s="11" t="s">
        <v>21</v>
      </c>
      <c r="I127" s="11" t="s">
        <v>390</v>
      </c>
      <c r="J127" s="11" t="s">
        <v>391</v>
      </c>
      <c r="K127" s="11">
        <v>2</v>
      </c>
      <c r="L127" s="11" t="s">
        <v>661</v>
      </c>
      <c r="M127" s="11" t="s">
        <v>393</v>
      </c>
      <c r="Q127" s="11" t="s">
        <v>105</v>
      </c>
      <c r="R127" s="11" t="s">
        <v>106</v>
      </c>
      <c r="S127" s="11" t="s">
        <v>1584</v>
      </c>
      <c r="T127" s="11" t="s">
        <v>107</v>
      </c>
      <c r="U127" s="11" t="s">
        <v>108</v>
      </c>
      <c r="V127" s="11" t="s">
        <v>21</v>
      </c>
      <c r="W127" s="11" t="s">
        <v>618</v>
      </c>
      <c r="X127" s="11" t="s">
        <v>24</v>
      </c>
      <c r="Y127" s="11" t="s">
        <v>24</v>
      </c>
      <c r="Z127" s="11" t="s">
        <v>619</v>
      </c>
      <c r="AC127" s="11" t="s">
        <v>111</v>
      </c>
      <c r="AD127" s="11" t="s">
        <v>184</v>
      </c>
      <c r="AE127" s="11" t="s">
        <v>356</v>
      </c>
      <c r="AL127" s="11">
        <v>1</v>
      </c>
      <c r="AT127" s="11">
        <v>0</v>
      </c>
    </row>
    <row r="128" spans="2:63" x14ac:dyDescent="0.45">
      <c r="B128" s="11" t="s">
        <v>21</v>
      </c>
      <c r="C128" s="11" t="s">
        <v>23</v>
      </c>
      <c r="D128" s="11" t="s">
        <v>24</v>
      </c>
      <c r="E128" s="11" t="s">
        <v>25</v>
      </c>
      <c r="F128" s="11" t="s">
        <v>662</v>
      </c>
      <c r="G128" s="11" t="s">
        <v>663</v>
      </c>
      <c r="H128" s="11" t="s">
        <v>21</v>
      </c>
      <c r="I128" s="11" t="s">
        <v>368</v>
      </c>
      <c r="J128" s="11" t="s">
        <v>369</v>
      </c>
      <c r="K128" s="11">
        <v>1</v>
      </c>
      <c r="L128" s="11" t="s">
        <v>664</v>
      </c>
      <c r="M128" s="11" t="s">
        <v>371</v>
      </c>
      <c r="Q128" s="11" t="s">
        <v>105</v>
      </c>
      <c r="R128" s="11" t="s">
        <v>106</v>
      </c>
      <c r="S128" s="11" t="s">
        <v>1584</v>
      </c>
      <c r="T128" s="11" t="s">
        <v>107</v>
      </c>
      <c r="U128" s="11" t="s">
        <v>108</v>
      </c>
      <c r="V128" s="11" t="s">
        <v>21</v>
      </c>
      <c r="W128" s="11" t="s">
        <v>618</v>
      </c>
      <c r="X128" s="11" t="s">
        <v>24</v>
      </c>
      <c r="Y128" s="11" t="s">
        <v>24</v>
      </c>
      <c r="Z128" s="11" t="s">
        <v>619</v>
      </c>
      <c r="AC128" s="11" t="s">
        <v>111</v>
      </c>
      <c r="AD128" s="11" t="s">
        <v>184</v>
      </c>
      <c r="AE128" s="11" t="s">
        <v>356</v>
      </c>
      <c r="AL128" s="11">
        <v>1</v>
      </c>
      <c r="AP128" s="11" t="s">
        <v>21</v>
      </c>
      <c r="AQ128" s="11" t="s">
        <v>273</v>
      </c>
      <c r="AS128" s="11" t="s">
        <v>664</v>
      </c>
      <c r="AT128" s="11">
        <v>2</v>
      </c>
    </row>
    <row r="129" spans="2:53" x14ac:dyDescent="0.45">
      <c r="B129" s="11" t="s">
        <v>21</v>
      </c>
      <c r="C129" s="11" t="s">
        <v>23</v>
      </c>
      <c r="D129" s="11" t="s">
        <v>24</v>
      </c>
      <c r="E129" s="11" t="s">
        <v>25</v>
      </c>
      <c r="F129" s="11" t="s">
        <v>665</v>
      </c>
      <c r="G129" s="11" t="s">
        <v>666</v>
      </c>
      <c r="H129" s="11" t="s">
        <v>21</v>
      </c>
      <c r="I129" s="11" t="s">
        <v>667</v>
      </c>
      <c r="J129" s="11" t="s">
        <v>179</v>
      </c>
      <c r="K129" s="11">
        <v>1</v>
      </c>
      <c r="L129" s="11" t="s">
        <v>668</v>
      </c>
      <c r="M129" s="11" t="s">
        <v>669</v>
      </c>
      <c r="Q129" s="11" t="s">
        <v>105</v>
      </c>
      <c r="R129" s="11" t="s">
        <v>106</v>
      </c>
      <c r="S129" s="11" t="s">
        <v>1584</v>
      </c>
      <c r="T129" s="11" t="s">
        <v>107</v>
      </c>
      <c r="U129" s="11" t="s">
        <v>108</v>
      </c>
      <c r="V129" s="11" t="s">
        <v>21</v>
      </c>
      <c r="W129" s="11" t="s">
        <v>618</v>
      </c>
      <c r="X129" s="11" t="s">
        <v>24</v>
      </c>
      <c r="Y129" s="11" t="s">
        <v>24</v>
      </c>
      <c r="Z129" s="11" t="s">
        <v>619</v>
      </c>
      <c r="AC129" s="11" t="s">
        <v>111</v>
      </c>
      <c r="AD129" s="11" t="s">
        <v>184</v>
      </c>
      <c r="AE129" s="11" t="s">
        <v>352</v>
      </c>
      <c r="AL129" s="11">
        <v>1</v>
      </c>
      <c r="AP129" s="11" t="s">
        <v>21</v>
      </c>
      <c r="AQ129" s="11" t="s">
        <v>294</v>
      </c>
      <c r="AS129" s="11" t="s">
        <v>617</v>
      </c>
      <c r="AT129" s="11">
        <v>2</v>
      </c>
      <c r="BA129" s="11">
        <v>1</v>
      </c>
    </row>
    <row r="130" spans="2:53" x14ac:dyDescent="0.45">
      <c r="B130" s="11" t="s">
        <v>21</v>
      </c>
      <c r="C130" s="11" t="s">
        <v>23</v>
      </c>
      <c r="D130" s="11" t="s">
        <v>24</v>
      </c>
      <c r="E130" s="11" t="s">
        <v>25</v>
      </c>
      <c r="F130" s="11" t="s">
        <v>670</v>
      </c>
      <c r="G130" s="11" t="s">
        <v>671</v>
      </c>
      <c r="H130" s="11" t="s">
        <v>21</v>
      </c>
      <c r="I130" s="11" t="s">
        <v>672</v>
      </c>
      <c r="J130" s="11" t="s">
        <v>179</v>
      </c>
      <c r="K130" s="11">
        <v>1</v>
      </c>
      <c r="L130" s="11" t="s">
        <v>673</v>
      </c>
      <c r="M130" s="11" t="s">
        <v>674</v>
      </c>
      <c r="Q130" s="11" t="s">
        <v>105</v>
      </c>
      <c r="R130" s="11" t="s">
        <v>106</v>
      </c>
      <c r="S130" s="11" t="s">
        <v>1584</v>
      </c>
      <c r="T130" s="11" t="s">
        <v>107</v>
      </c>
      <c r="U130" s="11" t="s">
        <v>108</v>
      </c>
      <c r="V130" s="11" t="s">
        <v>21</v>
      </c>
      <c r="W130" s="11" t="s">
        <v>618</v>
      </c>
      <c r="X130" s="11" t="s">
        <v>24</v>
      </c>
      <c r="Y130" s="11" t="s">
        <v>24</v>
      </c>
      <c r="Z130" s="11" t="s">
        <v>619</v>
      </c>
      <c r="AC130" s="11" t="s">
        <v>111</v>
      </c>
      <c r="AD130" s="11" t="s">
        <v>184</v>
      </c>
      <c r="AE130" s="11" t="s">
        <v>352</v>
      </c>
      <c r="AL130" s="11">
        <v>1</v>
      </c>
      <c r="AP130" s="11" t="s">
        <v>21</v>
      </c>
      <c r="AQ130" s="11" t="s">
        <v>294</v>
      </c>
      <c r="AS130" s="11" t="s">
        <v>617</v>
      </c>
      <c r="AT130" s="11">
        <v>2</v>
      </c>
      <c r="BA130" s="11">
        <v>1</v>
      </c>
    </row>
    <row r="131" spans="2:53" x14ac:dyDescent="0.45">
      <c r="B131" s="11" t="s">
        <v>21</v>
      </c>
      <c r="C131" s="11" t="s">
        <v>23</v>
      </c>
      <c r="D131" s="11" t="s">
        <v>24</v>
      </c>
      <c r="E131" s="11" t="s">
        <v>25</v>
      </c>
      <c r="F131" s="11" t="s">
        <v>675</v>
      </c>
      <c r="G131" s="11" t="s">
        <v>676</v>
      </c>
      <c r="H131" s="11" t="s">
        <v>21</v>
      </c>
      <c r="I131" s="11" t="s">
        <v>237</v>
      </c>
      <c r="J131" s="11" t="s">
        <v>238</v>
      </c>
      <c r="K131" s="11">
        <v>1</v>
      </c>
      <c r="L131" s="11" t="s">
        <v>677</v>
      </c>
      <c r="M131" s="11" t="s">
        <v>240</v>
      </c>
      <c r="Q131" s="11" t="s">
        <v>105</v>
      </c>
      <c r="R131" s="11" t="s">
        <v>106</v>
      </c>
      <c r="S131" s="11" t="s">
        <v>1584</v>
      </c>
      <c r="T131" s="11" t="s">
        <v>107</v>
      </c>
      <c r="U131" s="11" t="s">
        <v>108</v>
      </c>
      <c r="V131" s="11" t="s">
        <v>21</v>
      </c>
      <c r="W131" s="11" t="s">
        <v>618</v>
      </c>
      <c r="X131" s="11" t="s">
        <v>24</v>
      </c>
      <c r="Y131" s="11" t="s">
        <v>24</v>
      </c>
      <c r="Z131" s="11" t="s">
        <v>619</v>
      </c>
      <c r="AC131" s="11" t="s">
        <v>111</v>
      </c>
      <c r="AD131" s="11" t="s">
        <v>184</v>
      </c>
      <c r="AE131" s="11" t="s">
        <v>352</v>
      </c>
      <c r="AL131" s="11">
        <v>1</v>
      </c>
      <c r="AU131" s="11">
        <v>1</v>
      </c>
      <c r="AZ131" s="11">
        <v>1</v>
      </c>
    </row>
    <row r="132" spans="2:53" x14ac:dyDescent="0.45">
      <c r="B132" s="11" t="s">
        <v>21</v>
      </c>
      <c r="C132" s="11" t="s">
        <v>23</v>
      </c>
      <c r="D132" s="11" t="s">
        <v>24</v>
      </c>
      <c r="E132" s="11" t="s">
        <v>25</v>
      </c>
      <c r="F132" s="11" t="s">
        <v>678</v>
      </c>
      <c r="G132" s="11" t="s">
        <v>679</v>
      </c>
      <c r="H132" s="11" t="s">
        <v>21</v>
      </c>
      <c r="I132" s="11" t="s">
        <v>254</v>
      </c>
      <c r="J132" s="11" t="s">
        <v>255</v>
      </c>
      <c r="K132" s="11">
        <v>2</v>
      </c>
      <c r="L132" s="11" t="s">
        <v>680</v>
      </c>
      <c r="M132" s="11" t="s">
        <v>257</v>
      </c>
      <c r="Q132" s="11" t="s">
        <v>105</v>
      </c>
      <c r="R132" s="11" t="s">
        <v>106</v>
      </c>
      <c r="S132" s="11" t="s">
        <v>1584</v>
      </c>
      <c r="T132" s="11" t="s">
        <v>107</v>
      </c>
      <c r="U132" s="11" t="s">
        <v>108</v>
      </c>
      <c r="V132" s="11" t="s">
        <v>21</v>
      </c>
      <c r="W132" s="11" t="s">
        <v>618</v>
      </c>
      <c r="X132" s="11" t="s">
        <v>24</v>
      </c>
      <c r="Y132" s="11" t="s">
        <v>24</v>
      </c>
      <c r="Z132" s="11" t="s">
        <v>619</v>
      </c>
      <c r="AC132" s="11" t="s">
        <v>111</v>
      </c>
      <c r="AD132" s="11" t="s">
        <v>184</v>
      </c>
      <c r="AE132" s="11" t="s">
        <v>352</v>
      </c>
      <c r="AL132" s="11">
        <v>1</v>
      </c>
    </row>
    <row r="133" spans="2:53" x14ac:dyDescent="0.45">
      <c r="B133" s="11" t="s">
        <v>21</v>
      </c>
      <c r="C133" s="11" t="s">
        <v>23</v>
      </c>
      <c r="D133" s="11" t="s">
        <v>24</v>
      </c>
      <c r="E133" s="11" t="s">
        <v>25</v>
      </c>
      <c r="F133" s="11" t="s">
        <v>681</v>
      </c>
      <c r="G133" s="11" t="s">
        <v>682</v>
      </c>
      <c r="H133" s="11" t="s">
        <v>21</v>
      </c>
      <c r="I133" s="11" t="s">
        <v>683</v>
      </c>
      <c r="J133" s="11" t="s">
        <v>684</v>
      </c>
      <c r="K133" s="11">
        <v>1</v>
      </c>
      <c r="L133" s="11" t="s">
        <v>685</v>
      </c>
      <c r="M133" s="11" t="s">
        <v>686</v>
      </c>
      <c r="Q133" s="11" t="s">
        <v>105</v>
      </c>
      <c r="R133" s="11" t="s">
        <v>106</v>
      </c>
      <c r="S133" s="11" t="s">
        <v>1584</v>
      </c>
      <c r="T133" s="11" t="s">
        <v>107</v>
      </c>
      <c r="U133" s="11" t="s">
        <v>108</v>
      </c>
      <c r="V133" s="11" t="s">
        <v>21</v>
      </c>
      <c r="W133" s="11" t="s">
        <v>618</v>
      </c>
      <c r="X133" s="11" t="s">
        <v>24</v>
      </c>
      <c r="Y133" s="11" t="s">
        <v>24</v>
      </c>
      <c r="Z133" s="11" t="s">
        <v>619</v>
      </c>
      <c r="AC133" s="11" t="s">
        <v>111</v>
      </c>
      <c r="AD133" s="11" t="s">
        <v>184</v>
      </c>
      <c r="AE133" s="11" t="s">
        <v>352</v>
      </c>
      <c r="AL133" s="11">
        <v>1</v>
      </c>
      <c r="BA133" s="11">
        <v>1</v>
      </c>
    </row>
    <row r="134" spans="2:53" x14ac:dyDescent="0.45">
      <c r="B134" s="11" t="s">
        <v>21</v>
      </c>
      <c r="C134" s="11" t="s">
        <v>23</v>
      </c>
      <c r="D134" s="11" t="s">
        <v>24</v>
      </c>
      <c r="E134" s="11" t="s">
        <v>25</v>
      </c>
      <c r="F134" s="11" t="s">
        <v>687</v>
      </c>
      <c r="G134" s="11" t="s">
        <v>688</v>
      </c>
      <c r="H134" s="11" t="s">
        <v>21</v>
      </c>
      <c r="I134" s="11" t="s">
        <v>178</v>
      </c>
      <c r="J134" s="11" t="s">
        <v>179</v>
      </c>
      <c r="K134" s="11">
        <v>1</v>
      </c>
      <c r="L134" s="11" t="s">
        <v>689</v>
      </c>
      <c r="M134" s="11" t="s">
        <v>181</v>
      </c>
      <c r="Q134" s="11" t="s">
        <v>105</v>
      </c>
      <c r="R134" s="11" t="s">
        <v>106</v>
      </c>
      <c r="S134" s="11" t="s">
        <v>1584</v>
      </c>
      <c r="T134" s="11" t="s">
        <v>107</v>
      </c>
      <c r="U134" s="11" t="s">
        <v>108</v>
      </c>
      <c r="V134" s="11" t="s">
        <v>21</v>
      </c>
      <c r="W134" s="11" t="s">
        <v>618</v>
      </c>
      <c r="X134" s="11" t="s">
        <v>24</v>
      </c>
      <c r="Y134" s="11" t="s">
        <v>24</v>
      </c>
      <c r="Z134" s="11" t="s">
        <v>619</v>
      </c>
      <c r="AC134" s="11" t="s">
        <v>111</v>
      </c>
      <c r="AD134" s="11" t="s">
        <v>184</v>
      </c>
      <c r="AE134" s="11" t="s">
        <v>352</v>
      </c>
      <c r="AL134" s="11">
        <v>1</v>
      </c>
    </row>
    <row r="135" spans="2:53" x14ac:dyDescent="0.45">
      <c r="B135" s="11" t="s">
        <v>21</v>
      </c>
      <c r="C135" s="11" t="s">
        <v>23</v>
      </c>
      <c r="D135" s="11" t="s">
        <v>24</v>
      </c>
      <c r="E135" s="11" t="s">
        <v>25</v>
      </c>
      <c r="F135" s="11" t="s">
        <v>690</v>
      </c>
      <c r="G135" s="11" t="s">
        <v>691</v>
      </c>
      <c r="H135" s="11" t="s">
        <v>21</v>
      </c>
      <c r="I135" s="11" t="s">
        <v>692</v>
      </c>
      <c r="J135" s="11" t="s">
        <v>428</v>
      </c>
      <c r="K135" s="11">
        <v>1</v>
      </c>
      <c r="L135" s="11" t="s">
        <v>693</v>
      </c>
      <c r="M135" s="11" t="s">
        <v>694</v>
      </c>
      <c r="Q135" s="11" t="s">
        <v>105</v>
      </c>
      <c r="R135" s="11" t="s">
        <v>106</v>
      </c>
      <c r="S135" s="11" t="s">
        <v>1584</v>
      </c>
      <c r="T135" s="11" t="s">
        <v>107</v>
      </c>
      <c r="U135" s="11" t="s">
        <v>108</v>
      </c>
      <c r="V135" s="11" t="s">
        <v>21</v>
      </c>
      <c r="W135" s="11" t="s">
        <v>618</v>
      </c>
      <c r="X135" s="11" t="s">
        <v>24</v>
      </c>
      <c r="Y135" s="11" t="s">
        <v>24</v>
      </c>
      <c r="Z135" s="11" t="s">
        <v>619</v>
      </c>
      <c r="AC135" s="11" t="s">
        <v>111</v>
      </c>
      <c r="AD135" s="11" t="s">
        <v>184</v>
      </c>
      <c r="AE135" s="11" t="s">
        <v>352</v>
      </c>
      <c r="AL135" s="11">
        <v>1</v>
      </c>
      <c r="BA135" s="11">
        <v>1</v>
      </c>
    </row>
    <row r="136" spans="2:53" x14ac:dyDescent="0.45">
      <c r="B136" s="11" t="s">
        <v>21</v>
      </c>
      <c r="C136" s="11" t="s">
        <v>23</v>
      </c>
      <c r="D136" s="11" t="s">
        <v>24</v>
      </c>
      <c r="E136" s="11" t="s">
        <v>25</v>
      </c>
      <c r="F136" s="11" t="s">
        <v>695</v>
      </c>
      <c r="G136" s="11" t="s">
        <v>696</v>
      </c>
      <c r="H136" s="11" t="s">
        <v>21</v>
      </c>
      <c r="I136" s="11" t="s">
        <v>500</v>
      </c>
      <c r="J136" s="11" t="s">
        <v>501</v>
      </c>
      <c r="K136" s="11">
        <v>1</v>
      </c>
      <c r="L136" s="11" t="s">
        <v>697</v>
      </c>
      <c r="M136" s="11" t="s">
        <v>503</v>
      </c>
      <c r="Q136" s="11" t="s">
        <v>105</v>
      </c>
      <c r="R136" s="11" t="s">
        <v>106</v>
      </c>
      <c r="S136" s="11" t="s">
        <v>1584</v>
      </c>
      <c r="T136" s="11" t="s">
        <v>107</v>
      </c>
      <c r="U136" s="11" t="s">
        <v>108</v>
      </c>
      <c r="V136" s="11" t="s">
        <v>21</v>
      </c>
      <c r="W136" s="11" t="s">
        <v>618</v>
      </c>
      <c r="X136" s="11" t="s">
        <v>24</v>
      </c>
      <c r="Y136" s="11" t="s">
        <v>24</v>
      </c>
      <c r="Z136" s="11" t="s">
        <v>619</v>
      </c>
      <c r="AC136" s="11" t="s">
        <v>111</v>
      </c>
      <c r="AD136" s="11" t="s">
        <v>184</v>
      </c>
      <c r="AE136" s="11" t="s">
        <v>352</v>
      </c>
      <c r="AL136" s="11">
        <v>1</v>
      </c>
    </row>
    <row r="137" spans="2:53" x14ac:dyDescent="0.45">
      <c r="B137" s="11" t="s">
        <v>21</v>
      </c>
      <c r="C137" s="11" t="s">
        <v>23</v>
      </c>
      <c r="D137" s="11" t="s">
        <v>24</v>
      </c>
      <c r="E137" s="11" t="s">
        <v>25</v>
      </c>
      <c r="F137" s="11" t="s">
        <v>698</v>
      </c>
      <c r="G137" s="11" t="s">
        <v>699</v>
      </c>
      <c r="H137" s="11" t="s">
        <v>21</v>
      </c>
      <c r="I137" s="11" t="s">
        <v>410</v>
      </c>
      <c r="J137" s="11" t="s">
        <v>324</v>
      </c>
      <c r="K137" s="11">
        <v>1</v>
      </c>
      <c r="L137" s="11" t="s">
        <v>700</v>
      </c>
      <c r="M137" s="11" t="s">
        <v>412</v>
      </c>
      <c r="Q137" s="11" t="s">
        <v>105</v>
      </c>
      <c r="R137" s="11" t="s">
        <v>106</v>
      </c>
      <c r="S137" s="11" t="s">
        <v>1584</v>
      </c>
      <c r="T137" s="11" t="s">
        <v>107</v>
      </c>
      <c r="U137" s="11" t="s">
        <v>108</v>
      </c>
      <c r="V137" s="11" t="s">
        <v>21</v>
      </c>
      <c r="W137" s="11" t="s">
        <v>618</v>
      </c>
      <c r="X137" s="11" t="s">
        <v>24</v>
      </c>
      <c r="Y137" s="11" t="s">
        <v>24</v>
      </c>
      <c r="Z137" s="11" t="s">
        <v>619</v>
      </c>
      <c r="AC137" s="11" t="s">
        <v>111</v>
      </c>
      <c r="AD137" s="11" t="s">
        <v>184</v>
      </c>
      <c r="AE137" s="11" t="s">
        <v>168</v>
      </c>
      <c r="AL137" s="11">
        <v>1</v>
      </c>
    </row>
    <row r="138" spans="2:53" x14ac:dyDescent="0.45">
      <c r="B138" s="11" t="s">
        <v>21</v>
      </c>
      <c r="C138" s="11" t="s">
        <v>23</v>
      </c>
      <c r="D138" s="11" t="s">
        <v>24</v>
      </c>
      <c r="E138" s="11" t="s">
        <v>25</v>
      </c>
      <c r="F138" s="11" t="s">
        <v>701</v>
      </c>
      <c r="G138" s="11" t="s">
        <v>702</v>
      </c>
      <c r="H138" s="11" t="s">
        <v>21</v>
      </c>
      <c r="I138" s="11" t="s">
        <v>427</v>
      </c>
      <c r="J138" s="11" t="s">
        <v>428</v>
      </c>
      <c r="K138" s="11">
        <v>1</v>
      </c>
      <c r="L138" s="11" t="s">
        <v>703</v>
      </c>
      <c r="M138" s="11" t="s">
        <v>430</v>
      </c>
      <c r="Q138" s="11" t="s">
        <v>704</v>
      </c>
      <c r="R138" s="11" t="s">
        <v>417</v>
      </c>
      <c r="T138" s="11" t="s">
        <v>705</v>
      </c>
      <c r="U138" s="11" t="s">
        <v>706</v>
      </c>
      <c r="V138" s="11" t="s">
        <v>21</v>
      </c>
      <c r="W138" s="11" t="s">
        <v>707</v>
      </c>
      <c r="X138" s="11" t="s">
        <v>417</v>
      </c>
      <c r="Y138" s="11" t="s">
        <v>24</v>
      </c>
      <c r="Z138" s="11" t="s">
        <v>708</v>
      </c>
      <c r="AC138" s="11" t="s">
        <v>111</v>
      </c>
      <c r="AD138" s="11" t="s">
        <v>709</v>
      </c>
      <c r="AE138" s="11" t="s">
        <v>113</v>
      </c>
      <c r="AL138" s="11">
        <v>1</v>
      </c>
      <c r="AU138" s="11">
        <v>1</v>
      </c>
      <c r="AY138" s="11">
        <v>1</v>
      </c>
      <c r="AZ138" s="11">
        <v>1</v>
      </c>
    </row>
    <row r="139" spans="2:53" x14ac:dyDescent="0.45">
      <c r="B139" s="11" t="s">
        <v>21</v>
      </c>
      <c r="C139" s="11" t="s">
        <v>23</v>
      </c>
      <c r="D139" s="11" t="s">
        <v>24</v>
      </c>
      <c r="E139" s="11" t="s">
        <v>25</v>
      </c>
      <c r="F139" s="11" t="s">
        <v>710</v>
      </c>
      <c r="G139" s="11" t="s">
        <v>711</v>
      </c>
      <c r="H139" s="11" t="s">
        <v>21</v>
      </c>
      <c r="I139" s="11" t="s">
        <v>427</v>
      </c>
      <c r="J139" s="11" t="s">
        <v>428</v>
      </c>
      <c r="K139" s="11">
        <v>2</v>
      </c>
      <c r="L139" s="11" t="s">
        <v>712</v>
      </c>
      <c r="M139" s="11" t="s">
        <v>430</v>
      </c>
      <c r="Q139" s="11" t="s">
        <v>713</v>
      </c>
      <c r="R139" s="11" t="s">
        <v>417</v>
      </c>
      <c r="T139" s="11" t="s">
        <v>714</v>
      </c>
      <c r="U139" s="11" t="s">
        <v>715</v>
      </c>
      <c r="V139" s="11" t="s">
        <v>21</v>
      </c>
      <c r="W139" s="11" t="s">
        <v>707</v>
      </c>
      <c r="X139" s="11" t="s">
        <v>417</v>
      </c>
      <c r="Y139" s="11" t="s">
        <v>24</v>
      </c>
      <c r="Z139" s="11" t="s">
        <v>708</v>
      </c>
      <c r="AC139" s="11" t="s">
        <v>111</v>
      </c>
      <c r="AD139" s="11" t="s">
        <v>709</v>
      </c>
      <c r="AE139" s="11" t="s">
        <v>113</v>
      </c>
      <c r="AL139" s="11">
        <v>1</v>
      </c>
      <c r="AU139" s="11">
        <v>1</v>
      </c>
      <c r="AY139" s="11">
        <v>1</v>
      </c>
      <c r="AZ139" s="11">
        <v>2</v>
      </c>
    </row>
    <row r="140" spans="2:53" x14ac:dyDescent="0.45">
      <c r="B140" s="11" t="s">
        <v>21</v>
      </c>
      <c r="C140" s="11" t="s">
        <v>23</v>
      </c>
      <c r="D140" s="11" t="s">
        <v>24</v>
      </c>
      <c r="E140" s="11" t="s">
        <v>25</v>
      </c>
      <c r="F140" s="11" t="s">
        <v>716</v>
      </c>
      <c r="G140" s="11" t="s">
        <v>717</v>
      </c>
      <c r="H140" s="11" t="s">
        <v>21</v>
      </c>
      <c r="I140" s="11" t="s">
        <v>718</v>
      </c>
      <c r="J140" s="11" t="s">
        <v>719</v>
      </c>
      <c r="K140" s="11">
        <v>1</v>
      </c>
      <c r="L140" s="11" t="s">
        <v>720</v>
      </c>
      <c r="M140" s="11" t="s">
        <v>721</v>
      </c>
      <c r="Q140" s="11" t="s">
        <v>722</v>
      </c>
      <c r="R140" s="11" t="s">
        <v>25</v>
      </c>
      <c r="T140" s="11" t="s">
        <v>723</v>
      </c>
      <c r="U140" s="11" t="s">
        <v>724</v>
      </c>
      <c r="V140" s="11" t="s">
        <v>21</v>
      </c>
      <c r="W140" s="11" t="s">
        <v>707</v>
      </c>
      <c r="X140" s="11" t="s">
        <v>417</v>
      </c>
      <c r="Y140" s="11" t="s">
        <v>24</v>
      </c>
      <c r="Z140" s="11" t="s">
        <v>708</v>
      </c>
      <c r="AC140" s="11" t="s">
        <v>111</v>
      </c>
      <c r="AD140" s="11" t="s">
        <v>709</v>
      </c>
      <c r="AE140" s="11" t="s">
        <v>138</v>
      </c>
      <c r="AL140" s="11">
        <v>1</v>
      </c>
      <c r="AU140" s="11">
        <v>1</v>
      </c>
      <c r="AY140" s="11">
        <v>1</v>
      </c>
      <c r="AZ140" s="11">
        <v>2</v>
      </c>
    </row>
    <row r="141" spans="2:53" x14ac:dyDescent="0.45">
      <c r="B141" s="11" t="s">
        <v>21</v>
      </c>
      <c r="C141" s="11" t="s">
        <v>23</v>
      </c>
      <c r="D141" s="11" t="s">
        <v>24</v>
      </c>
      <c r="E141" s="11" t="s">
        <v>25</v>
      </c>
      <c r="F141" s="11" t="s">
        <v>725</v>
      </c>
      <c r="G141" s="11" t="s">
        <v>726</v>
      </c>
      <c r="H141" s="11" t="s">
        <v>21</v>
      </c>
      <c r="I141" s="11" t="s">
        <v>141</v>
      </c>
      <c r="J141" s="11" t="s">
        <v>142</v>
      </c>
      <c r="K141" s="11">
        <v>1</v>
      </c>
      <c r="L141" s="11" t="s">
        <v>727</v>
      </c>
      <c r="M141" s="11" t="s">
        <v>144</v>
      </c>
      <c r="Q141" s="11" t="s">
        <v>728</v>
      </c>
      <c r="R141" s="11" t="s">
        <v>417</v>
      </c>
      <c r="T141" s="11" t="s">
        <v>146</v>
      </c>
      <c r="U141" s="11" t="s">
        <v>729</v>
      </c>
      <c r="V141" s="11" t="s">
        <v>21</v>
      </c>
      <c r="W141" s="11" t="s">
        <v>707</v>
      </c>
      <c r="X141" s="11" t="s">
        <v>417</v>
      </c>
      <c r="Y141" s="11" t="s">
        <v>24</v>
      </c>
      <c r="Z141" s="11" t="s">
        <v>708</v>
      </c>
      <c r="AC141" s="11" t="s">
        <v>111</v>
      </c>
      <c r="AD141" s="11" t="s">
        <v>709</v>
      </c>
      <c r="AE141" s="11" t="s">
        <v>113</v>
      </c>
      <c r="AL141" s="11">
        <v>1</v>
      </c>
      <c r="AU141" s="11">
        <v>1</v>
      </c>
      <c r="AY141" s="11">
        <v>1</v>
      </c>
      <c r="AZ141" s="11">
        <v>2</v>
      </c>
      <c r="BA141" s="11">
        <v>1</v>
      </c>
    </row>
    <row r="142" spans="2:53" x14ac:dyDescent="0.45">
      <c r="B142" s="11" t="s">
        <v>21</v>
      </c>
      <c r="C142" s="11" t="s">
        <v>23</v>
      </c>
      <c r="D142" s="11" t="s">
        <v>24</v>
      </c>
      <c r="E142" s="11" t="s">
        <v>25</v>
      </c>
      <c r="F142" s="11" t="s">
        <v>730</v>
      </c>
      <c r="G142" s="11" t="s">
        <v>731</v>
      </c>
      <c r="H142" s="11" t="s">
        <v>21</v>
      </c>
      <c r="I142" s="11" t="s">
        <v>164</v>
      </c>
      <c r="J142" s="11" t="s">
        <v>165</v>
      </c>
      <c r="K142" s="11">
        <v>1</v>
      </c>
      <c r="L142" s="11" t="s">
        <v>732</v>
      </c>
      <c r="M142" s="11" t="s">
        <v>167</v>
      </c>
      <c r="Q142" s="11" t="s">
        <v>105</v>
      </c>
      <c r="R142" s="11" t="s">
        <v>106</v>
      </c>
      <c r="S142" s="11" t="s">
        <v>1584</v>
      </c>
      <c r="T142" s="11" t="s">
        <v>107</v>
      </c>
      <c r="U142" s="11" t="s">
        <v>108</v>
      </c>
      <c r="V142" s="11" t="s">
        <v>21</v>
      </c>
      <c r="W142" s="11" t="s">
        <v>707</v>
      </c>
      <c r="X142" s="11" t="s">
        <v>417</v>
      </c>
      <c r="Y142" s="11" t="s">
        <v>24</v>
      </c>
      <c r="Z142" s="11" t="s">
        <v>708</v>
      </c>
      <c r="AC142" s="11" t="s">
        <v>111</v>
      </c>
      <c r="AD142" s="11" t="s">
        <v>128</v>
      </c>
      <c r="AE142" s="11" t="s">
        <v>168</v>
      </c>
      <c r="AL142" s="11">
        <v>1</v>
      </c>
    </row>
    <row r="143" spans="2:53" x14ac:dyDescent="0.45">
      <c r="B143" s="11" t="s">
        <v>21</v>
      </c>
      <c r="C143" s="11" t="s">
        <v>23</v>
      </c>
      <c r="D143" s="11" t="s">
        <v>24</v>
      </c>
      <c r="E143" s="11" t="s">
        <v>25</v>
      </c>
      <c r="F143" s="11" t="s">
        <v>733</v>
      </c>
      <c r="G143" s="11" t="s">
        <v>734</v>
      </c>
      <c r="H143" s="11" t="s">
        <v>21</v>
      </c>
      <c r="I143" s="11" t="s">
        <v>178</v>
      </c>
      <c r="J143" s="11" t="s">
        <v>179</v>
      </c>
      <c r="K143" s="11">
        <v>1</v>
      </c>
      <c r="L143" s="11" t="s">
        <v>735</v>
      </c>
      <c r="M143" s="11" t="s">
        <v>181</v>
      </c>
      <c r="Q143" s="11" t="s">
        <v>105</v>
      </c>
      <c r="R143" s="11" t="s">
        <v>106</v>
      </c>
      <c r="S143" s="11" t="s">
        <v>1584</v>
      </c>
      <c r="T143" s="11" t="s">
        <v>107</v>
      </c>
      <c r="U143" s="11" t="s">
        <v>108</v>
      </c>
      <c r="V143" s="11" t="s">
        <v>21</v>
      </c>
      <c r="W143" s="11" t="s">
        <v>736</v>
      </c>
      <c r="X143" s="11" t="s">
        <v>24</v>
      </c>
      <c r="Y143" s="11" t="s">
        <v>417</v>
      </c>
      <c r="Z143" s="11" t="s">
        <v>737</v>
      </c>
      <c r="AC143" s="11" t="s">
        <v>111</v>
      </c>
      <c r="AD143" s="11" t="s">
        <v>738</v>
      </c>
      <c r="AE143" s="11" t="s">
        <v>739</v>
      </c>
      <c r="AL143" s="11">
        <v>1</v>
      </c>
      <c r="AP143" s="11" t="s">
        <v>21</v>
      </c>
      <c r="AQ143" s="11" t="s">
        <v>185</v>
      </c>
      <c r="AS143" s="11" t="s">
        <v>735</v>
      </c>
      <c r="AT143" s="11">
        <v>3</v>
      </c>
      <c r="AU143" s="11">
        <v>1</v>
      </c>
      <c r="AV143" s="11" t="s">
        <v>740</v>
      </c>
      <c r="AW143" s="11">
        <v>15</v>
      </c>
      <c r="AX143" s="11">
        <v>20</v>
      </c>
    </row>
    <row r="144" spans="2:53" x14ac:dyDescent="0.45">
      <c r="B144" s="11" t="s">
        <v>21</v>
      </c>
      <c r="C144" s="11" t="s">
        <v>23</v>
      </c>
      <c r="D144" s="11" t="s">
        <v>24</v>
      </c>
      <c r="E144" s="11" t="s">
        <v>25</v>
      </c>
      <c r="F144" s="11" t="s">
        <v>741</v>
      </c>
      <c r="G144" s="11" t="s">
        <v>742</v>
      </c>
      <c r="H144" s="11" t="s">
        <v>21</v>
      </c>
      <c r="I144" s="11" t="s">
        <v>189</v>
      </c>
      <c r="J144" s="11" t="s">
        <v>190</v>
      </c>
      <c r="K144" s="11">
        <v>1</v>
      </c>
      <c r="L144" s="11" t="s">
        <v>740</v>
      </c>
      <c r="M144" s="11" t="s">
        <v>191</v>
      </c>
      <c r="Q144" s="11" t="s">
        <v>105</v>
      </c>
      <c r="R144" s="11" t="s">
        <v>106</v>
      </c>
      <c r="S144" s="11" t="s">
        <v>1584</v>
      </c>
      <c r="T144" s="11" t="s">
        <v>107</v>
      </c>
      <c r="U144" s="11" t="s">
        <v>108</v>
      </c>
      <c r="V144" s="11" t="s">
        <v>21</v>
      </c>
      <c r="W144" s="11" t="s">
        <v>736</v>
      </c>
      <c r="X144" s="11" t="s">
        <v>24</v>
      </c>
      <c r="Y144" s="11" t="s">
        <v>417</v>
      </c>
      <c r="Z144" s="11" t="s">
        <v>737</v>
      </c>
      <c r="AC144" s="11" t="s">
        <v>111</v>
      </c>
      <c r="AD144" s="11" t="s">
        <v>743</v>
      </c>
      <c r="AE144" s="11" t="s">
        <v>469</v>
      </c>
      <c r="AL144" s="11">
        <v>1</v>
      </c>
      <c r="AP144" s="11" t="s">
        <v>21</v>
      </c>
      <c r="AQ144" s="11" t="s">
        <v>192</v>
      </c>
      <c r="AS144" s="11" t="s">
        <v>740</v>
      </c>
      <c r="AT144" s="11">
        <v>3</v>
      </c>
      <c r="AU144" s="11">
        <v>1</v>
      </c>
    </row>
    <row r="145" spans="2:63" x14ac:dyDescent="0.45">
      <c r="B145" s="11" t="s">
        <v>21</v>
      </c>
      <c r="C145" s="11" t="s">
        <v>23</v>
      </c>
      <c r="D145" s="11" t="s">
        <v>24</v>
      </c>
      <c r="E145" s="11" t="s">
        <v>25</v>
      </c>
      <c r="F145" s="11" t="s">
        <v>744</v>
      </c>
      <c r="G145" s="11" t="s">
        <v>745</v>
      </c>
      <c r="H145" s="11" t="s">
        <v>21</v>
      </c>
      <c r="I145" s="11" t="s">
        <v>200</v>
      </c>
      <c r="J145" s="11" t="s">
        <v>201</v>
      </c>
      <c r="K145" s="11">
        <v>1</v>
      </c>
      <c r="L145" s="11" t="s">
        <v>746</v>
      </c>
      <c r="M145" s="11" t="s">
        <v>203</v>
      </c>
      <c r="Q145" s="11" t="s">
        <v>105</v>
      </c>
      <c r="R145" s="11" t="s">
        <v>106</v>
      </c>
      <c r="S145" s="11" t="s">
        <v>1584</v>
      </c>
      <c r="T145" s="11" t="s">
        <v>107</v>
      </c>
      <c r="U145" s="11" t="s">
        <v>108</v>
      </c>
      <c r="V145" s="11" t="s">
        <v>21</v>
      </c>
      <c r="W145" s="11" t="s">
        <v>736</v>
      </c>
      <c r="X145" s="11" t="s">
        <v>24</v>
      </c>
      <c r="Y145" s="11" t="s">
        <v>417</v>
      </c>
      <c r="Z145" s="11" t="s">
        <v>737</v>
      </c>
      <c r="AC145" s="11" t="s">
        <v>111</v>
      </c>
      <c r="AD145" s="11" t="s">
        <v>743</v>
      </c>
      <c r="AE145" s="11" t="s">
        <v>469</v>
      </c>
      <c r="AF145" s="11">
        <v>5</v>
      </c>
      <c r="AL145" s="11">
        <v>1</v>
      </c>
      <c r="AP145" s="11" t="s">
        <v>21</v>
      </c>
      <c r="AQ145" s="11" t="s">
        <v>192</v>
      </c>
      <c r="AS145" s="11" t="s">
        <v>740</v>
      </c>
      <c r="AT145" s="11">
        <v>3</v>
      </c>
      <c r="BH145" s="11" t="s">
        <v>106</v>
      </c>
      <c r="BI145" s="11" t="s">
        <v>105</v>
      </c>
      <c r="BJ145" s="11" t="s">
        <v>106</v>
      </c>
      <c r="BK145" s="11" t="s">
        <v>106</v>
      </c>
    </row>
    <row r="146" spans="2:63" x14ac:dyDescent="0.45">
      <c r="B146" s="11" t="s">
        <v>21</v>
      </c>
      <c r="C146" s="11" t="s">
        <v>23</v>
      </c>
      <c r="D146" s="11" t="s">
        <v>24</v>
      </c>
      <c r="E146" s="11" t="s">
        <v>25</v>
      </c>
      <c r="F146" s="11" t="s">
        <v>747</v>
      </c>
      <c r="G146" s="11" t="s">
        <v>748</v>
      </c>
      <c r="H146" s="11" t="s">
        <v>21</v>
      </c>
      <c r="I146" s="11" t="s">
        <v>206</v>
      </c>
      <c r="J146" s="11" t="s">
        <v>207</v>
      </c>
      <c r="K146" s="11">
        <v>1</v>
      </c>
      <c r="L146" s="11" t="s">
        <v>749</v>
      </c>
      <c r="M146" s="11" t="s">
        <v>209</v>
      </c>
      <c r="Q146" s="11" t="s">
        <v>105</v>
      </c>
      <c r="R146" s="11" t="s">
        <v>106</v>
      </c>
      <c r="S146" s="11" t="s">
        <v>1584</v>
      </c>
      <c r="T146" s="11" t="s">
        <v>107</v>
      </c>
      <c r="U146" s="11" t="s">
        <v>108</v>
      </c>
      <c r="V146" s="11" t="s">
        <v>21</v>
      </c>
      <c r="W146" s="11" t="s">
        <v>736</v>
      </c>
      <c r="X146" s="11" t="s">
        <v>24</v>
      </c>
      <c r="Y146" s="11" t="s">
        <v>417</v>
      </c>
      <c r="Z146" s="11" t="s">
        <v>737</v>
      </c>
      <c r="AC146" s="11" t="s">
        <v>111</v>
      </c>
      <c r="AD146" s="11" t="s">
        <v>743</v>
      </c>
      <c r="AE146" s="11" t="s">
        <v>469</v>
      </c>
      <c r="AL146" s="11">
        <v>1</v>
      </c>
      <c r="AP146" s="11" t="s">
        <v>21</v>
      </c>
      <c r="AQ146" s="11" t="s">
        <v>192</v>
      </c>
      <c r="AS146" s="11" t="s">
        <v>740</v>
      </c>
      <c r="AT146" s="11">
        <v>3</v>
      </c>
    </row>
    <row r="147" spans="2:63" x14ac:dyDescent="0.45">
      <c r="B147" s="11" t="s">
        <v>21</v>
      </c>
      <c r="C147" s="11" t="s">
        <v>23</v>
      </c>
      <c r="D147" s="11" t="s">
        <v>24</v>
      </c>
      <c r="E147" s="11" t="s">
        <v>25</v>
      </c>
      <c r="F147" s="11" t="s">
        <v>750</v>
      </c>
      <c r="G147" s="11" t="s">
        <v>751</v>
      </c>
      <c r="H147" s="11" t="s">
        <v>21</v>
      </c>
      <c r="I147" s="11" t="s">
        <v>212</v>
      </c>
      <c r="J147" s="11" t="s">
        <v>213</v>
      </c>
      <c r="K147" s="11">
        <v>1</v>
      </c>
      <c r="L147" s="11" t="s">
        <v>752</v>
      </c>
      <c r="M147" s="11" t="s">
        <v>215</v>
      </c>
      <c r="Q147" s="11" t="s">
        <v>105</v>
      </c>
      <c r="R147" s="11" t="s">
        <v>106</v>
      </c>
      <c r="S147" s="11" t="s">
        <v>1584</v>
      </c>
      <c r="T147" s="11" t="s">
        <v>107</v>
      </c>
      <c r="U147" s="11" t="s">
        <v>108</v>
      </c>
      <c r="V147" s="11" t="s">
        <v>21</v>
      </c>
      <c r="W147" s="11" t="s">
        <v>736</v>
      </c>
      <c r="X147" s="11" t="s">
        <v>24</v>
      </c>
      <c r="Y147" s="11" t="s">
        <v>417</v>
      </c>
      <c r="Z147" s="11" t="s">
        <v>737</v>
      </c>
      <c r="AC147" s="11" t="s">
        <v>111</v>
      </c>
      <c r="AD147" s="11" t="s">
        <v>743</v>
      </c>
      <c r="AE147" s="11" t="s">
        <v>469</v>
      </c>
      <c r="AL147" s="11">
        <v>1</v>
      </c>
      <c r="AP147" s="11" t="s">
        <v>21</v>
      </c>
      <c r="AQ147" s="11" t="s">
        <v>192</v>
      </c>
      <c r="AS147" s="11" t="s">
        <v>740</v>
      </c>
      <c r="AT147" s="11">
        <v>3</v>
      </c>
    </row>
    <row r="148" spans="2:63" x14ac:dyDescent="0.45">
      <c r="B148" s="11" t="s">
        <v>21</v>
      </c>
      <c r="C148" s="11" t="s">
        <v>23</v>
      </c>
      <c r="D148" s="11" t="s">
        <v>24</v>
      </c>
      <c r="E148" s="11" t="s">
        <v>25</v>
      </c>
      <c r="F148" s="11" t="s">
        <v>753</v>
      </c>
      <c r="G148" s="11" t="s">
        <v>754</v>
      </c>
      <c r="H148" s="11" t="s">
        <v>21</v>
      </c>
      <c r="I148" s="11" t="s">
        <v>218</v>
      </c>
      <c r="J148" s="11" t="s">
        <v>219</v>
      </c>
      <c r="K148" s="11">
        <v>1</v>
      </c>
      <c r="L148" s="11" t="s">
        <v>755</v>
      </c>
      <c r="M148" s="11" t="s">
        <v>221</v>
      </c>
      <c r="Q148" s="11" t="s">
        <v>105</v>
      </c>
      <c r="R148" s="11" t="s">
        <v>106</v>
      </c>
      <c r="S148" s="11" t="s">
        <v>1584</v>
      </c>
      <c r="T148" s="11" t="s">
        <v>107</v>
      </c>
      <c r="U148" s="11" t="s">
        <v>108</v>
      </c>
      <c r="V148" s="11" t="s">
        <v>21</v>
      </c>
      <c r="W148" s="11" t="s">
        <v>736</v>
      </c>
      <c r="X148" s="11" t="s">
        <v>24</v>
      </c>
      <c r="Y148" s="11" t="s">
        <v>417</v>
      </c>
      <c r="Z148" s="11" t="s">
        <v>737</v>
      </c>
      <c r="AC148" s="11" t="s">
        <v>111</v>
      </c>
      <c r="AD148" s="11" t="s">
        <v>743</v>
      </c>
      <c r="AE148" s="11" t="s">
        <v>469</v>
      </c>
      <c r="AL148" s="11">
        <v>1</v>
      </c>
      <c r="AP148" s="11" t="s">
        <v>21</v>
      </c>
      <c r="AQ148" s="11" t="s">
        <v>192</v>
      </c>
      <c r="AS148" s="11" t="s">
        <v>740</v>
      </c>
      <c r="AT148" s="11">
        <v>3</v>
      </c>
      <c r="BD148" s="11" t="s">
        <v>746</v>
      </c>
    </row>
    <row r="149" spans="2:63" x14ac:dyDescent="0.45">
      <c r="B149" s="11" t="s">
        <v>21</v>
      </c>
      <c r="C149" s="11" t="s">
        <v>23</v>
      </c>
      <c r="D149" s="11" t="s">
        <v>24</v>
      </c>
      <c r="E149" s="11" t="s">
        <v>25</v>
      </c>
      <c r="F149" s="11" t="s">
        <v>756</v>
      </c>
      <c r="G149" s="11" t="s">
        <v>757</v>
      </c>
      <c r="H149" s="11" t="s">
        <v>21</v>
      </c>
      <c r="I149" s="11" t="s">
        <v>758</v>
      </c>
      <c r="J149" s="11" t="s">
        <v>759</v>
      </c>
      <c r="K149" s="11">
        <v>1</v>
      </c>
      <c r="L149" s="11" t="s">
        <v>760</v>
      </c>
      <c r="M149" s="11" t="s">
        <v>761</v>
      </c>
      <c r="Q149" s="11" t="s">
        <v>105</v>
      </c>
      <c r="R149" s="11" t="s">
        <v>106</v>
      </c>
      <c r="S149" s="11" t="s">
        <v>1584</v>
      </c>
      <c r="T149" s="11" t="s">
        <v>107</v>
      </c>
      <c r="U149" s="11" t="s">
        <v>108</v>
      </c>
      <c r="V149" s="11" t="s">
        <v>21</v>
      </c>
      <c r="W149" s="11" t="s">
        <v>736</v>
      </c>
      <c r="X149" s="11" t="s">
        <v>24</v>
      </c>
      <c r="Y149" s="11" t="s">
        <v>417</v>
      </c>
      <c r="Z149" s="11" t="s">
        <v>737</v>
      </c>
      <c r="AC149" s="11" t="s">
        <v>111</v>
      </c>
      <c r="AD149" s="11" t="s">
        <v>762</v>
      </c>
      <c r="AE149" s="11" t="s">
        <v>356</v>
      </c>
      <c r="AL149" s="11">
        <v>1</v>
      </c>
    </row>
    <row r="150" spans="2:63" x14ac:dyDescent="0.45">
      <c r="B150" s="11" t="s">
        <v>21</v>
      </c>
      <c r="C150" s="11" t="s">
        <v>23</v>
      </c>
      <c r="D150" s="11" t="s">
        <v>24</v>
      </c>
      <c r="E150" s="11" t="s">
        <v>25</v>
      </c>
      <c r="F150" s="11" t="s">
        <v>763</v>
      </c>
      <c r="G150" s="11" t="s">
        <v>764</v>
      </c>
      <c r="H150" s="11" t="s">
        <v>21</v>
      </c>
      <c r="I150" s="11" t="s">
        <v>249</v>
      </c>
      <c r="J150" s="11" t="s">
        <v>225</v>
      </c>
      <c r="K150" s="11">
        <v>1</v>
      </c>
      <c r="L150" s="11" t="s">
        <v>765</v>
      </c>
      <c r="M150" s="11" t="s">
        <v>251</v>
      </c>
      <c r="Q150" s="11" t="s">
        <v>105</v>
      </c>
      <c r="R150" s="11" t="s">
        <v>106</v>
      </c>
      <c r="S150" s="11" t="s">
        <v>1584</v>
      </c>
      <c r="T150" s="11" t="s">
        <v>107</v>
      </c>
      <c r="U150" s="11" t="s">
        <v>108</v>
      </c>
      <c r="V150" s="11" t="s">
        <v>21</v>
      </c>
      <c r="W150" s="11" t="s">
        <v>736</v>
      </c>
      <c r="X150" s="11" t="s">
        <v>24</v>
      </c>
      <c r="Y150" s="11" t="s">
        <v>417</v>
      </c>
      <c r="Z150" s="11" t="s">
        <v>737</v>
      </c>
      <c r="AC150" s="11" t="s">
        <v>111</v>
      </c>
      <c r="AD150" s="11" t="s">
        <v>743</v>
      </c>
      <c r="AE150" s="11" t="s">
        <v>356</v>
      </c>
      <c r="AL150" s="11">
        <v>1</v>
      </c>
    </row>
    <row r="151" spans="2:63" x14ac:dyDescent="0.45">
      <c r="B151" s="11" t="s">
        <v>21</v>
      </c>
      <c r="C151" s="11" t="s">
        <v>23</v>
      </c>
      <c r="D151" s="11" t="s">
        <v>24</v>
      </c>
      <c r="E151" s="11" t="s">
        <v>25</v>
      </c>
      <c r="F151" s="11" t="s">
        <v>766</v>
      </c>
      <c r="G151" s="11" t="s">
        <v>767</v>
      </c>
      <c r="H151" s="11" t="s">
        <v>21</v>
      </c>
      <c r="I151" s="11" t="s">
        <v>254</v>
      </c>
      <c r="J151" s="11" t="s">
        <v>255</v>
      </c>
      <c r="K151" s="11">
        <v>1</v>
      </c>
      <c r="L151" s="11" t="s">
        <v>768</v>
      </c>
      <c r="M151" s="11" t="s">
        <v>257</v>
      </c>
      <c r="Q151" s="11" t="s">
        <v>105</v>
      </c>
      <c r="R151" s="11" t="s">
        <v>106</v>
      </c>
      <c r="S151" s="11" t="s">
        <v>1584</v>
      </c>
      <c r="T151" s="11" t="s">
        <v>107</v>
      </c>
      <c r="U151" s="11" t="s">
        <v>108</v>
      </c>
      <c r="V151" s="11" t="s">
        <v>21</v>
      </c>
      <c r="W151" s="11" t="s">
        <v>736</v>
      </c>
      <c r="X151" s="11" t="s">
        <v>24</v>
      </c>
      <c r="Y151" s="11" t="s">
        <v>417</v>
      </c>
      <c r="Z151" s="11" t="s">
        <v>737</v>
      </c>
      <c r="AC151" s="11" t="s">
        <v>111</v>
      </c>
      <c r="AD151" s="11" t="s">
        <v>743</v>
      </c>
      <c r="AE151" s="11" t="s">
        <v>356</v>
      </c>
      <c r="AL151" s="11">
        <v>1</v>
      </c>
    </row>
    <row r="152" spans="2:63" x14ac:dyDescent="0.45">
      <c r="B152" s="11" t="s">
        <v>21</v>
      </c>
      <c r="C152" s="11" t="s">
        <v>23</v>
      </c>
      <c r="D152" s="11" t="s">
        <v>24</v>
      </c>
      <c r="E152" s="11" t="s">
        <v>25</v>
      </c>
      <c r="F152" s="11" t="s">
        <v>769</v>
      </c>
      <c r="G152" s="11" t="s">
        <v>770</v>
      </c>
      <c r="H152" s="11" t="s">
        <v>21</v>
      </c>
      <c r="I152" s="11" t="s">
        <v>243</v>
      </c>
      <c r="J152" s="11" t="s">
        <v>244</v>
      </c>
      <c r="K152" s="11">
        <v>1</v>
      </c>
      <c r="L152" s="11" t="s">
        <v>771</v>
      </c>
      <c r="M152" s="11" t="s">
        <v>246</v>
      </c>
      <c r="Q152" s="11" t="s">
        <v>105</v>
      </c>
      <c r="R152" s="11" t="s">
        <v>106</v>
      </c>
      <c r="S152" s="11" t="s">
        <v>1584</v>
      </c>
      <c r="T152" s="11" t="s">
        <v>107</v>
      </c>
      <c r="U152" s="11" t="s">
        <v>108</v>
      </c>
      <c r="V152" s="11" t="s">
        <v>21</v>
      </c>
      <c r="W152" s="11" t="s">
        <v>736</v>
      </c>
      <c r="X152" s="11" t="s">
        <v>24</v>
      </c>
      <c r="Y152" s="11" t="s">
        <v>417</v>
      </c>
      <c r="Z152" s="11" t="s">
        <v>737</v>
      </c>
      <c r="AC152" s="11" t="s">
        <v>111</v>
      </c>
      <c r="AD152" s="11" t="s">
        <v>743</v>
      </c>
      <c r="AE152" s="11" t="s">
        <v>356</v>
      </c>
      <c r="AL152" s="11">
        <v>1</v>
      </c>
    </row>
    <row r="153" spans="2:63" x14ac:dyDescent="0.45">
      <c r="B153" s="11" t="s">
        <v>21</v>
      </c>
      <c r="C153" s="11" t="s">
        <v>23</v>
      </c>
      <c r="D153" s="11" t="s">
        <v>24</v>
      </c>
      <c r="E153" s="11" t="s">
        <v>25</v>
      </c>
      <c r="F153" s="11" t="s">
        <v>772</v>
      </c>
      <c r="G153" s="11" t="s">
        <v>773</v>
      </c>
      <c r="H153" s="11" t="s">
        <v>21</v>
      </c>
      <c r="I153" s="11" t="s">
        <v>368</v>
      </c>
      <c r="J153" s="11" t="s">
        <v>369</v>
      </c>
      <c r="K153" s="11">
        <v>1</v>
      </c>
      <c r="L153" s="11" t="s">
        <v>774</v>
      </c>
      <c r="M153" s="11" t="s">
        <v>371</v>
      </c>
      <c r="Q153" s="11" t="s">
        <v>105</v>
      </c>
      <c r="R153" s="11" t="s">
        <v>106</v>
      </c>
      <c r="S153" s="11" t="s">
        <v>1584</v>
      </c>
      <c r="T153" s="11" t="s">
        <v>107</v>
      </c>
      <c r="U153" s="11" t="s">
        <v>108</v>
      </c>
      <c r="V153" s="11" t="s">
        <v>21</v>
      </c>
      <c r="W153" s="11" t="s">
        <v>736</v>
      </c>
      <c r="X153" s="11" t="s">
        <v>24</v>
      </c>
      <c r="Y153" s="11" t="s">
        <v>417</v>
      </c>
      <c r="Z153" s="11" t="s">
        <v>737</v>
      </c>
      <c r="AC153" s="11" t="s">
        <v>111</v>
      </c>
      <c r="AD153" s="11" t="s">
        <v>743</v>
      </c>
      <c r="AE153" s="11" t="s">
        <v>356</v>
      </c>
      <c r="AL153" s="11">
        <v>1</v>
      </c>
      <c r="AP153" s="11" t="s">
        <v>21</v>
      </c>
      <c r="AQ153" s="11" t="s">
        <v>273</v>
      </c>
      <c r="AS153" s="11" t="s">
        <v>774</v>
      </c>
      <c r="AT153" s="11">
        <v>2</v>
      </c>
    </row>
    <row r="154" spans="2:63" x14ac:dyDescent="0.45">
      <c r="B154" s="11" t="s">
        <v>21</v>
      </c>
      <c r="C154" s="11" t="s">
        <v>23</v>
      </c>
      <c r="D154" s="11" t="s">
        <v>24</v>
      </c>
      <c r="E154" s="11" t="s">
        <v>25</v>
      </c>
      <c r="F154" s="11" t="s">
        <v>775</v>
      </c>
      <c r="G154" s="11" t="s">
        <v>776</v>
      </c>
      <c r="H154" s="11" t="s">
        <v>21</v>
      </c>
      <c r="I154" s="11" t="s">
        <v>573</v>
      </c>
      <c r="J154" s="11" t="s">
        <v>574</v>
      </c>
      <c r="K154" s="11">
        <v>1</v>
      </c>
      <c r="L154" s="11" t="s">
        <v>777</v>
      </c>
      <c r="M154" s="11" t="s">
        <v>576</v>
      </c>
      <c r="Q154" s="11" t="s">
        <v>105</v>
      </c>
      <c r="R154" s="11" t="s">
        <v>106</v>
      </c>
      <c r="S154" s="11" t="s">
        <v>1584</v>
      </c>
      <c r="T154" s="11" t="s">
        <v>107</v>
      </c>
      <c r="U154" s="11" t="s">
        <v>108</v>
      </c>
      <c r="V154" s="11" t="s">
        <v>21</v>
      </c>
      <c r="W154" s="11" t="s">
        <v>778</v>
      </c>
      <c r="X154" s="11" t="s">
        <v>417</v>
      </c>
      <c r="Y154" s="11" t="s">
        <v>24</v>
      </c>
      <c r="Z154" s="11" t="s">
        <v>779</v>
      </c>
      <c r="AC154" s="11" t="s">
        <v>111</v>
      </c>
      <c r="AD154" s="11" t="s">
        <v>579</v>
      </c>
      <c r="AE154" s="11" t="s">
        <v>287</v>
      </c>
      <c r="AL154" s="11">
        <v>1</v>
      </c>
      <c r="AP154" s="11" t="s">
        <v>21</v>
      </c>
      <c r="AQ154" s="11" t="s">
        <v>185</v>
      </c>
      <c r="AS154" s="11" t="s">
        <v>777</v>
      </c>
      <c r="AT154" s="11">
        <v>1</v>
      </c>
      <c r="AU154" s="11">
        <v>1</v>
      </c>
      <c r="AV154" s="11" t="s">
        <v>780</v>
      </c>
      <c r="AW154" s="11">
        <v>15</v>
      </c>
      <c r="AX154" s="11">
        <v>20</v>
      </c>
    </row>
    <row r="155" spans="2:63" x14ac:dyDescent="0.45">
      <c r="B155" s="11" t="s">
        <v>21</v>
      </c>
      <c r="C155" s="11" t="s">
        <v>23</v>
      </c>
      <c r="D155" s="11" t="s">
        <v>24</v>
      </c>
      <c r="E155" s="11" t="s">
        <v>25</v>
      </c>
      <c r="F155" s="11" t="s">
        <v>781</v>
      </c>
      <c r="G155" s="11" t="s">
        <v>782</v>
      </c>
      <c r="H155" s="11" t="s">
        <v>21</v>
      </c>
      <c r="I155" s="11" t="s">
        <v>291</v>
      </c>
      <c r="J155" s="11" t="s">
        <v>292</v>
      </c>
      <c r="K155" s="11">
        <v>1</v>
      </c>
      <c r="L155" s="11" t="s">
        <v>780</v>
      </c>
      <c r="M155" s="11" t="s">
        <v>293</v>
      </c>
      <c r="Q155" s="11" t="s">
        <v>105</v>
      </c>
      <c r="R155" s="11" t="s">
        <v>106</v>
      </c>
      <c r="S155" s="11" t="s">
        <v>1584</v>
      </c>
      <c r="T155" s="11" t="s">
        <v>107</v>
      </c>
      <c r="U155" s="11" t="s">
        <v>108</v>
      </c>
      <c r="V155" s="11" t="s">
        <v>21</v>
      </c>
      <c r="W155" s="11" t="s">
        <v>778</v>
      </c>
      <c r="X155" s="11" t="s">
        <v>417</v>
      </c>
      <c r="Y155" s="11" t="s">
        <v>24</v>
      </c>
      <c r="Z155" s="11" t="s">
        <v>779</v>
      </c>
      <c r="AC155" s="11" t="s">
        <v>111</v>
      </c>
      <c r="AD155" s="11" t="s">
        <v>579</v>
      </c>
      <c r="AE155" s="11" t="s">
        <v>287</v>
      </c>
      <c r="AL155" s="11">
        <v>1</v>
      </c>
      <c r="AP155" s="11" t="s">
        <v>21</v>
      </c>
      <c r="AQ155" s="11" t="s">
        <v>294</v>
      </c>
      <c r="AS155" s="11" t="s">
        <v>777</v>
      </c>
      <c r="AT155" s="11">
        <v>2</v>
      </c>
      <c r="AU155" s="11">
        <v>1</v>
      </c>
    </row>
    <row r="156" spans="2:63" x14ac:dyDescent="0.45">
      <c r="B156" s="11" t="s">
        <v>21</v>
      </c>
      <c r="C156" s="11" t="s">
        <v>23</v>
      </c>
      <c r="D156" s="11" t="s">
        <v>24</v>
      </c>
      <c r="E156" s="11" t="s">
        <v>25</v>
      </c>
      <c r="F156" s="11" t="s">
        <v>783</v>
      </c>
      <c r="G156" s="11" t="s">
        <v>784</v>
      </c>
      <c r="H156" s="11" t="s">
        <v>21</v>
      </c>
      <c r="I156" s="11" t="s">
        <v>189</v>
      </c>
      <c r="J156" s="11" t="s">
        <v>190</v>
      </c>
      <c r="K156" s="11">
        <v>1</v>
      </c>
      <c r="L156" s="11" t="s">
        <v>785</v>
      </c>
      <c r="M156" s="11" t="s">
        <v>191</v>
      </c>
      <c r="Q156" s="11" t="s">
        <v>105</v>
      </c>
      <c r="R156" s="11" t="s">
        <v>106</v>
      </c>
      <c r="S156" s="11" t="s">
        <v>1584</v>
      </c>
      <c r="T156" s="11" t="s">
        <v>107</v>
      </c>
      <c r="U156" s="11" t="s">
        <v>108</v>
      </c>
      <c r="V156" s="11" t="s">
        <v>21</v>
      </c>
      <c r="W156" s="11" t="s">
        <v>778</v>
      </c>
      <c r="X156" s="11" t="s">
        <v>417</v>
      </c>
      <c r="Y156" s="11" t="s">
        <v>24</v>
      </c>
      <c r="Z156" s="11" t="s">
        <v>779</v>
      </c>
      <c r="AC156" s="11" t="s">
        <v>111</v>
      </c>
      <c r="AD156" s="11" t="s">
        <v>579</v>
      </c>
      <c r="AE156" s="11" t="s">
        <v>469</v>
      </c>
      <c r="AL156" s="11">
        <v>1</v>
      </c>
      <c r="AP156" s="11" t="s">
        <v>21</v>
      </c>
      <c r="AQ156" s="11" t="s">
        <v>192</v>
      </c>
      <c r="AS156" s="11" t="s">
        <v>785</v>
      </c>
      <c r="AT156" s="11">
        <v>3</v>
      </c>
    </row>
    <row r="157" spans="2:63" x14ac:dyDescent="0.45">
      <c r="B157" s="11" t="s">
        <v>21</v>
      </c>
      <c r="C157" s="11" t="s">
        <v>23</v>
      </c>
      <c r="D157" s="11" t="s">
        <v>24</v>
      </c>
      <c r="E157" s="11" t="s">
        <v>25</v>
      </c>
      <c r="F157" s="11" t="s">
        <v>786</v>
      </c>
      <c r="G157" s="11" t="s">
        <v>787</v>
      </c>
      <c r="H157" s="11" t="s">
        <v>21</v>
      </c>
      <c r="I157" s="11" t="s">
        <v>200</v>
      </c>
      <c r="J157" s="11" t="s">
        <v>201</v>
      </c>
      <c r="K157" s="11">
        <v>1</v>
      </c>
      <c r="L157" s="11" t="s">
        <v>788</v>
      </c>
      <c r="M157" s="11" t="s">
        <v>203</v>
      </c>
      <c r="Q157" s="11" t="s">
        <v>105</v>
      </c>
      <c r="R157" s="11" t="s">
        <v>106</v>
      </c>
      <c r="S157" s="11" t="s">
        <v>1584</v>
      </c>
      <c r="T157" s="11" t="s">
        <v>107</v>
      </c>
      <c r="U157" s="11" t="s">
        <v>108</v>
      </c>
      <c r="V157" s="11" t="s">
        <v>21</v>
      </c>
      <c r="W157" s="11" t="s">
        <v>778</v>
      </c>
      <c r="X157" s="11" t="s">
        <v>417</v>
      </c>
      <c r="Y157" s="11" t="s">
        <v>24</v>
      </c>
      <c r="Z157" s="11" t="s">
        <v>779</v>
      </c>
      <c r="AC157" s="11" t="s">
        <v>111</v>
      </c>
      <c r="AD157" s="11" t="s">
        <v>579</v>
      </c>
      <c r="AE157" s="11" t="s">
        <v>469</v>
      </c>
      <c r="AF157" s="11">
        <v>6</v>
      </c>
      <c r="AL157" s="11">
        <v>1</v>
      </c>
      <c r="AP157" s="11" t="s">
        <v>21</v>
      </c>
      <c r="AQ157" s="11" t="s">
        <v>192</v>
      </c>
      <c r="AS157" s="11" t="s">
        <v>785</v>
      </c>
      <c r="AT157" s="11">
        <v>3</v>
      </c>
      <c r="BH157" s="11" t="s">
        <v>106</v>
      </c>
      <c r="BI157" s="11" t="s">
        <v>105</v>
      </c>
      <c r="BJ157" s="11" t="s">
        <v>106</v>
      </c>
      <c r="BK157" s="11" t="s">
        <v>106</v>
      </c>
    </row>
    <row r="158" spans="2:63" x14ac:dyDescent="0.45">
      <c r="B158" s="11" t="s">
        <v>21</v>
      </c>
      <c r="C158" s="11" t="s">
        <v>23</v>
      </c>
      <c r="D158" s="11" t="s">
        <v>24</v>
      </c>
      <c r="E158" s="11" t="s">
        <v>25</v>
      </c>
      <c r="F158" s="11" t="s">
        <v>789</v>
      </c>
      <c r="G158" s="11" t="s">
        <v>790</v>
      </c>
      <c r="H158" s="11" t="s">
        <v>21</v>
      </c>
      <c r="I158" s="11" t="s">
        <v>206</v>
      </c>
      <c r="J158" s="11" t="s">
        <v>207</v>
      </c>
      <c r="K158" s="11">
        <v>1</v>
      </c>
      <c r="L158" s="11" t="s">
        <v>791</v>
      </c>
      <c r="M158" s="11" t="s">
        <v>209</v>
      </c>
      <c r="Q158" s="11" t="s">
        <v>105</v>
      </c>
      <c r="R158" s="11" t="s">
        <v>106</v>
      </c>
      <c r="S158" s="11" t="s">
        <v>1584</v>
      </c>
      <c r="T158" s="11" t="s">
        <v>107</v>
      </c>
      <c r="U158" s="11" t="s">
        <v>108</v>
      </c>
      <c r="V158" s="11" t="s">
        <v>21</v>
      </c>
      <c r="W158" s="11" t="s">
        <v>778</v>
      </c>
      <c r="X158" s="11" t="s">
        <v>417</v>
      </c>
      <c r="Y158" s="11" t="s">
        <v>24</v>
      </c>
      <c r="Z158" s="11" t="s">
        <v>779</v>
      </c>
      <c r="AC158" s="11" t="s">
        <v>111</v>
      </c>
      <c r="AD158" s="11" t="s">
        <v>579</v>
      </c>
      <c r="AE158" s="11" t="s">
        <v>469</v>
      </c>
      <c r="AL158" s="11">
        <v>1</v>
      </c>
      <c r="AP158" s="11" t="s">
        <v>21</v>
      </c>
      <c r="AQ158" s="11" t="s">
        <v>192</v>
      </c>
      <c r="AS158" s="11" t="s">
        <v>785</v>
      </c>
      <c r="AT158" s="11">
        <v>3</v>
      </c>
    </row>
    <row r="159" spans="2:63" x14ac:dyDescent="0.45">
      <c r="B159" s="11" t="s">
        <v>21</v>
      </c>
      <c r="C159" s="11" t="s">
        <v>23</v>
      </c>
      <c r="D159" s="11" t="s">
        <v>24</v>
      </c>
      <c r="E159" s="11" t="s">
        <v>25</v>
      </c>
      <c r="F159" s="11" t="s">
        <v>792</v>
      </c>
      <c r="G159" s="11" t="s">
        <v>793</v>
      </c>
      <c r="H159" s="11" t="s">
        <v>21</v>
      </c>
      <c r="I159" s="11" t="s">
        <v>212</v>
      </c>
      <c r="J159" s="11" t="s">
        <v>213</v>
      </c>
      <c r="K159" s="11">
        <v>1</v>
      </c>
      <c r="L159" s="11" t="s">
        <v>794</v>
      </c>
      <c r="M159" s="11" t="s">
        <v>215</v>
      </c>
      <c r="Q159" s="11" t="s">
        <v>105</v>
      </c>
      <c r="R159" s="11" t="s">
        <v>106</v>
      </c>
      <c r="S159" s="11" t="s">
        <v>1584</v>
      </c>
      <c r="T159" s="11" t="s">
        <v>107</v>
      </c>
      <c r="U159" s="11" t="s">
        <v>108</v>
      </c>
      <c r="V159" s="11" t="s">
        <v>21</v>
      </c>
      <c r="W159" s="11" t="s">
        <v>778</v>
      </c>
      <c r="X159" s="11" t="s">
        <v>417</v>
      </c>
      <c r="Y159" s="11" t="s">
        <v>24</v>
      </c>
      <c r="Z159" s="11" t="s">
        <v>779</v>
      </c>
      <c r="AC159" s="11" t="s">
        <v>111</v>
      </c>
      <c r="AD159" s="11" t="s">
        <v>579</v>
      </c>
      <c r="AE159" s="11" t="s">
        <v>469</v>
      </c>
      <c r="AL159" s="11">
        <v>1</v>
      </c>
      <c r="AP159" s="11" t="s">
        <v>21</v>
      </c>
      <c r="AQ159" s="11" t="s">
        <v>192</v>
      </c>
      <c r="AS159" s="11" t="s">
        <v>785</v>
      </c>
      <c r="AT159" s="11">
        <v>3</v>
      </c>
    </row>
    <row r="160" spans="2:63" x14ac:dyDescent="0.45">
      <c r="B160" s="11" t="s">
        <v>21</v>
      </c>
      <c r="C160" s="11" t="s">
        <v>23</v>
      </c>
      <c r="D160" s="11" t="s">
        <v>24</v>
      </c>
      <c r="E160" s="11" t="s">
        <v>25</v>
      </c>
      <c r="F160" s="11" t="s">
        <v>795</v>
      </c>
      <c r="G160" s="11" t="s">
        <v>796</v>
      </c>
      <c r="H160" s="11" t="s">
        <v>21</v>
      </c>
      <c r="I160" s="11" t="s">
        <v>218</v>
      </c>
      <c r="J160" s="11" t="s">
        <v>219</v>
      </c>
      <c r="K160" s="11">
        <v>1</v>
      </c>
      <c r="L160" s="11" t="s">
        <v>797</v>
      </c>
      <c r="M160" s="11" t="s">
        <v>221</v>
      </c>
      <c r="Q160" s="11" t="s">
        <v>105</v>
      </c>
      <c r="R160" s="11" t="s">
        <v>106</v>
      </c>
      <c r="S160" s="11" t="s">
        <v>1584</v>
      </c>
      <c r="T160" s="11" t="s">
        <v>107</v>
      </c>
      <c r="U160" s="11" t="s">
        <v>108</v>
      </c>
      <c r="V160" s="11" t="s">
        <v>21</v>
      </c>
      <c r="W160" s="11" t="s">
        <v>778</v>
      </c>
      <c r="X160" s="11" t="s">
        <v>417</v>
      </c>
      <c r="Y160" s="11" t="s">
        <v>24</v>
      </c>
      <c r="Z160" s="11" t="s">
        <v>779</v>
      </c>
      <c r="AC160" s="11" t="s">
        <v>111</v>
      </c>
      <c r="AD160" s="11" t="s">
        <v>579</v>
      </c>
      <c r="AE160" s="11" t="s">
        <v>469</v>
      </c>
      <c r="AL160" s="11">
        <v>1</v>
      </c>
      <c r="AP160" s="11" t="s">
        <v>21</v>
      </c>
      <c r="AQ160" s="11" t="s">
        <v>192</v>
      </c>
      <c r="AS160" s="11" t="s">
        <v>785</v>
      </c>
      <c r="AT160" s="11">
        <v>3</v>
      </c>
      <c r="BD160" s="11" t="s">
        <v>788</v>
      </c>
    </row>
    <row r="161" spans="2:53" x14ac:dyDescent="0.45">
      <c r="B161" s="11" t="s">
        <v>21</v>
      </c>
      <c r="C161" s="11" t="s">
        <v>23</v>
      </c>
      <c r="D161" s="11" t="s">
        <v>24</v>
      </c>
      <c r="E161" s="11" t="s">
        <v>25</v>
      </c>
      <c r="F161" s="11" t="s">
        <v>798</v>
      </c>
      <c r="G161" s="11" t="s">
        <v>799</v>
      </c>
      <c r="H161" s="11" t="s">
        <v>21</v>
      </c>
      <c r="I161" s="11" t="s">
        <v>243</v>
      </c>
      <c r="J161" s="11" t="s">
        <v>244</v>
      </c>
      <c r="K161" s="11">
        <v>1</v>
      </c>
      <c r="L161" s="11" t="s">
        <v>800</v>
      </c>
      <c r="M161" s="11" t="s">
        <v>246</v>
      </c>
      <c r="Q161" s="11" t="s">
        <v>105</v>
      </c>
      <c r="R161" s="11" t="s">
        <v>106</v>
      </c>
      <c r="S161" s="11" t="s">
        <v>1584</v>
      </c>
      <c r="T161" s="11" t="s">
        <v>107</v>
      </c>
      <c r="U161" s="11" t="s">
        <v>108</v>
      </c>
      <c r="V161" s="11" t="s">
        <v>21</v>
      </c>
      <c r="W161" s="11" t="s">
        <v>778</v>
      </c>
      <c r="X161" s="11" t="s">
        <v>417</v>
      </c>
      <c r="Y161" s="11" t="s">
        <v>24</v>
      </c>
      <c r="Z161" s="11" t="s">
        <v>779</v>
      </c>
      <c r="AC161" s="11" t="s">
        <v>111</v>
      </c>
      <c r="AD161" s="11" t="s">
        <v>579</v>
      </c>
      <c r="AE161" s="11" t="s">
        <v>387</v>
      </c>
      <c r="AL161" s="11">
        <v>1</v>
      </c>
    </row>
    <row r="162" spans="2:53" x14ac:dyDescent="0.45">
      <c r="B162" s="11" t="s">
        <v>21</v>
      </c>
      <c r="C162" s="11" t="s">
        <v>23</v>
      </c>
      <c r="D162" s="11" t="s">
        <v>24</v>
      </c>
      <c r="E162" s="11" t="s">
        <v>25</v>
      </c>
      <c r="F162" s="11" t="s">
        <v>801</v>
      </c>
      <c r="G162" s="11" t="s">
        <v>802</v>
      </c>
      <c r="H162" s="11" t="s">
        <v>21</v>
      </c>
      <c r="I162" s="11" t="s">
        <v>263</v>
      </c>
      <c r="J162" s="11" t="s">
        <v>264</v>
      </c>
      <c r="K162" s="11">
        <v>1</v>
      </c>
      <c r="L162" s="11" t="s">
        <v>803</v>
      </c>
      <c r="M162" s="11" t="s">
        <v>266</v>
      </c>
      <c r="Q162" s="11" t="s">
        <v>105</v>
      </c>
      <c r="R162" s="11" t="s">
        <v>106</v>
      </c>
      <c r="S162" s="11" t="s">
        <v>1584</v>
      </c>
      <c r="T162" s="11" t="s">
        <v>107</v>
      </c>
      <c r="U162" s="11" t="s">
        <v>108</v>
      </c>
      <c r="V162" s="11" t="s">
        <v>21</v>
      </c>
      <c r="W162" s="11" t="s">
        <v>778</v>
      </c>
      <c r="X162" s="11" t="s">
        <v>417</v>
      </c>
      <c r="Y162" s="11" t="s">
        <v>24</v>
      </c>
      <c r="Z162" s="11" t="s">
        <v>779</v>
      </c>
      <c r="AC162" s="11" t="s">
        <v>111</v>
      </c>
      <c r="AD162" s="11" t="s">
        <v>579</v>
      </c>
      <c r="AE162" s="11" t="s">
        <v>387</v>
      </c>
      <c r="AL162" s="11">
        <v>1</v>
      </c>
    </row>
    <row r="163" spans="2:53" x14ac:dyDescent="0.45">
      <c r="B163" s="11" t="s">
        <v>21</v>
      </c>
      <c r="C163" s="11" t="s">
        <v>23</v>
      </c>
      <c r="D163" s="11" t="s">
        <v>24</v>
      </c>
      <c r="E163" s="11" t="s">
        <v>25</v>
      </c>
      <c r="F163" s="11" t="s">
        <v>804</v>
      </c>
      <c r="G163" s="11" t="s">
        <v>805</v>
      </c>
      <c r="H163" s="11" t="s">
        <v>21</v>
      </c>
      <c r="I163" s="11" t="s">
        <v>249</v>
      </c>
      <c r="J163" s="11" t="s">
        <v>225</v>
      </c>
      <c r="K163" s="11">
        <v>1</v>
      </c>
      <c r="L163" s="11" t="s">
        <v>806</v>
      </c>
      <c r="M163" s="11" t="s">
        <v>251</v>
      </c>
      <c r="Q163" s="11" t="s">
        <v>105</v>
      </c>
      <c r="R163" s="11" t="s">
        <v>106</v>
      </c>
      <c r="S163" s="11" t="s">
        <v>1584</v>
      </c>
      <c r="T163" s="11" t="s">
        <v>107</v>
      </c>
      <c r="U163" s="11" t="s">
        <v>108</v>
      </c>
      <c r="V163" s="11" t="s">
        <v>21</v>
      </c>
      <c r="W163" s="11" t="s">
        <v>778</v>
      </c>
      <c r="X163" s="11" t="s">
        <v>417</v>
      </c>
      <c r="Y163" s="11" t="s">
        <v>24</v>
      </c>
      <c r="Z163" s="11" t="s">
        <v>779</v>
      </c>
      <c r="AC163" s="11" t="s">
        <v>111</v>
      </c>
      <c r="AD163" s="11" t="s">
        <v>579</v>
      </c>
      <c r="AE163" s="11" t="s">
        <v>356</v>
      </c>
      <c r="AL163" s="11">
        <v>1</v>
      </c>
    </row>
    <row r="164" spans="2:53" x14ac:dyDescent="0.45">
      <c r="B164" s="11" t="s">
        <v>21</v>
      </c>
      <c r="C164" s="11" t="s">
        <v>23</v>
      </c>
      <c r="D164" s="11" t="s">
        <v>24</v>
      </c>
      <c r="E164" s="11" t="s">
        <v>25</v>
      </c>
      <c r="F164" s="11" t="s">
        <v>807</v>
      </c>
      <c r="G164" s="11" t="s">
        <v>808</v>
      </c>
      <c r="H164" s="11" t="s">
        <v>21</v>
      </c>
      <c r="I164" s="11" t="s">
        <v>254</v>
      </c>
      <c r="J164" s="11" t="s">
        <v>255</v>
      </c>
      <c r="K164" s="11">
        <v>1</v>
      </c>
      <c r="L164" s="11" t="s">
        <v>809</v>
      </c>
      <c r="M164" s="11" t="s">
        <v>257</v>
      </c>
      <c r="Q164" s="11" t="s">
        <v>105</v>
      </c>
      <c r="R164" s="11" t="s">
        <v>106</v>
      </c>
      <c r="S164" s="11" t="s">
        <v>1584</v>
      </c>
      <c r="T164" s="11" t="s">
        <v>107</v>
      </c>
      <c r="U164" s="11" t="s">
        <v>108</v>
      </c>
      <c r="V164" s="11" t="s">
        <v>21</v>
      </c>
      <c r="W164" s="11" t="s">
        <v>778</v>
      </c>
      <c r="X164" s="11" t="s">
        <v>417</v>
      </c>
      <c r="Y164" s="11" t="s">
        <v>24</v>
      </c>
      <c r="Z164" s="11" t="s">
        <v>779</v>
      </c>
      <c r="AC164" s="11" t="s">
        <v>111</v>
      </c>
      <c r="AD164" s="11" t="s">
        <v>579</v>
      </c>
      <c r="AE164" s="11" t="s">
        <v>356</v>
      </c>
      <c r="AL164" s="11">
        <v>1</v>
      </c>
    </row>
    <row r="165" spans="2:53" x14ac:dyDescent="0.45">
      <c r="B165" s="11" t="s">
        <v>21</v>
      </c>
      <c r="C165" s="11" t="s">
        <v>23</v>
      </c>
      <c r="D165" s="11" t="s">
        <v>24</v>
      </c>
      <c r="E165" s="11" t="s">
        <v>25</v>
      </c>
      <c r="F165" s="11" t="s">
        <v>810</v>
      </c>
      <c r="G165" s="11" t="s">
        <v>811</v>
      </c>
      <c r="H165" s="11" t="s">
        <v>21</v>
      </c>
      <c r="I165" s="11" t="s">
        <v>243</v>
      </c>
      <c r="J165" s="11" t="s">
        <v>244</v>
      </c>
      <c r="K165" s="11">
        <v>2</v>
      </c>
      <c r="L165" s="11" t="s">
        <v>812</v>
      </c>
      <c r="M165" s="11" t="s">
        <v>246</v>
      </c>
      <c r="Q165" s="11" t="s">
        <v>105</v>
      </c>
      <c r="R165" s="11" t="s">
        <v>106</v>
      </c>
      <c r="S165" s="11" t="s">
        <v>1584</v>
      </c>
      <c r="T165" s="11" t="s">
        <v>107</v>
      </c>
      <c r="U165" s="11" t="s">
        <v>108</v>
      </c>
      <c r="V165" s="11" t="s">
        <v>21</v>
      </c>
      <c r="W165" s="11" t="s">
        <v>778</v>
      </c>
      <c r="X165" s="11" t="s">
        <v>417</v>
      </c>
      <c r="Y165" s="11" t="s">
        <v>24</v>
      </c>
      <c r="Z165" s="11" t="s">
        <v>779</v>
      </c>
      <c r="AC165" s="11" t="s">
        <v>111</v>
      </c>
      <c r="AD165" s="11" t="s">
        <v>579</v>
      </c>
      <c r="AE165" s="11" t="s">
        <v>356</v>
      </c>
      <c r="AL165" s="11">
        <v>1</v>
      </c>
    </row>
    <row r="166" spans="2:53" x14ac:dyDescent="0.45">
      <c r="B166" s="11" t="s">
        <v>21</v>
      </c>
      <c r="C166" s="11" t="s">
        <v>23</v>
      </c>
      <c r="D166" s="11" t="s">
        <v>24</v>
      </c>
      <c r="E166" s="11" t="s">
        <v>25</v>
      </c>
      <c r="F166" s="11" t="s">
        <v>813</v>
      </c>
      <c r="G166" s="11" t="s">
        <v>814</v>
      </c>
      <c r="H166" s="11" t="s">
        <v>21</v>
      </c>
      <c r="I166" s="11" t="s">
        <v>368</v>
      </c>
      <c r="J166" s="11" t="s">
        <v>369</v>
      </c>
      <c r="K166" s="11">
        <v>1</v>
      </c>
      <c r="L166" s="11" t="s">
        <v>815</v>
      </c>
      <c r="M166" s="11" t="s">
        <v>371</v>
      </c>
      <c r="Q166" s="11" t="s">
        <v>105</v>
      </c>
      <c r="R166" s="11" t="s">
        <v>106</v>
      </c>
      <c r="S166" s="11" t="s">
        <v>1584</v>
      </c>
      <c r="T166" s="11" t="s">
        <v>107</v>
      </c>
      <c r="U166" s="11" t="s">
        <v>108</v>
      </c>
      <c r="V166" s="11" t="s">
        <v>21</v>
      </c>
      <c r="W166" s="11" t="s">
        <v>778</v>
      </c>
      <c r="X166" s="11" t="s">
        <v>417</v>
      </c>
      <c r="Y166" s="11" t="s">
        <v>24</v>
      </c>
      <c r="Z166" s="11" t="s">
        <v>779</v>
      </c>
      <c r="AC166" s="11" t="s">
        <v>111</v>
      </c>
      <c r="AD166" s="11" t="s">
        <v>579</v>
      </c>
      <c r="AE166" s="11" t="s">
        <v>356</v>
      </c>
      <c r="AL166" s="11">
        <v>1</v>
      </c>
      <c r="AP166" s="11" t="s">
        <v>21</v>
      </c>
      <c r="AQ166" s="11" t="s">
        <v>273</v>
      </c>
      <c r="AS166" s="11" t="s">
        <v>815</v>
      </c>
      <c r="AT166" s="11">
        <v>2</v>
      </c>
    </row>
    <row r="167" spans="2:53" x14ac:dyDescent="0.45">
      <c r="B167" s="11" t="s">
        <v>21</v>
      </c>
      <c r="C167" s="11" t="s">
        <v>23</v>
      </c>
      <c r="D167" s="11" t="s">
        <v>24</v>
      </c>
      <c r="E167" s="11" t="s">
        <v>25</v>
      </c>
      <c r="F167" s="11" t="s">
        <v>816</v>
      </c>
      <c r="G167" s="11" t="s">
        <v>817</v>
      </c>
      <c r="H167" s="11" t="s">
        <v>21</v>
      </c>
      <c r="I167" s="11" t="s">
        <v>410</v>
      </c>
      <c r="J167" s="11" t="s">
        <v>324</v>
      </c>
      <c r="K167" s="11">
        <v>1</v>
      </c>
      <c r="L167" s="11" t="s">
        <v>818</v>
      </c>
      <c r="M167" s="11" t="s">
        <v>412</v>
      </c>
      <c r="Q167" s="11" t="s">
        <v>105</v>
      </c>
      <c r="R167" s="11" t="s">
        <v>106</v>
      </c>
      <c r="S167" s="11" t="s">
        <v>1584</v>
      </c>
      <c r="T167" s="11" t="s">
        <v>107</v>
      </c>
      <c r="U167" s="11" t="s">
        <v>108</v>
      </c>
      <c r="V167" s="11" t="s">
        <v>21</v>
      </c>
      <c r="W167" s="11" t="s">
        <v>778</v>
      </c>
      <c r="X167" s="11" t="s">
        <v>417</v>
      </c>
      <c r="Y167" s="11" t="s">
        <v>24</v>
      </c>
      <c r="Z167" s="11" t="s">
        <v>779</v>
      </c>
      <c r="AC167" s="11" t="s">
        <v>111</v>
      </c>
      <c r="AD167" s="11" t="s">
        <v>579</v>
      </c>
      <c r="AE167" s="11" t="s">
        <v>168</v>
      </c>
      <c r="AL167" s="11">
        <v>1</v>
      </c>
    </row>
    <row r="168" spans="2:53" x14ac:dyDescent="0.45">
      <c r="B168" s="11" t="s">
        <v>21</v>
      </c>
      <c r="C168" s="11" t="s">
        <v>23</v>
      </c>
      <c r="D168" s="11" t="s">
        <v>24</v>
      </c>
      <c r="E168" s="11" t="s">
        <v>25</v>
      </c>
      <c r="F168" s="11" t="s">
        <v>819</v>
      </c>
      <c r="G168" s="11" t="s">
        <v>820</v>
      </c>
      <c r="H168" s="11" t="s">
        <v>21</v>
      </c>
      <c r="I168" s="11" t="s">
        <v>541</v>
      </c>
      <c r="J168" s="11" t="s">
        <v>542</v>
      </c>
      <c r="K168" s="11">
        <v>1</v>
      </c>
      <c r="L168" s="11" t="s">
        <v>821</v>
      </c>
      <c r="M168" s="11" t="s">
        <v>544</v>
      </c>
      <c r="Q168" s="11" t="s">
        <v>105</v>
      </c>
      <c r="R168" s="11" t="s">
        <v>106</v>
      </c>
      <c r="S168" s="11" t="s">
        <v>1584</v>
      </c>
      <c r="T168" s="11" t="s">
        <v>107</v>
      </c>
      <c r="U168" s="11" t="s">
        <v>108</v>
      </c>
      <c r="V168" s="11" t="s">
        <v>21</v>
      </c>
      <c r="W168" s="11" t="s">
        <v>822</v>
      </c>
      <c r="X168" s="11" t="s">
        <v>24</v>
      </c>
      <c r="Y168" s="11" t="s">
        <v>24</v>
      </c>
      <c r="Z168" s="11" t="s">
        <v>823</v>
      </c>
      <c r="AC168" s="11" t="s">
        <v>111</v>
      </c>
      <c r="AD168" s="11" t="s">
        <v>762</v>
      </c>
      <c r="AE168" s="11" t="s">
        <v>113</v>
      </c>
      <c r="AL168" s="11">
        <v>1</v>
      </c>
      <c r="BA168" s="11">
        <v>1</v>
      </c>
    </row>
    <row r="169" spans="2:53" x14ac:dyDescent="0.45">
      <c r="B169" s="11" t="s">
        <v>21</v>
      </c>
      <c r="C169" s="11" t="s">
        <v>23</v>
      </c>
      <c r="D169" s="11" t="s">
        <v>24</v>
      </c>
      <c r="E169" s="11" t="s">
        <v>25</v>
      </c>
      <c r="F169" s="11" t="s">
        <v>824</v>
      </c>
      <c r="G169" s="11" t="s">
        <v>825</v>
      </c>
      <c r="H169" s="11" t="s">
        <v>21</v>
      </c>
      <c r="I169" s="11" t="s">
        <v>421</v>
      </c>
      <c r="J169" s="11" t="s">
        <v>422</v>
      </c>
      <c r="K169" s="11">
        <v>1</v>
      </c>
      <c r="L169" s="11" t="s">
        <v>826</v>
      </c>
      <c r="M169" s="11" t="s">
        <v>424</v>
      </c>
      <c r="Q169" s="11" t="s">
        <v>105</v>
      </c>
      <c r="R169" s="11" t="s">
        <v>106</v>
      </c>
      <c r="S169" s="11" t="s">
        <v>1584</v>
      </c>
      <c r="T169" s="11" t="s">
        <v>107</v>
      </c>
      <c r="U169" s="11" t="s">
        <v>108</v>
      </c>
      <c r="V169" s="11" t="s">
        <v>21</v>
      </c>
      <c r="W169" s="11" t="s">
        <v>822</v>
      </c>
      <c r="X169" s="11" t="s">
        <v>24</v>
      </c>
      <c r="Y169" s="11" t="s">
        <v>24</v>
      </c>
      <c r="Z169" s="11" t="s">
        <v>823</v>
      </c>
      <c r="AC169" s="11" t="s">
        <v>111</v>
      </c>
      <c r="AD169" s="11" t="s">
        <v>762</v>
      </c>
      <c r="AE169" s="11" t="s">
        <v>113</v>
      </c>
      <c r="AL169" s="11">
        <v>1</v>
      </c>
    </row>
    <row r="170" spans="2:53" x14ac:dyDescent="0.45">
      <c r="B170" s="11" t="s">
        <v>21</v>
      </c>
      <c r="C170" s="11" t="s">
        <v>23</v>
      </c>
      <c r="D170" s="11" t="s">
        <v>24</v>
      </c>
      <c r="E170" s="11" t="s">
        <v>25</v>
      </c>
      <c r="F170" s="11" t="s">
        <v>827</v>
      </c>
      <c r="G170" s="11" t="s">
        <v>828</v>
      </c>
      <c r="H170" s="11" t="s">
        <v>21</v>
      </c>
      <c r="I170" s="11" t="s">
        <v>427</v>
      </c>
      <c r="J170" s="11" t="s">
        <v>428</v>
      </c>
      <c r="K170" s="11">
        <v>1</v>
      </c>
      <c r="L170" s="11" t="s">
        <v>829</v>
      </c>
      <c r="M170" s="11" t="s">
        <v>430</v>
      </c>
      <c r="Q170" s="11" t="s">
        <v>830</v>
      </c>
      <c r="R170" s="11" t="s">
        <v>417</v>
      </c>
      <c r="T170" s="11" t="s">
        <v>705</v>
      </c>
      <c r="U170" s="11" t="s">
        <v>831</v>
      </c>
      <c r="V170" s="11" t="s">
        <v>21</v>
      </c>
      <c r="W170" s="11" t="s">
        <v>822</v>
      </c>
      <c r="X170" s="11" t="s">
        <v>24</v>
      </c>
      <c r="Y170" s="11" t="s">
        <v>24</v>
      </c>
      <c r="Z170" s="11" t="s">
        <v>823</v>
      </c>
      <c r="AC170" s="11" t="s">
        <v>111</v>
      </c>
      <c r="AD170" s="11" t="s">
        <v>762</v>
      </c>
      <c r="AE170" s="11" t="s">
        <v>113</v>
      </c>
      <c r="AL170" s="11">
        <v>1</v>
      </c>
      <c r="AU170" s="11">
        <v>1</v>
      </c>
      <c r="AV170" s="11" t="s">
        <v>832</v>
      </c>
      <c r="AW170" s="11">
        <v>1440</v>
      </c>
      <c r="AX170" s="11">
        <v>1680</v>
      </c>
      <c r="AY170" s="11">
        <v>1</v>
      </c>
      <c r="AZ170" s="11">
        <v>1</v>
      </c>
    </row>
    <row r="171" spans="2:53" x14ac:dyDescent="0.45">
      <c r="B171" s="11" t="s">
        <v>21</v>
      </c>
      <c r="C171" s="11" t="s">
        <v>23</v>
      </c>
      <c r="D171" s="11" t="s">
        <v>24</v>
      </c>
      <c r="E171" s="11" t="s">
        <v>25</v>
      </c>
      <c r="F171" s="11" t="s">
        <v>833</v>
      </c>
      <c r="G171" s="11" t="s">
        <v>834</v>
      </c>
      <c r="H171" s="11" t="s">
        <v>21</v>
      </c>
      <c r="I171" s="11" t="s">
        <v>835</v>
      </c>
      <c r="J171" s="11" t="s">
        <v>836</v>
      </c>
      <c r="K171" s="11">
        <v>1</v>
      </c>
      <c r="L171" s="11" t="s">
        <v>832</v>
      </c>
      <c r="M171" s="11" t="s">
        <v>837</v>
      </c>
      <c r="Q171" s="11" t="s">
        <v>838</v>
      </c>
      <c r="R171" s="11" t="s">
        <v>417</v>
      </c>
      <c r="T171" s="11" t="s">
        <v>723</v>
      </c>
      <c r="U171" s="11" t="s">
        <v>839</v>
      </c>
      <c r="V171" s="11" t="s">
        <v>21</v>
      </c>
      <c r="W171" s="11" t="s">
        <v>822</v>
      </c>
      <c r="X171" s="11" t="s">
        <v>24</v>
      </c>
      <c r="Y171" s="11" t="s">
        <v>24</v>
      </c>
      <c r="Z171" s="11" t="s">
        <v>823</v>
      </c>
      <c r="AC171" s="11" t="s">
        <v>111</v>
      </c>
      <c r="AD171" s="11" t="s">
        <v>762</v>
      </c>
      <c r="AE171" s="11" t="s">
        <v>138</v>
      </c>
      <c r="AL171" s="11">
        <v>1</v>
      </c>
      <c r="AU171" s="11">
        <v>1</v>
      </c>
      <c r="AY171" s="11">
        <v>1</v>
      </c>
      <c r="AZ171" s="11">
        <v>2</v>
      </c>
    </row>
    <row r="172" spans="2:53" x14ac:dyDescent="0.45">
      <c r="B172" s="11" t="s">
        <v>21</v>
      </c>
      <c r="C172" s="11" t="s">
        <v>23</v>
      </c>
      <c r="D172" s="11" t="s">
        <v>24</v>
      </c>
      <c r="E172" s="11" t="s">
        <v>25</v>
      </c>
      <c r="F172" s="11" t="s">
        <v>840</v>
      </c>
      <c r="G172" s="11" t="s">
        <v>841</v>
      </c>
      <c r="H172" s="11" t="s">
        <v>21</v>
      </c>
      <c r="I172" s="11" t="s">
        <v>141</v>
      </c>
      <c r="J172" s="11" t="s">
        <v>142</v>
      </c>
      <c r="K172" s="11">
        <v>1</v>
      </c>
      <c r="L172" s="11" t="s">
        <v>842</v>
      </c>
      <c r="M172" s="11" t="s">
        <v>144</v>
      </c>
      <c r="Q172" s="11" t="s">
        <v>843</v>
      </c>
      <c r="R172" s="11" t="s">
        <v>417</v>
      </c>
      <c r="T172" s="11" t="s">
        <v>146</v>
      </c>
      <c r="U172" s="11" t="s">
        <v>729</v>
      </c>
      <c r="V172" s="11" t="s">
        <v>21</v>
      </c>
      <c r="W172" s="11" t="s">
        <v>822</v>
      </c>
      <c r="X172" s="11" t="s">
        <v>24</v>
      </c>
      <c r="Y172" s="11" t="s">
        <v>24</v>
      </c>
      <c r="Z172" s="11" t="s">
        <v>823</v>
      </c>
      <c r="AC172" s="11" t="s">
        <v>111</v>
      </c>
      <c r="AD172" s="11" t="s">
        <v>762</v>
      </c>
      <c r="AE172" s="11" t="s">
        <v>113</v>
      </c>
      <c r="AL172" s="11">
        <v>1</v>
      </c>
      <c r="AU172" s="11">
        <v>1</v>
      </c>
      <c r="AY172" s="11">
        <v>1</v>
      </c>
      <c r="AZ172" s="11">
        <v>2</v>
      </c>
      <c r="BA172" s="11">
        <v>1</v>
      </c>
    </row>
    <row r="173" spans="2:53" x14ac:dyDescent="0.45">
      <c r="B173" s="11" t="s">
        <v>21</v>
      </c>
      <c r="C173" s="11" t="s">
        <v>23</v>
      </c>
      <c r="D173" s="11" t="s">
        <v>24</v>
      </c>
      <c r="E173" s="11" t="s">
        <v>25</v>
      </c>
      <c r="F173" s="11" t="s">
        <v>844</v>
      </c>
      <c r="G173" s="11" t="s">
        <v>845</v>
      </c>
      <c r="H173" s="11" t="s">
        <v>21</v>
      </c>
      <c r="I173" s="11" t="s">
        <v>159</v>
      </c>
      <c r="J173" s="11" t="s">
        <v>123</v>
      </c>
      <c r="K173" s="11">
        <v>1</v>
      </c>
      <c r="L173" s="11" t="s">
        <v>846</v>
      </c>
      <c r="M173" s="11" t="s">
        <v>161</v>
      </c>
      <c r="Q173" s="11" t="s">
        <v>105</v>
      </c>
      <c r="R173" s="11" t="s">
        <v>106</v>
      </c>
      <c r="S173" s="11" t="s">
        <v>1584</v>
      </c>
      <c r="T173" s="11" t="s">
        <v>107</v>
      </c>
      <c r="U173" s="11" t="s">
        <v>108</v>
      </c>
      <c r="V173" s="11" t="s">
        <v>21</v>
      </c>
      <c r="W173" s="11" t="s">
        <v>822</v>
      </c>
      <c r="X173" s="11" t="s">
        <v>24</v>
      </c>
      <c r="Y173" s="11" t="s">
        <v>24</v>
      </c>
      <c r="Z173" s="11" t="s">
        <v>823</v>
      </c>
      <c r="AC173" s="11" t="s">
        <v>111</v>
      </c>
      <c r="AD173" s="11" t="s">
        <v>762</v>
      </c>
      <c r="AE173" s="11" t="s">
        <v>113</v>
      </c>
      <c r="AL173" s="11">
        <v>1</v>
      </c>
    </row>
    <row r="174" spans="2:53" x14ac:dyDescent="0.45">
      <c r="B174" s="11" t="s">
        <v>21</v>
      </c>
      <c r="C174" s="11" t="s">
        <v>23</v>
      </c>
      <c r="D174" s="11" t="s">
        <v>24</v>
      </c>
      <c r="E174" s="11" t="s">
        <v>25</v>
      </c>
      <c r="F174" s="11" t="s">
        <v>847</v>
      </c>
      <c r="G174" s="11" t="s">
        <v>848</v>
      </c>
      <c r="H174" s="11" t="s">
        <v>21</v>
      </c>
      <c r="I174" s="11" t="s">
        <v>164</v>
      </c>
      <c r="J174" s="11" t="s">
        <v>165</v>
      </c>
      <c r="K174" s="11">
        <v>1</v>
      </c>
      <c r="L174" s="11" t="s">
        <v>849</v>
      </c>
      <c r="M174" s="11" t="s">
        <v>167</v>
      </c>
      <c r="Q174" s="11" t="s">
        <v>105</v>
      </c>
      <c r="R174" s="11" t="s">
        <v>106</v>
      </c>
      <c r="S174" s="11" t="s">
        <v>1584</v>
      </c>
      <c r="T174" s="11" t="s">
        <v>107</v>
      </c>
      <c r="U174" s="11" t="s">
        <v>108</v>
      </c>
      <c r="V174" s="11" t="s">
        <v>21</v>
      </c>
      <c r="W174" s="11" t="s">
        <v>822</v>
      </c>
      <c r="X174" s="11" t="s">
        <v>24</v>
      </c>
      <c r="Y174" s="11" t="s">
        <v>24</v>
      </c>
      <c r="Z174" s="11" t="s">
        <v>823</v>
      </c>
      <c r="AC174" s="11" t="s">
        <v>111</v>
      </c>
      <c r="AD174" s="11" t="s">
        <v>762</v>
      </c>
      <c r="AE174" s="11" t="s">
        <v>168</v>
      </c>
      <c r="AL174" s="11">
        <v>1</v>
      </c>
    </row>
    <row r="175" spans="2:53" x14ac:dyDescent="0.45">
      <c r="B175" s="11" t="s">
        <v>21</v>
      </c>
      <c r="C175" s="11" t="s">
        <v>23</v>
      </c>
      <c r="D175" s="11" t="s">
        <v>24</v>
      </c>
      <c r="E175" s="11" t="s">
        <v>25</v>
      </c>
      <c r="F175" s="11" t="s">
        <v>850</v>
      </c>
      <c r="G175" s="11" t="s">
        <v>851</v>
      </c>
      <c r="H175" s="11" t="s">
        <v>21</v>
      </c>
      <c r="I175" s="11" t="s">
        <v>263</v>
      </c>
      <c r="J175" s="11" t="s">
        <v>264</v>
      </c>
      <c r="K175" s="11">
        <v>1</v>
      </c>
      <c r="L175" s="11" t="s">
        <v>852</v>
      </c>
      <c r="M175" s="11" t="s">
        <v>266</v>
      </c>
      <c r="Q175" s="11" t="s">
        <v>105</v>
      </c>
      <c r="R175" s="11" t="s">
        <v>106</v>
      </c>
      <c r="S175" s="11" t="s">
        <v>1584</v>
      </c>
      <c r="T175" s="11" t="s">
        <v>107</v>
      </c>
      <c r="U175" s="11" t="s">
        <v>108</v>
      </c>
      <c r="V175" s="11" t="s">
        <v>21</v>
      </c>
      <c r="W175" s="11" t="s">
        <v>853</v>
      </c>
      <c r="X175" s="11" t="s">
        <v>24</v>
      </c>
      <c r="Y175" s="11" t="s">
        <v>24</v>
      </c>
      <c r="Z175" s="11" t="s">
        <v>854</v>
      </c>
      <c r="AC175" s="11" t="s">
        <v>111</v>
      </c>
      <c r="AD175" s="11" t="s">
        <v>762</v>
      </c>
      <c r="AE175" s="11" t="s">
        <v>387</v>
      </c>
      <c r="AL175" s="11">
        <v>1</v>
      </c>
    </row>
    <row r="176" spans="2:53" x14ac:dyDescent="0.45">
      <c r="B176" s="11" t="s">
        <v>21</v>
      </c>
      <c r="C176" s="11" t="s">
        <v>23</v>
      </c>
      <c r="D176" s="11" t="s">
        <v>24</v>
      </c>
      <c r="E176" s="11" t="s">
        <v>25</v>
      </c>
      <c r="F176" s="11" t="s">
        <v>855</v>
      </c>
      <c r="G176" s="11" t="s">
        <v>856</v>
      </c>
      <c r="H176" s="11" t="s">
        <v>21</v>
      </c>
      <c r="I176" s="11" t="s">
        <v>178</v>
      </c>
      <c r="J176" s="11" t="s">
        <v>179</v>
      </c>
      <c r="K176" s="11">
        <v>1</v>
      </c>
      <c r="L176" s="11" t="s">
        <v>857</v>
      </c>
      <c r="M176" s="11" t="s">
        <v>181</v>
      </c>
      <c r="Q176" s="11" t="s">
        <v>105</v>
      </c>
      <c r="R176" s="11" t="s">
        <v>106</v>
      </c>
      <c r="S176" s="11" t="s">
        <v>1584</v>
      </c>
      <c r="T176" s="11" t="s">
        <v>107</v>
      </c>
      <c r="U176" s="11" t="s">
        <v>108</v>
      </c>
      <c r="V176" s="11" t="s">
        <v>21</v>
      </c>
      <c r="W176" s="11" t="s">
        <v>853</v>
      </c>
      <c r="X176" s="11" t="s">
        <v>24</v>
      </c>
      <c r="Y176" s="11" t="s">
        <v>24</v>
      </c>
      <c r="Z176" s="11" t="s">
        <v>854</v>
      </c>
      <c r="AC176" s="11" t="s">
        <v>111</v>
      </c>
      <c r="AD176" s="11" t="s">
        <v>762</v>
      </c>
      <c r="AE176" s="11" t="s">
        <v>387</v>
      </c>
      <c r="AL176" s="11">
        <v>1</v>
      </c>
      <c r="AP176" s="11" t="s">
        <v>21</v>
      </c>
      <c r="AQ176" s="11" t="s">
        <v>185</v>
      </c>
      <c r="AS176" s="11" t="s">
        <v>857</v>
      </c>
      <c r="AT176" s="11">
        <v>3</v>
      </c>
      <c r="AU176" s="11">
        <v>1</v>
      </c>
      <c r="AV176" s="11" t="s">
        <v>858</v>
      </c>
      <c r="AW176" s="11">
        <v>15</v>
      </c>
      <c r="AX176" s="11">
        <v>20</v>
      </c>
    </row>
    <row r="177" spans="2:63" x14ac:dyDescent="0.45">
      <c r="B177" s="11" t="s">
        <v>21</v>
      </c>
      <c r="C177" s="11" t="s">
        <v>23</v>
      </c>
      <c r="D177" s="11" t="s">
        <v>24</v>
      </c>
      <c r="E177" s="11" t="s">
        <v>25</v>
      </c>
      <c r="F177" s="11" t="s">
        <v>859</v>
      </c>
      <c r="G177" s="11" t="s">
        <v>860</v>
      </c>
      <c r="H177" s="11" t="s">
        <v>21</v>
      </c>
      <c r="I177" s="11" t="s">
        <v>861</v>
      </c>
      <c r="J177" s="11" t="s">
        <v>862</v>
      </c>
      <c r="K177" s="11">
        <v>1</v>
      </c>
      <c r="L177" s="11" t="s">
        <v>858</v>
      </c>
      <c r="M177" s="11" t="s">
        <v>863</v>
      </c>
      <c r="Q177" s="11" t="s">
        <v>105</v>
      </c>
      <c r="R177" s="11" t="s">
        <v>106</v>
      </c>
      <c r="S177" s="11" t="s">
        <v>1584</v>
      </c>
      <c r="T177" s="11" t="s">
        <v>107</v>
      </c>
      <c r="U177" s="11" t="s">
        <v>108</v>
      </c>
      <c r="V177" s="11" t="s">
        <v>21</v>
      </c>
      <c r="W177" s="11" t="s">
        <v>853</v>
      </c>
      <c r="X177" s="11" t="s">
        <v>24</v>
      </c>
      <c r="Y177" s="11" t="s">
        <v>24</v>
      </c>
      <c r="Z177" s="11" t="s">
        <v>854</v>
      </c>
      <c r="AC177" s="11" t="s">
        <v>111</v>
      </c>
      <c r="AD177" s="11" t="s">
        <v>762</v>
      </c>
      <c r="AE177" s="11" t="s">
        <v>387</v>
      </c>
      <c r="AL177" s="11">
        <v>1</v>
      </c>
      <c r="AP177" s="11" t="s">
        <v>21</v>
      </c>
      <c r="AQ177" s="11" t="s">
        <v>192</v>
      </c>
      <c r="AS177" s="11" t="s">
        <v>857</v>
      </c>
      <c r="AT177" s="11">
        <v>3</v>
      </c>
      <c r="AU177" s="11">
        <v>1</v>
      </c>
      <c r="AV177" s="11" t="s">
        <v>864</v>
      </c>
      <c r="AW177" s="11">
        <v>15</v>
      </c>
      <c r="AX177" s="11">
        <v>20</v>
      </c>
    </row>
    <row r="178" spans="2:63" x14ac:dyDescent="0.45">
      <c r="B178" s="11" t="s">
        <v>21</v>
      </c>
      <c r="C178" s="11" t="s">
        <v>23</v>
      </c>
      <c r="D178" s="11" t="s">
        <v>24</v>
      </c>
      <c r="E178" s="11" t="s">
        <v>25</v>
      </c>
      <c r="F178" s="11" t="s">
        <v>865</v>
      </c>
      <c r="G178" s="11" t="s">
        <v>866</v>
      </c>
      <c r="H178" s="11" t="s">
        <v>21</v>
      </c>
      <c r="I178" s="11" t="s">
        <v>189</v>
      </c>
      <c r="J178" s="11" t="s">
        <v>190</v>
      </c>
      <c r="K178" s="11">
        <v>1</v>
      </c>
      <c r="L178" s="11" t="s">
        <v>864</v>
      </c>
      <c r="M178" s="11" t="s">
        <v>191</v>
      </c>
      <c r="Q178" s="11" t="s">
        <v>105</v>
      </c>
      <c r="R178" s="11" t="s">
        <v>106</v>
      </c>
      <c r="S178" s="11" t="s">
        <v>1584</v>
      </c>
      <c r="T178" s="11" t="s">
        <v>107</v>
      </c>
      <c r="U178" s="11" t="s">
        <v>108</v>
      </c>
      <c r="V178" s="11" t="s">
        <v>21</v>
      </c>
      <c r="W178" s="11" t="s">
        <v>853</v>
      </c>
      <c r="X178" s="11" t="s">
        <v>24</v>
      </c>
      <c r="Y178" s="11" t="s">
        <v>24</v>
      </c>
      <c r="Z178" s="11" t="s">
        <v>854</v>
      </c>
      <c r="AC178" s="11" t="s">
        <v>111</v>
      </c>
      <c r="AD178" s="11" t="s">
        <v>762</v>
      </c>
      <c r="AE178" s="11" t="s">
        <v>469</v>
      </c>
      <c r="AL178" s="11">
        <v>1</v>
      </c>
      <c r="AP178" s="11" t="s">
        <v>21</v>
      </c>
      <c r="AQ178" s="11" t="s">
        <v>192</v>
      </c>
      <c r="AS178" s="11" t="s">
        <v>857</v>
      </c>
      <c r="AT178" s="11">
        <v>3</v>
      </c>
      <c r="AU178" s="11">
        <v>1</v>
      </c>
    </row>
    <row r="179" spans="2:63" x14ac:dyDescent="0.45">
      <c r="B179" s="11" t="s">
        <v>21</v>
      </c>
      <c r="C179" s="11" t="s">
        <v>23</v>
      </c>
      <c r="D179" s="11" t="s">
        <v>24</v>
      </c>
      <c r="E179" s="11" t="s">
        <v>25</v>
      </c>
      <c r="F179" s="11" t="s">
        <v>867</v>
      </c>
      <c r="G179" s="11" t="s">
        <v>868</v>
      </c>
      <c r="H179" s="11" t="s">
        <v>21</v>
      </c>
      <c r="I179" s="11" t="s">
        <v>200</v>
      </c>
      <c r="J179" s="11" t="s">
        <v>201</v>
      </c>
      <c r="K179" s="11">
        <v>1</v>
      </c>
      <c r="L179" s="11" t="s">
        <v>869</v>
      </c>
      <c r="M179" s="11" t="s">
        <v>203</v>
      </c>
      <c r="Q179" s="11" t="s">
        <v>105</v>
      </c>
      <c r="R179" s="11" t="s">
        <v>106</v>
      </c>
      <c r="S179" s="11" t="s">
        <v>1584</v>
      </c>
      <c r="T179" s="11" t="s">
        <v>107</v>
      </c>
      <c r="U179" s="11" t="s">
        <v>108</v>
      </c>
      <c r="V179" s="11" t="s">
        <v>21</v>
      </c>
      <c r="W179" s="11" t="s">
        <v>853</v>
      </c>
      <c r="X179" s="11" t="s">
        <v>24</v>
      </c>
      <c r="Y179" s="11" t="s">
        <v>24</v>
      </c>
      <c r="Z179" s="11" t="s">
        <v>854</v>
      </c>
      <c r="AC179" s="11" t="s">
        <v>111</v>
      </c>
      <c r="AD179" s="11" t="s">
        <v>762</v>
      </c>
      <c r="AE179" s="11" t="s">
        <v>469</v>
      </c>
      <c r="AF179" s="11">
        <v>7</v>
      </c>
      <c r="AL179" s="11">
        <v>1</v>
      </c>
      <c r="AP179" s="11" t="s">
        <v>21</v>
      </c>
      <c r="AQ179" s="11" t="s">
        <v>192</v>
      </c>
      <c r="AS179" s="11" t="s">
        <v>857</v>
      </c>
      <c r="AT179" s="11">
        <v>3</v>
      </c>
      <c r="BH179" s="11" t="s">
        <v>106</v>
      </c>
      <c r="BI179" s="11" t="s">
        <v>105</v>
      </c>
      <c r="BJ179" s="11" t="s">
        <v>106</v>
      </c>
      <c r="BK179" s="11" t="s">
        <v>106</v>
      </c>
    </row>
    <row r="180" spans="2:63" x14ac:dyDescent="0.45">
      <c r="B180" s="11" t="s">
        <v>21</v>
      </c>
      <c r="C180" s="11" t="s">
        <v>23</v>
      </c>
      <c r="D180" s="11" t="s">
        <v>24</v>
      </c>
      <c r="E180" s="11" t="s">
        <v>25</v>
      </c>
      <c r="F180" s="11" t="s">
        <v>870</v>
      </c>
      <c r="G180" s="11" t="s">
        <v>871</v>
      </c>
      <c r="H180" s="11" t="s">
        <v>21</v>
      </c>
      <c r="I180" s="11" t="s">
        <v>206</v>
      </c>
      <c r="J180" s="11" t="s">
        <v>207</v>
      </c>
      <c r="K180" s="11">
        <v>1</v>
      </c>
      <c r="L180" s="11" t="s">
        <v>872</v>
      </c>
      <c r="M180" s="11" t="s">
        <v>209</v>
      </c>
      <c r="Q180" s="11" t="s">
        <v>105</v>
      </c>
      <c r="R180" s="11" t="s">
        <v>106</v>
      </c>
      <c r="S180" s="11" t="s">
        <v>1584</v>
      </c>
      <c r="T180" s="11" t="s">
        <v>107</v>
      </c>
      <c r="U180" s="11" t="s">
        <v>108</v>
      </c>
      <c r="V180" s="11" t="s">
        <v>21</v>
      </c>
      <c r="W180" s="11" t="s">
        <v>853</v>
      </c>
      <c r="X180" s="11" t="s">
        <v>24</v>
      </c>
      <c r="Y180" s="11" t="s">
        <v>24</v>
      </c>
      <c r="Z180" s="11" t="s">
        <v>854</v>
      </c>
      <c r="AC180" s="11" t="s">
        <v>111</v>
      </c>
      <c r="AD180" s="11" t="s">
        <v>738</v>
      </c>
      <c r="AE180" s="11" t="s">
        <v>469</v>
      </c>
      <c r="AL180" s="11">
        <v>1</v>
      </c>
      <c r="AP180" s="11" t="s">
        <v>21</v>
      </c>
      <c r="AQ180" s="11" t="s">
        <v>192</v>
      </c>
      <c r="AS180" s="11" t="s">
        <v>857</v>
      </c>
      <c r="AT180" s="11">
        <v>3</v>
      </c>
    </row>
    <row r="181" spans="2:63" x14ac:dyDescent="0.45">
      <c r="B181" s="11" t="s">
        <v>21</v>
      </c>
      <c r="C181" s="11" t="s">
        <v>23</v>
      </c>
      <c r="D181" s="11" t="s">
        <v>24</v>
      </c>
      <c r="E181" s="11" t="s">
        <v>25</v>
      </c>
      <c r="F181" s="11" t="s">
        <v>873</v>
      </c>
      <c r="G181" s="11" t="s">
        <v>874</v>
      </c>
      <c r="H181" s="11" t="s">
        <v>21</v>
      </c>
      <c r="I181" s="11" t="s">
        <v>212</v>
      </c>
      <c r="J181" s="11" t="s">
        <v>213</v>
      </c>
      <c r="K181" s="11">
        <v>1</v>
      </c>
      <c r="L181" s="11" t="s">
        <v>875</v>
      </c>
      <c r="M181" s="11" t="s">
        <v>215</v>
      </c>
      <c r="Q181" s="11" t="s">
        <v>105</v>
      </c>
      <c r="R181" s="11" t="s">
        <v>106</v>
      </c>
      <c r="S181" s="11" t="s">
        <v>1584</v>
      </c>
      <c r="T181" s="11" t="s">
        <v>107</v>
      </c>
      <c r="U181" s="11" t="s">
        <v>108</v>
      </c>
      <c r="V181" s="11" t="s">
        <v>21</v>
      </c>
      <c r="W181" s="11" t="s">
        <v>853</v>
      </c>
      <c r="X181" s="11" t="s">
        <v>24</v>
      </c>
      <c r="Y181" s="11" t="s">
        <v>24</v>
      </c>
      <c r="Z181" s="11" t="s">
        <v>854</v>
      </c>
      <c r="AC181" s="11" t="s">
        <v>111</v>
      </c>
      <c r="AD181" s="11" t="s">
        <v>762</v>
      </c>
      <c r="AE181" s="11" t="s">
        <v>469</v>
      </c>
      <c r="AL181" s="11">
        <v>1</v>
      </c>
      <c r="AP181" s="11" t="s">
        <v>21</v>
      </c>
      <c r="AQ181" s="11" t="s">
        <v>192</v>
      </c>
      <c r="AS181" s="11" t="s">
        <v>857</v>
      </c>
      <c r="AT181" s="11">
        <v>3</v>
      </c>
    </row>
    <row r="182" spans="2:63" x14ac:dyDescent="0.45">
      <c r="B182" s="11" t="s">
        <v>21</v>
      </c>
      <c r="C182" s="11" t="s">
        <v>23</v>
      </c>
      <c r="D182" s="11" t="s">
        <v>24</v>
      </c>
      <c r="E182" s="11" t="s">
        <v>25</v>
      </c>
      <c r="F182" s="11" t="s">
        <v>876</v>
      </c>
      <c r="G182" s="11" t="s">
        <v>877</v>
      </c>
      <c r="H182" s="11" t="s">
        <v>21</v>
      </c>
      <c r="I182" s="11" t="s">
        <v>218</v>
      </c>
      <c r="J182" s="11" t="s">
        <v>219</v>
      </c>
      <c r="K182" s="11">
        <v>1</v>
      </c>
      <c r="L182" s="11" t="s">
        <v>878</v>
      </c>
      <c r="M182" s="11" t="s">
        <v>221</v>
      </c>
      <c r="Q182" s="11" t="s">
        <v>105</v>
      </c>
      <c r="R182" s="11" t="s">
        <v>106</v>
      </c>
      <c r="S182" s="11" t="s">
        <v>1584</v>
      </c>
      <c r="T182" s="11" t="s">
        <v>107</v>
      </c>
      <c r="U182" s="11" t="s">
        <v>108</v>
      </c>
      <c r="V182" s="11" t="s">
        <v>21</v>
      </c>
      <c r="W182" s="11" t="s">
        <v>853</v>
      </c>
      <c r="X182" s="11" t="s">
        <v>24</v>
      </c>
      <c r="Y182" s="11" t="s">
        <v>24</v>
      </c>
      <c r="Z182" s="11" t="s">
        <v>854</v>
      </c>
      <c r="AC182" s="11" t="s">
        <v>111</v>
      </c>
      <c r="AD182" s="11" t="s">
        <v>762</v>
      </c>
      <c r="AE182" s="11" t="s">
        <v>469</v>
      </c>
      <c r="AL182" s="11">
        <v>1</v>
      </c>
      <c r="AP182" s="11" t="s">
        <v>21</v>
      </c>
      <c r="AQ182" s="11" t="s">
        <v>192</v>
      </c>
      <c r="AS182" s="11" t="s">
        <v>857</v>
      </c>
      <c r="AT182" s="11">
        <v>3</v>
      </c>
      <c r="BD182" s="11" t="s">
        <v>869</v>
      </c>
    </row>
    <row r="183" spans="2:63" x14ac:dyDescent="0.45">
      <c r="B183" s="11" t="s">
        <v>21</v>
      </c>
      <c r="C183" s="11" t="s">
        <v>23</v>
      </c>
      <c r="D183" s="11" t="s">
        <v>24</v>
      </c>
      <c r="E183" s="11" t="s">
        <v>25</v>
      </c>
      <c r="F183" s="11" t="s">
        <v>879</v>
      </c>
      <c r="G183" s="11" t="s">
        <v>880</v>
      </c>
      <c r="H183" s="11" t="s">
        <v>21</v>
      </c>
      <c r="I183" s="11" t="s">
        <v>881</v>
      </c>
      <c r="J183" s="11" t="s">
        <v>882</v>
      </c>
      <c r="K183" s="11">
        <v>1</v>
      </c>
      <c r="L183" s="11" t="s">
        <v>883</v>
      </c>
      <c r="M183" s="11" t="s">
        <v>884</v>
      </c>
      <c r="Q183" s="11" t="s">
        <v>105</v>
      </c>
      <c r="R183" s="11" t="s">
        <v>106</v>
      </c>
      <c r="S183" s="11" t="s">
        <v>1584</v>
      </c>
      <c r="T183" s="11" t="s">
        <v>107</v>
      </c>
      <c r="U183" s="11" t="s">
        <v>108</v>
      </c>
      <c r="V183" s="11" t="s">
        <v>21</v>
      </c>
      <c r="W183" s="11" t="s">
        <v>853</v>
      </c>
      <c r="X183" s="11" t="s">
        <v>24</v>
      </c>
      <c r="Y183" s="11" t="s">
        <v>24</v>
      </c>
      <c r="Z183" s="11" t="s">
        <v>854</v>
      </c>
      <c r="AC183" s="11" t="s">
        <v>111</v>
      </c>
      <c r="AD183" s="11" t="s">
        <v>762</v>
      </c>
      <c r="AE183" s="11" t="s">
        <v>387</v>
      </c>
      <c r="AL183" s="11">
        <v>1</v>
      </c>
    </row>
    <row r="184" spans="2:63" x14ac:dyDescent="0.45">
      <c r="B184" s="11" t="s">
        <v>21</v>
      </c>
      <c r="C184" s="11" t="s">
        <v>23</v>
      </c>
      <c r="D184" s="11" t="s">
        <v>24</v>
      </c>
      <c r="E184" s="11" t="s">
        <v>25</v>
      </c>
      <c r="F184" s="11" t="s">
        <v>885</v>
      </c>
      <c r="G184" s="11" t="s">
        <v>886</v>
      </c>
      <c r="H184" s="11" t="s">
        <v>21</v>
      </c>
      <c r="I184" s="11" t="s">
        <v>243</v>
      </c>
      <c r="J184" s="11" t="s">
        <v>244</v>
      </c>
      <c r="K184" s="11">
        <v>1</v>
      </c>
      <c r="L184" s="11" t="s">
        <v>887</v>
      </c>
      <c r="M184" s="11" t="s">
        <v>246</v>
      </c>
      <c r="Q184" s="11" t="s">
        <v>105</v>
      </c>
      <c r="R184" s="11" t="s">
        <v>106</v>
      </c>
      <c r="S184" s="11" t="s">
        <v>1584</v>
      </c>
      <c r="T184" s="11" t="s">
        <v>107</v>
      </c>
      <c r="U184" s="11" t="s">
        <v>108</v>
      </c>
      <c r="V184" s="11" t="s">
        <v>21</v>
      </c>
      <c r="W184" s="11" t="s">
        <v>853</v>
      </c>
      <c r="X184" s="11" t="s">
        <v>24</v>
      </c>
      <c r="Y184" s="11" t="s">
        <v>24</v>
      </c>
      <c r="Z184" s="11" t="s">
        <v>854</v>
      </c>
      <c r="AC184" s="11" t="s">
        <v>111</v>
      </c>
      <c r="AD184" s="11" t="s">
        <v>762</v>
      </c>
      <c r="AE184" s="11" t="s">
        <v>387</v>
      </c>
      <c r="AL184" s="11">
        <v>1</v>
      </c>
      <c r="AP184" s="11" t="s">
        <v>21</v>
      </c>
      <c r="AQ184" s="11" t="s">
        <v>185</v>
      </c>
      <c r="AS184" s="11" t="s">
        <v>887</v>
      </c>
      <c r="AT184" s="11">
        <v>1</v>
      </c>
      <c r="AU184" s="11">
        <v>1</v>
      </c>
      <c r="AV184" s="11" t="s">
        <v>888</v>
      </c>
      <c r="AW184" s="11">
        <v>15</v>
      </c>
      <c r="AX184" s="11">
        <v>20</v>
      </c>
    </row>
    <row r="185" spans="2:63" x14ac:dyDescent="0.45">
      <c r="B185" s="11" t="s">
        <v>21</v>
      </c>
      <c r="C185" s="11" t="s">
        <v>23</v>
      </c>
      <c r="D185" s="11" t="s">
        <v>24</v>
      </c>
      <c r="E185" s="11" t="s">
        <v>25</v>
      </c>
      <c r="F185" s="11" t="s">
        <v>889</v>
      </c>
      <c r="G185" s="11" t="s">
        <v>890</v>
      </c>
      <c r="H185" s="11" t="s">
        <v>21</v>
      </c>
      <c r="I185" s="11" t="s">
        <v>178</v>
      </c>
      <c r="J185" s="11" t="s">
        <v>179</v>
      </c>
      <c r="K185" s="11">
        <v>2</v>
      </c>
      <c r="L185" s="11" t="s">
        <v>888</v>
      </c>
      <c r="M185" s="11" t="s">
        <v>181</v>
      </c>
      <c r="Q185" s="11" t="s">
        <v>105</v>
      </c>
      <c r="R185" s="11" t="s">
        <v>106</v>
      </c>
      <c r="S185" s="11" t="s">
        <v>1584</v>
      </c>
      <c r="T185" s="11" t="s">
        <v>107</v>
      </c>
      <c r="U185" s="11" t="s">
        <v>108</v>
      </c>
      <c r="V185" s="11" t="s">
        <v>21</v>
      </c>
      <c r="W185" s="11" t="s">
        <v>853</v>
      </c>
      <c r="X185" s="11" t="s">
        <v>24</v>
      </c>
      <c r="Y185" s="11" t="s">
        <v>24</v>
      </c>
      <c r="Z185" s="11" t="s">
        <v>854</v>
      </c>
      <c r="AC185" s="11" t="s">
        <v>111</v>
      </c>
      <c r="AD185" s="11" t="s">
        <v>762</v>
      </c>
      <c r="AE185" s="11" t="s">
        <v>387</v>
      </c>
      <c r="AL185" s="11">
        <v>1</v>
      </c>
      <c r="AU185" s="11">
        <v>1</v>
      </c>
    </row>
    <row r="186" spans="2:63" x14ac:dyDescent="0.45">
      <c r="B186" s="11" t="s">
        <v>21</v>
      </c>
      <c r="C186" s="11" t="s">
        <v>23</v>
      </c>
      <c r="D186" s="11" t="s">
        <v>24</v>
      </c>
      <c r="E186" s="11" t="s">
        <v>25</v>
      </c>
      <c r="F186" s="11" t="s">
        <v>891</v>
      </c>
      <c r="G186" s="11" t="s">
        <v>892</v>
      </c>
      <c r="H186" s="11" t="s">
        <v>21</v>
      </c>
      <c r="I186" s="11" t="s">
        <v>249</v>
      </c>
      <c r="J186" s="11" t="s">
        <v>225</v>
      </c>
      <c r="K186" s="11">
        <v>1</v>
      </c>
      <c r="L186" s="11" t="s">
        <v>893</v>
      </c>
      <c r="M186" s="11" t="s">
        <v>251</v>
      </c>
      <c r="Q186" s="11" t="s">
        <v>105</v>
      </c>
      <c r="R186" s="11" t="s">
        <v>106</v>
      </c>
      <c r="S186" s="11" t="s">
        <v>1584</v>
      </c>
      <c r="T186" s="11" t="s">
        <v>107</v>
      </c>
      <c r="U186" s="11" t="s">
        <v>108</v>
      </c>
      <c r="V186" s="11" t="s">
        <v>21</v>
      </c>
      <c r="W186" s="11" t="s">
        <v>853</v>
      </c>
      <c r="X186" s="11" t="s">
        <v>24</v>
      </c>
      <c r="Y186" s="11" t="s">
        <v>24</v>
      </c>
      <c r="Z186" s="11" t="s">
        <v>854</v>
      </c>
      <c r="AC186" s="11" t="s">
        <v>111</v>
      </c>
      <c r="AD186" s="11" t="s">
        <v>762</v>
      </c>
      <c r="AE186" s="11" t="s">
        <v>356</v>
      </c>
      <c r="AL186" s="11">
        <v>1</v>
      </c>
    </row>
    <row r="187" spans="2:63" x14ac:dyDescent="0.45">
      <c r="B187" s="11" t="s">
        <v>21</v>
      </c>
      <c r="C187" s="11" t="s">
        <v>23</v>
      </c>
      <c r="D187" s="11" t="s">
        <v>24</v>
      </c>
      <c r="E187" s="11" t="s">
        <v>25</v>
      </c>
      <c r="F187" s="11" t="s">
        <v>894</v>
      </c>
      <c r="G187" s="11" t="s">
        <v>895</v>
      </c>
      <c r="H187" s="11" t="s">
        <v>21</v>
      </c>
      <c r="I187" s="11" t="s">
        <v>254</v>
      </c>
      <c r="J187" s="11" t="s">
        <v>255</v>
      </c>
      <c r="K187" s="11">
        <v>1</v>
      </c>
      <c r="L187" s="11" t="s">
        <v>896</v>
      </c>
      <c r="M187" s="11" t="s">
        <v>257</v>
      </c>
      <c r="Q187" s="11" t="s">
        <v>105</v>
      </c>
      <c r="R187" s="11" t="s">
        <v>106</v>
      </c>
      <c r="S187" s="11" t="s">
        <v>1584</v>
      </c>
      <c r="T187" s="11" t="s">
        <v>107</v>
      </c>
      <c r="U187" s="11" t="s">
        <v>108</v>
      </c>
      <c r="V187" s="11" t="s">
        <v>21</v>
      </c>
      <c r="W187" s="11" t="s">
        <v>853</v>
      </c>
      <c r="X187" s="11" t="s">
        <v>24</v>
      </c>
      <c r="Y187" s="11" t="s">
        <v>24</v>
      </c>
      <c r="Z187" s="11" t="s">
        <v>854</v>
      </c>
      <c r="AC187" s="11" t="s">
        <v>111</v>
      </c>
      <c r="AD187" s="11" t="s">
        <v>762</v>
      </c>
      <c r="AE187" s="11" t="s">
        <v>356</v>
      </c>
      <c r="AL187" s="11">
        <v>1</v>
      </c>
    </row>
    <row r="188" spans="2:63" x14ac:dyDescent="0.45">
      <c r="B188" s="11" t="s">
        <v>21</v>
      </c>
      <c r="C188" s="11" t="s">
        <v>23</v>
      </c>
      <c r="D188" s="11" t="s">
        <v>24</v>
      </c>
      <c r="E188" s="11" t="s">
        <v>25</v>
      </c>
      <c r="F188" s="11" t="s">
        <v>897</v>
      </c>
      <c r="G188" s="11" t="s">
        <v>898</v>
      </c>
      <c r="H188" s="11" t="s">
        <v>21</v>
      </c>
      <c r="I188" s="11" t="s">
        <v>243</v>
      </c>
      <c r="J188" s="11" t="s">
        <v>244</v>
      </c>
      <c r="K188" s="11">
        <v>2</v>
      </c>
      <c r="L188" s="11" t="s">
        <v>899</v>
      </c>
      <c r="M188" s="11" t="s">
        <v>246</v>
      </c>
      <c r="Q188" s="11" t="s">
        <v>105</v>
      </c>
      <c r="R188" s="11" t="s">
        <v>106</v>
      </c>
      <c r="S188" s="11" t="s">
        <v>1584</v>
      </c>
      <c r="T188" s="11" t="s">
        <v>107</v>
      </c>
      <c r="U188" s="11" t="s">
        <v>108</v>
      </c>
      <c r="V188" s="11" t="s">
        <v>21</v>
      </c>
      <c r="W188" s="11" t="s">
        <v>853</v>
      </c>
      <c r="X188" s="11" t="s">
        <v>24</v>
      </c>
      <c r="Y188" s="11" t="s">
        <v>24</v>
      </c>
      <c r="Z188" s="11" t="s">
        <v>854</v>
      </c>
      <c r="AC188" s="11" t="s">
        <v>111</v>
      </c>
      <c r="AD188" s="11" t="s">
        <v>762</v>
      </c>
      <c r="AE188" s="11" t="s">
        <v>356</v>
      </c>
      <c r="AL188" s="11">
        <v>1</v>
      </c>
    </row>
    <row r="189" spans="2:63" x14ac:dyDescent="0.45">
      <c r="B189" s="11" t="s">
        <v>21</v>
      </c>
      <c r="C189" s="11" t="s">
        <v>23</v>
      </c>
      <c r="D189" s="11" t="s">
        <v>24</v>
      </c>
      <c r="E189" s="11" t="s">
        <v>25</v>
      </c>
      <c r="F189" s="11" t="s">
        <v>900</v>
      </c>
      <c r="G189" s="11" t="s">
        <v>901</v>
      </c>
      <c r="H189" s="11" t="s">
        <v>21</v>
      </c>
      <c r="I189" s="11" t="s">
        <v>368</v>
      </c>
      <c r="J189" s="11" t="s">
        <v>369</v>
      </c>
      <c r="K189" s="11">
        <v>1</v>
      </c>
      <c r="L189" s="11" t="s">
        <v>902</v>
      </c>
      <c r="M189" s="11" t="s">
        <v>371</v>
      </c>
      <c r="Q189" s="11" t="s">
        <v>105</v>
      </c>
      <c r="R189" s="11" t="s">
        <v>106</v>
      </c>
      <c r="S189" s="11" t="s">
        <v>1584</v>
      </c>
      <c r="T189" s="11" t="s">
        <v>107</v>
      </c>
      <c r="U189" s="11" t="s">
        <v>108</v>
      </c>
      <c r="V189" s="11" t="s">
        <v>21</v>
      </c>
      <c r="W189" s="11" t="s">
        <v>853</v>
      </c>
      <c r="X189" s="11" t="s">
        <v>24</v>
      </c>
      <c r="Y189" s="11" t="s">
        <v>24</v>
      </c>
      <c r="Z189" s="11" t="s">
        <v>854</v>
      </c>
      <c r="AC189" s="11" t="s">
        <v>111</v>
      </c>
      <c r="AD189" s="11" t="s">
        <v>762</v>
      </c>
      <c r="AE189" s="11" t="s">
        <v>356</v>
      </c>
      <c r="AL189" s="11">
        <v>1</v>
      </c>
      <c r="AP189" s="11" t="s">
        <v>21</v>
      </c>
      <c r="AQ189" s="11" t="s">
        <v>273</v>
      </c>
      <c r="AS189" s="11" t="s">
        <v>902</v>
      </c>
      <c r="AT189" s="11">
        <v>2</v>
      </c>
    </row>
    <row r="190" spans="2:63" x14ac:dyDescent="0.45">
      <c r="B190" s="11" t="s">
        <v>21</v>
      </c>
      <c r="C190" s="11" t="s">
        <v>23</v>
      </c>
      <c r="D190" s="11" t="s">
        <v>24</v>
      </c>
      <c r="E190" s="11" t="s">
        <v>25</v>
      </c>
      <c r="F190" s="11" t="s">
        <v>903</v>
      </c>
      <c r="G190" s="11" t="s">
        <v>904</v>
      </c>
      <c r="H190" s="11" t="s">
        <v>21</v>
      </c>
      <c r="I190" s="11" t="s">
        <v>263</v>
      </c>
      <c r="J190" s="11" t="s">
        <v>264</v>
      </c>
      <c r="K190" s="11">
        <v>1</v>
      </c>
      <c r="L190" s="11" t="s">
        <v>905</v>
      </c>
      <c r="M190" s="11" t="s">
        <v>266</v>
      </c>
      <c r="Q190" s="11" t="s">
        <v>105</v>
      </c>
      <c r="R190" s="11" t="s">
        <v>106</v>
      </c>
      <c r="S190" s="11" t="s">
        <v>1584</v>
      </c>
      <c r="T190" s="11" t="s">
        <v>107</v>
      </c>
      <c r="U190" s="11" t="s">
        <v>108</v>
      </c>
      <c r="V190" s="11" t="s">
        <v>21</v>
      </c>
      <c r="W190" s="11" t="s">
        <v>906</v>
      </c>
      <c r="X190" s="11" t="s">
        <v>24</v>
      </c>
      <c r="Y190" s="11" t="s">
        <v>24</v>
      </c>
      <c r="Z190" s="11" t="s">
        <v>907</v>
      </c>
      <c r="AC190" s="11" t="s">
        <v>111</v>
      </c>
      <c r="AD190" s="11" t="s">
        <v>738</v>
      </c>
      <c r="AE190" s="11" t="s">
        <v>908</v>
      </c>
      <c r="AL190" s="11">
        <v>1</v>
      </c>
      <c r="AP190" s="11" t="s">
        <v>21</v>
      </c>
      <c r="AQ190" s="11" t="s">
        <v>185</v>
      </c>
      <c r="AS190" s="11" t="s">
        <v>905</v>
      </c>
      <c r="AT190" s="11">
        <v>1</v>
      </c>
      <c r="AU190" s="11">
        <v>1</v>
      </c>
      <c r="AV190" s="11" t="s">
        <v>909</v>
      </c>
      <c r="AW190" s="11">
        <v>15</v>
      </c>
      <c r="AX190" s="11">
        <v>20</v>
      </c>
    </row>
    <row r="191" spans="2:63" x14ac:dyDescent="0.45">
      <c r="B191" s="11" t="s">
        <v>21</v>
      </c>
      <c r="C191" s="11" t="s">
        <v>23</v>
      </c>
      <c r="D191" s="11" t="s">
        <v>24</v>
      </c>
      <c r="E191" s="11" t="s">
        <v>25</v>
      </c>
      <c r="F191" s="11" t="s">
        <v>910</v>
      </c>
      <c r="G191" s="11" t="s">
        <v>911</v>
      </c>
      <c r="H191" s="11" t="s">
        <v>21</v>
      </c>
      <c r="I191" s="11" t="s">
        <v>291</v>
      </c>
      <c r="J191" s="11" t="s">
        <v>292</v>
      </c>
      <c r="K191" s="11">
        <v>1</v>
      </c>
      <c r="L191" s="11" t="s">
        <v>909</v>
      </c>
      <c r="M191" s="11" t="s">
        <v>293</v>
      </c>
      <c r="Q191" s="11" t="s">
        <v>105</v>
      </c>
      <c r="R191" s="11" t="s">
        <v>106</v>
      </c>
      <c r="S191" s="11" t="s">
        <v>1584</v>
      </c>
      <c r="T191" s="11" t="s">
        <v>107</v>
      </c>
      <c r="U191" s="11" t="s">
        <v>108</v>
      </c>
      <c r="V191" s="11" t="s">
        <v>21</v>
      </c>
      <c r="W191" s="11" t="s">
        <v>906</v>
      </c>
      <c r="X191" s="11" t="s">
        <v>24</v>
      </c>
      <c r="Y191" s="11" t="s">
        <v>24</v>
      </c>
      <c r="Z191" s="11" t="s">
        <v>907</v>
      </c>
      <c r="AC191" s="11" t="s">
        <v>111</v>
      </c>
      <c r="AD191" s="11" t="s">
        <v>738</v>
      </c>
      <c r="AE191" s="11" t="s">
        <v>908</v>
      </c>
      <c r="AL191" s="11">
        <v>1</v>
      </c>
      <c r="AP191" s="11" t="s">
        <v>21</v>
      </c>
      <c r="AQ191" s="11" t="s">
        <v>294</v>
      </c>
      <c r="AS191" s="11" t="s">
        <v>905</v>
      </c>
      <c r="AT191" s="11">
        <v>2</v>
      </c>
      <c r="AU191" s="11">
        <v>1</v>
      </c>
    </row>
    <row r="192" spans="2:63" x14ac:dyDescent="0.45">
      <c r="B192" s="11" t="s">
        <v>21</v>
      </c>
      <c r="C192" s="11" t="s">
        <v>23</v>
      </c>
      <c r="D192" s="11" t="s">
        <v>24</v>
      </c>
      <c r="E192" s="11" t="s">
        <v>25</v>
      </c>
      <c r="F192" s="11" t="s">
        <v>912</v>
      </c>
      <c r="G192" s="11" t="s">
        <v>913</v>
      </c>
      <c r="H192" s="11" t="s">
        <v>21</v>
      </c>
      <c r="I192" s="11" t="s">
        <v>291</v>
      </c>
      <c r="J192" s="11" t="s">
        <v>292</v>
      </c>
      <c r="K192" s="11">
        <v>2</v>
      </c>
      <c r="L192" s="11" t="s">
        <v>914</v>
      </c>
      <c r="M192" s="11" t="s">
        <v>293</v>
      </c>
      <c r="Q192" s="11" t="s">
        <v>105</v>
      </c>
      <c r="R192" s="11" t="s">
        <v>106</v>
      </c>
      <c r="S192" s="11" t="s">
        <v>1584</v>
      </c>
      <c r="T192" s="11" t="s">
        <v>107</v>
      </c>
      <c r="U192" s="11" t="s">
        <v>108</v>
      </c>
      <c r="V192" s="11" t="s">
        <v>21</v>
      </c>
      <c r="W192" s="11" t="s">
        <v>906</v>
      </c>
      <c r="X192" s="11" t="s">
        <v>24</v>
      </c>
      <c r="Y192" s="11" t="s">
        <v>24</v>
      </c>
      <c r="Z192" s="11" t="s">
        <v>907</v>
      </c>
      <c r="AC192" s="11" t="s">
        <v>111</v>
      </c>
      <c r="AD192" s="11" t="s">
        <v>738</v>
      </c>
      <c r="AE192" s="11" t="s">
        <v>908</v>
      </c>
      <c r="AL192" s="11">
        <v>1</v>
      </c>
      <c r="AP192" s="11" t="s">
        <v>21</v>
      </c>
      <c r="AQ192" s="11" t="s">
        <v>294</v>
      </c>
      <c r="AS192" s="11" t="s">
        <v>905</v>
      </c>
      <c r="AT192" s="11">
        <v>2</v>
      </c>
    </row>
    <row r="193" spans="2:63" x14ac:dyDescent="0.45">
      <c r="B193" s="11" t="s">
        <v>21</v>
      </c>
      <c r="C193" s="11" t="s">
        <v>23</v>
      </c>
      <c r="D193" s="11" t="s">
        <v>24</v>
      </c>
      <c r="E193" s="11" t="s">
        <v>25</v>
      </c>
      <c r="F193" s="11" t="s">
        <v>915</v>
      </c>
      <c r="G193" s="11" t="s">
        <v>916</v>
      </c>
      <c r="H193" s="11" t="s">
        <v>21</v>
      </c>
      <c r="I193" s="11" t="s">
        <v>189</v>
      </c>
      <c r="J193" s="11" t="s">
        <v>190</v>
      </c>
      <c r="K193" s="11">
        <v>1</v>
      </c>
      <c r="L193" s="11" t="s">
        <v>917</v>
      </c>
      <c r="M193" s="11" t="s">
        <v>191</v>
      </c>
      <c r="Q193" s="11" t="s">
        <v>105</v>
      </c>
      <c r="R193" s="11" t="s">
        <v>106</v>
      </c>
      <c r="S193" s="11" t="s">
        <v>1584</v>
      </c>
      <c r="T193" s="11" t="s">
        <v>107</v>
      </c>
      <c r="U193" s="11" t="s">
        <v>108</v>
      </c>
      <c r="V193" s="11" t="s">
        <v>21</v>
      </c>
      <c r="W193" s="11" t="s">
        <v>906</v>
      </c>
      <c r="X193" s="11" t="s">
        <v>24</v>
      </c>
      <c r="Y193" s="11" t="s">
        <v>24</v>
      </c>
      <c r="Z193" s="11" t="s">
        <v>907</v>
      </c>
      <c r="AC193" s="11" t="s">
        <v>111</v>
      </c>
      <c r="AD193" s="11" t="s">
        <v>738</v>
      </c>
      <c r="AE193" s="11" t="s">
        <v>739</v>
      </c>
      <c r="AL193" s="11">
        <v>1</v>
      </c>
      <c r="AP193" s="11" t="s">
        <v>21</v>
      </c>
      <c r="AQ193" s="11" t="s">
        <v>192</v>
      </c>
      <c r="AS193" s="11" t="s">
        <v>917</v>
      </c>
      <c r="AT193" s="11">
        <v>3</v>
      </c>
    </row>
    <row r="194" spans="2:63" x14ac:dyDescent="0.45">
      <c r="B194" s="11" t="s">
        <v>21</v>
      </c>
      <c r="C194" s="11" t="s">
        <v>23</v>
      </c>
      <c r="D194" s="11" t="s">
        <v>24</v>
      </c>
      <c r="E194" s="11" t="s">
        <v>25</v>
      </c>
      <c r="F194" s="11" t="s">
        <v>918</v>
      </c>
      <c r="G194" s="11" t="s">
        <v>919</v>
      </c>
      <c r="H194" s="11" t="s">
        <v>21</v>
      </c>
      <c r="I194" s="11" t="s">
        <v>200</v>
      </c>
      <c r="J194" s="11" t="s">
        <v>201</v>
      </c>
      <c r="K194" s="11">
        <v>1</v>
      </c>
      <c r="L194" s="11" t="s">
        <v>920</v>
      </c>
      <c r="M194" s="11" t="s">
        <v>203</v>
      </c>
      <c r="Q194" s="11" t="s">
        <v>105</v>
      </c>
      <c r="R194" s="11" t="s">
        <v>106</v>
      </c>
      <c r="S194" s="11" t="s">
        <v>1584</v>
      </c>
      <c r="T194" s="11" t="s">
        <v>107</v>
      </c>
      <c r="U194" s="11" t="s">
        <v>108</v>
      </c>
      <c r="V194" s="11" t="s">
        <v>21</v>
      </c>
      <c r="W194" s="11" t="s">
        <v>906</v>
      </c>
      <c r="X194" s="11" t="s">
        <v>24</v>
      </c>
      <c r="Y194" s="11" t="s">
        <v>24</v>
      </c>
      <c r="Z194" s="11" t="s">
        <v>907</v>
      </c>
      <c r="AC194" s="11" t="s">
        <v>111</v>
      </c>
      <c r="AD194" s="11" t="s">
        <v>738</v>
      </c>
      <c r="AE194" s="11" t="s">
        <v>739</v>
      </c>
      <c r="AF194" s="11">
        <v>8</v>
      </c>
      <c r="AL194" s="11">
        <v>1</v>
      </c>
      <c r="AP194" s="11" t="s">
        <v>21</v>
      </c>
      <c r="AQ194" s="11" t="s">
        <v>192</v>
      </c>
      <c r="AS194" s="11" t="s">
        <v>917</v>
      </c>
      <c r="AT194" s="11">
        <v>3</v>
      </c>
      <c r="BH194" s="11" t="s">
        <v>106</v>
      </c>
      <c r="BI194" s="11" t="s">
        <v>105</v>
      </c>
      <c r="BJ194" s="11" t="s">
        <v>106</v>
      </c>
      <c r="BK194" s="11" t="s">
        <v>106</v>
      </c>
    </row>
    <row r="195" spans="2:63" x14ac:dyDescent="0.45">
      <c r="B195" s="11" t="s">
        <v>21</v>
      </c>
      <c r="C195" s="11" t="s">
        <v>23</v>
      </c>
      <c r="D195" s="11" t="s">
        <v>24</v>
      </c>
      <c r="E195" s="11" t="s">
        <v>25</v>
      </c>
      <c r="F195" s="11" t="s">
        <v>921</v>
      </c>
      <c r="G195" s="11" t="s">
        <v>922</v>
      </c>
      <c r="H195" s="11" t="s">
        <v>21</v>
      </c>
      <c r="I195" s="11" t="s">
        <v>206</v>
      </c>
      <c r="J195" s="11" t="s">
        <v>207</v>
      </c>
      <c r="K195" s="11">
        <v>1</v>
      </c>
      <c r="L195" s="11" t="s">
        <v>923</v>
      </c>
      <c r="M195" s="11" t="s">
        <v>209</v>
      </c>
      <c r="Q195" s="11" t="s">
        <v>105</v>
      </c>
      <c r="R195" s="11" t="s">
        <v>106</v>
      </c>
      <c r="S195" s="11" t="s">
        <v>1584</v>
      </c>
      <c r="T195" s="11" t="s">
        <v>107</v>
      </c>
      <c r="U195" s="11" t="s">
        <v>108</v>
      </c>
      <c r="V195" s="11" t="s">
        <v>21</v>
      </c>
      <c r="W195" s="11" t="s">
        <v>906</v>
      </c>
      <c r="X195" s="11" t="s">
        <v>24</v>
      </c>
      <c r="Y195" s="11" t="s">
        <v>24</v>
      </c>
      <c r="Z195" s="11" t="s">
        <v>907</v>
      </c>
      <c r="AC195" s="11" t="s">
        <v>111</v>
      </c>
      <c r="AD195" s="11" t="s">
        <v>738</v>
      </c>
      <c r="AE195" s="11" t="s">
        <v>739</v>
      </c>
      <c r="AL195" s="11">
        <v>1</v>
      </c>
      <c r="AP195" s="11" t="s">
        <v>21</v>
      </c>
      <c r="AQ195" s="11" t="s">
        <v>192</v>
      </c>
      <c r="AS195" s="11" t="s">
        <v>917</v>
      </c>
      <c r="AT195" s="11">
        <v>3</v>
      </c>
    </row>
    <row r="196" spans="2:63" x14ac:dyDescent="0.45">
      <c r="B196" s="11" t="s">
        <v>21</v>
      </c>
      <c r="C196" s="11" t="s">
        <v>23</v>
      </c>
      <c r="D196" s="11" t="s">
        <v>24</v>
      </c>
      <c r="E196" s="11" t="s">
        <v>25</v>
      </c>
      <c r="F196" s="11" t="s">
        <v>924</v>
      </c>
      <c r="G196" s="11" t="s">
        <v>925</v>
      </c>
      <c r="H196" s="11" t="s">
        <v>21</v>
      </c>
      <c r="I196" s="11" t="s">
        <v>212</v>
      </c>
      <c r="J196" s="11" t="s">
        <v>213</v>
      </c>
      <c r="K196" s="11">
        <v>1</v>
      </c>
      <c r="L196" s="11" t="s">
        <v>926</v>
      </c>
      <c r="M196" s="11" t="s">
        <v>215</v>
      </c>
      <c r="Q196" s="11" t="s">
        <v>105</v>
      </c>
      <c r="R196" s="11" t="s">
        <v>106</v>
      </c>
      <c r="S196" s="11" t="s">
        <v>1584</v>
      </c>
      <c r="T196" s="11" t="s">
        <v>107</v>
      </c>
      <c r="U196" s="11" t="s">
        <v>108</v>
      </c>
      <c r="V196" s="11" t="s">
        <v>21</v>
      </c>
      <c r="W196" s="11" t="s">
        <v>906</v>
      </c>
      <c r="X196" s="11" t="s">
        <v>24</v>
      </c>
      <c r="Y196" s="11" t="s">
        <v>24</v>
      </c>
      <c r="Z196" s="11" t="s">
        <v>907</v>
      </c>
      <c r="AC196" s="11" t="s">
        <v>111</v>
      </c>
      <c r="AD196" s="11" t="s">
        <v>738</v>
      </c>
      <c r="AE196" s="11" t="s">
        <v>739</v>
      </c>
      <c r="AL196" s="11">
        <v>1</v>
      </c>
      <c r="AP196" s="11" t="s">
        <v>21</v>
      </c>
      <c r="AQ196" s="11" t="s">
        <v>192</v>
      </c>
      <c r="AS196" s="11" t="s">
        <v>917</v>
      </c>
      <c r="AT196" s="11">
        <v>3</v>
      </c>
    </row>
    <row r="197" spans="2:63" x14ac:dyDescent="0.45">
      <c r="B197" s="11" t="s">
        <v>21</v>
      </c>
      <c r="C197" s="11" t="s">
        <v>23</v>
      </c>
      <c r="D197" s="11" t="s">
        <v>24</v>
      </c>
      <c r="E197" s="11" t="s">
        <v>25</v>
      </c>
      <c r="F197" s="11" t="s">
        <v>927</v>
      </c>
      <c r="G197" s="11" t="s">
        <v>928</v>
      </c>
      <c r="H197" s="11" t="s">
        <v>21</v>
      </c>
      <c r="I197" s="11" t="s">
        <v>218</v>
      </c>
      <c r="J197" s="11" t="s">
        <v>219</v>
      </c>
      <c r="K197" s="11">
        <v>1</v>
      </c>
      <c r="L197" s="11" t="s">
        <v>929</v>
      </c>
      <c r="M197" s="11" t="s">
        <v>221</v>
      </c>
      <c r="Q197" s="11" t="s">
        <v>105</v>
      </c>
      <c r="R197" s="11" t="s">
        <v>106</v>
      </c>
      <c r="S197" s="11" t="s">
        <v>1584</v>
      </c>
      <c r="T197" s="11" t="s">
        <v>107</v>
      </c>
      <c r="U197" s="11" t="s">
        <v>108</v>
      </c>
      <c r="V197" s="11" t="s">
        <v>21</v>
      </c>
      <c r="W197" s="11" t="s">
        <v>906</v>
      </c>
      <c r="X197" s="11" t="s">
        <v>24</v>
      </c>
      <c r="Y197" s="11" t="s">
        <v>24</v>
      </c>
      <c r="Z197" s="11" t="s">
        <v>907</v>
      </c>
      <c r="AC197" s="11" t="s">
        <v>111</v>
      </c>
      <c r="AD197" s="11" t="s">
        <v>738</v>
      </c>
      <c r="AE197" s="11" t="s">
        <v>739</v>
      </c>
      <c r="AL197" s="11">
        <v>1</v>
      </c>
      <c r="AP197" s="11" t="s">
        <v>21</v>
      </c>
      <c r="AQ197" s="11" t="s">
        <v>192</v>
      </c>
      <c r="AS197" s="11" t="s">
        <v>917</v>
      </c>
      <c r="AT197" s="11">
        <v>3</v>
      </c>
      <c r="BD197" s="11" t="s">
        <v>920</v>
      </c>
    </row>
    <row r="198" spans="2:63" x14ac:dyDescent="0.45">
      <c r="B198" s="11" t="s">
        <v>21</v>
      </c>
      <c r="C198" s="11" t="s">
        <v>23</v>
      </c>
      <c r="D198" s="11" t="s">
        <v>24</v>
      </c>
      <c r="E198" s="11" t="s">
        <v>25</v>
      </c>
      <c r="F198" s="11" t="s">
        <v>930</v>
      </c>
      <c r="G198" s="11" t="s">
        <v>931</v>
      </c>
      <c r="H198" s="11" t="s">
        <v>21</v>
      </c>
      <c r="I198" s="11" t="s">
        <v>348</v>
      </c>
      <c r="J198" s="11" t="s">
        <v>349</v>
      </c>
      <c r="K198" s="11">
        <v>1</v>
      </c>
      <c r="L198" s="11" t="s">
        <v>932</v>
      </c>
      <c r="M198" s="11" t="s">
        <v>351</v>
      </c>
      <c r="Q198" s="11" t="s">
        <v>105</v>
      </c>
      <c r="R198" s="11" t="s">
        <v>106</v>
      </c>
      <c r="S198" s="11" t="s">
        <v>1584</v>
      </c>
      <c r="T198" s="11" t="s">
        <v>107</v>
      </c>
      <c r="U198" s="11" t="s">
        <v>108</v>
      </c>
      <c r="V198" s="11" t="s">
        <v>21</v>
      </c>
      <c r="W198" s="11" t="s">
        <v>906</v>
      </c>
      <c r="X198" s="11" t="s">
        <v>24</v>
      </c>
      <c r="Y198" s="11" t="s">
        <v>24</v>
      </c>
      <c r="Z198" s="11" t="s">
        <v>907</v>
      </c>
      <c r="AC198" s="11" t="s">
        <v>111</v>
      </c>
      <c r="AD198" s="11" t="s">
        <v>738</v>
      </c>
      <c r="AE198" s="11" t="s">
        <v>352</v>
      </c>
      <c r="AL198" s="11">
        <v>1</v>
      </c>
    </row>
    <row r="199" spans="2:63" x14ac:dyDescent="0.45">
      <c r="B199" s="11" t="s">
        <v>21</v>
      </c>
      <c r="C199" s="11" t="s">
        <v>23</v>
      </c>
      <c r="D199" s="11" t="s">
        <v>24</v>
      </c>
      <c r="E199" s="11" t="s">
        <v>25</v>
      </c>
      <c r="F199" s="11" t="s">
        <v>933</v>
      </c>
      <c r="G199" s="11" t="s">
        <v>934</v>
      </c>
      <c r="H199" s="11" t="s">
        <v>21</v>
      </c>
      <c r="I199" s="11" t="s">
        <v>243</v>
      </c>
      <c r="J199" s="11" t="s">
        <v>244</v>
      </c>
      <c r="K199" s="11">
        <v>1</v>
      </c>
      <c r="L199" s="11" t="s">
        <v>935</v>
      </c>
      <c r="M199" s="11" t="s">
        <v>246</v>
      </c>
      <c r="Q199" s="11" t="s">
        <v>105</v>
      </c>
      <c r="R199" s="11" t="s">
        <v>106</v>
      </c>
      <c r="S199" s="11" t="s">
        <v>1584</v>
      </c>
      <c r="T199" s="11" t="s">
        <v>107</v>
      </c>
      <c r="U199" s="11" t="s">
        <v>108</v>
      </c>
      <c r="V199" s="11" t="s">
        <v>21</v>
      </c>
      <c r="W199" s="11" t="s">
        <v>906</v>
      </c>
      <c r="X199" s="11" t="s">
        <v>24</v>
      </c>
      <c r="Y199" s="11" t="s">
        <v>24</v>
      </c>
      <c r="Z199" s="11" t="s">
        <v>907</v>
      </c>
      <c r="AC199" s="11" t="s">
        <v>111</v>
      </c>
      <c r="AD199" s="11" t="s">
        <v>738</v>
      </c>
      <c r="AE199" s="11" t="s">
        <v>356</v>
      </c>
      <c r="AL199" s="11">
        <v>1</v>
      </c>
    </row>
    <row r="200" spans="2:63" x14ac:dyDescent="0.45">
      <c r="B200" s="11" t="s">
        <v>21</v>
      </c>
      <c r="C200" s="11" t="s">
        <v>23</v>
      </c>
      <c r="D200" s="11" t="s">
        <v>24</v>
      </c>
      <c r="E200" s="11" t="s">
        <v>25</v>
      </c>
      <c r="F200" s="11" t="s">
        <v>936</v>
      </c>
      <c r="G200" s="11" t="s">
        <v>937</v>
      </c>
      <c r="H200" s="11" t="s">
        <v>21</v>
      </c>
      <c r="I200" s="11" t="s">
        <v>249</v>
      </c>
      <c r="J200" s="11" t="s">
        <v>225</v>
      </c>
      <c r="K200" s="11">
        <v>1</v>
      </c>
      <c r="L200" s="11" t="s">
        <v>938</v>
      </c>
      <c r="M200" s="11" t="s">
        <v>251</v>
      </c>
      <c r="Q200" s="11" t="s">
        <v>105</v>
      </c>
      <c r="R200" s="11" t="s">
        <v>106</v>
      </c>
      <c r="S200" s="11" t="s">
        <v>1584</v>
      </c>
      <c r="T200" s="11" t="s">
        <v>107</v>
      </c>
      <c r="U200" s="11" t="s">
        <v>108</v>
      </c>
      <c r="V200" s="11" t="s">
        <v>21</v>
      </c>
      <c r="W200" s="11" t="s">
        <v>906</v>
      </c>
      <c r="X200" s="11" t="s">
        <v>24</v>
      </c>
      <c r="Y200" s="11" t="s">
        <v>24</v>
      </c>
      <c r="Z200" s="11" t="s">
        <v>907</v>
      </c>
      <c r="AC200" s="11" t="s">
        <v>111</v>
      </c>
      <c r="AD200" s="11" t="s">
        <v>738</v>
      </c>
      <c r="AE200" s="11" t="s">
        <v>356</v>
      </c>
      <c r="AL200" s="11">
        <v>1</v>
      </c>
    </row>
    <row r="201" spans="2:63" x14ac:dyDescent="0.45">
      <c r="B201" s="11" t="s">
        <v>21</v>
      </c>
      <c r="C201" s="11" t="s">
        <v>23</v>
      </c>
      <c r="D201" s="11" t="s">
        <v>24</v>
      </c>
      <c r="E201" s="11" t="s">
        <v>25</v>
      </c>
      <c r="F201" s="11" t="s">
        <v>939</v>
      </c>
      <c r="G201" s="11" t="s">
        <v>940</v>
      </c>
      <c r="H201" s="11" t="s">
        <v>21</v>
      </c>
      <c r="I201" s="11" t="s">
        <v>254</v>
      </c>
      <c r="J201" s="11" t="s">
        <v>255</v>
      </c>
      <c r="K201" s="11">
        <v>1</v>
      </c>
      <c r="L201" s="11" t="s">
        <v>941</v>
      </c>
      <c r="M201" s="11" t="s">
        <v>257</v>
      </c>
      <c r="Q201" s="11" t="s">
        <v>105</v>
      </c>
      <c r="R201" s="11" t="s">
        <v>106</v>
      </c>
      <c r="S201" s="11" t="s">
        <v>1584</v>
      </c>
      <c r="T201" s="11" t="s">
        <v>107</v>
      </c>
      <c r="U201" s="11" t="s">
        <v>108</v>
      </c>
      <c r="V201" s="11" t="s">
        <v>21</v>
      </c>
      <c r="W201" s="11" t="s">
        <v>906</v>
      </c>
      <c r="X201" s="11" t="s">
        <v>24</v>
      </c>
      <c r="Y201" s="11" t="s">
        <v>24</v>
      </c>
      <c r="Z201" s="11" t="s">
        <v>907</v>
      </c>
      <c r="AC201" s="11" t="s">
        <v>111</v>
      </c>
      <c r="AD201" s="11" t="s">
        <v>738</v>
      </c>
      <c r="AE201" s="11" t="s">
        <v>356</v>
      </c>
      <c r="AL201" s="11">
        <v>1</v>
      </c>
    </row>
    <row r="202" spans="2:63" x14ac:dyDescent="0.45">
      <c r="B202" s="11" t="s">
        <v>21</v>
      </c>
      <c r="C202" s="11" t="s">
        <v>23</v>
      </c>
      <c r="D202" s="11" t="s">
        <v>24</v>
      </c>
      <c r="E202" s="11" t="s">
        <v>25</v>
      </c>
      <c r="F202" s="11" t="s">
        <v>942</v>
      </c>
      <c r="G202" s="11" t="s">
        <v>943</v>
      </c>
      <c r="H202" s="11" t="s">
        <v>21</v>
      </c>
      <c r="I202" s="11" t="s">
        <v>243</v>
      </c>
      <c r="J202" s="11" t="s">
        <v>244</v>
      </c>
      <c r="K202" s="11">
        <v>2</v>
      </c>
      <c r="L202" s="11" t="s">
        <v>944</v>
      </c>
      <c r="M202" s="11" t="s">
        <v>246</v>
      </c>
      <c r="Q202" s="11" t="s">
        <v>105</v>
      </c>
      <c r="R202" s="11" t="s">
        <v>106</v>
      </c>
      <c r="S202" s="11" t="s">
        <v>1584</v>
      </c>
      <c r="T202" s="11" t="s">
        <v>107</v>
      </c>
      <c r="U202" s="11" t="s">
        <v>108</v>
      </c>
      <c r="V202" s="11" t="s">
        <v>21</v>
      </c>
      <c r="W202" s="11" t="s">
        <v>906</v>
      </c>
      <c r="X202" s="11" t="s">
        <v>24</v>
      </c>
      <c r="Y202" s="11" t="s">
        <v>24</v>
      </c>
      <c r="Z202" s="11" t="s">
        <v>907</v>
      </c>
      <c r="AC202" s="11" t="s">
        <v>111</v>
      </c>
      <c r="AD202" s="11" t="s">
        <v>738</v>
      </c>
      <c r="AE202" s="11" t="s">
        <v>356</v>
      </c>
      <c r="AL202" s="11">
        <v>1</v>
      </c>
    </row>
    <row r="203" spans="2:63" x14ac:dyDescent="0.45">
      <c r="B203" s="11" t="s">
        <v>21</v>
      </c>
      <c r="C203" s="11" t="s">
        <v>23</v>
      </c>
      <c r="D203" s="11" t="s">
        <v>24</v>
      </c>
      <c r="E203" s="11" t="s">
        <v>25</v>
      </c>
      <c r="F203" s="11" t="s">
        <v>945</v>
      </c>
      <c r="G203" s="11" t="s">
        <v>946</v>
      </c>
      <c r="H203" s="11" t="s">
        <v>21</v>
      </c>
      <c r="I203" s="11" t="s">
        <v>390</v>
      </c>
      <c r="J203" s="11" t="s">
        <v>391</v>
      </c>
      <c r="K203" s="11">
        <v>1</v>
      </c>
      <c r="L203" s="11" t="s">
        <v>947</v>
      </c>
      <c r="M203" s="11" t="s">
        <v>393</v>
      </c>
      <c r="Q203" s="11" t="s">
        <v>105</v>
      </c>
      <c r="R203" s="11" t="s">
        <v>106</v>
      </c>
      <c r="S203" s="11" t="s">
        <v>1584</v>
      </c>
      <c r="T203" s="11" t="s">
        <v>107</v>
      </c>
      <c r="U203" s="11" t="s">
        <v>108</v>
      </c>
      <c r="V203" s="11" t="s">
        <v>21</v>
      </c>
      <c r="W203" s="11" t="s">
        <v>906</v>
      </c>
      <c r="X203" s="11" t="s">
        <v>24</v>
      </c>
      <c r="Y203" s="11" t="s">
        <v>24</v>
      </c>
      <c r="Z203" s="11" t="s">
        <v>907</v>
      </c>
      <c r="AC203" s="11" t="s">
        <v>111</v>
      </c>
      <c r="AD203" s="11" t="s">
        <v>738</v>
      </c>
      <c r="AE203" s="11" t="s">
        <v>356</v>
      </c>
      <c r="AL203" s="11">
        <v>1</v>
      </c>
    </row>
    <row r="204" spans="2:63" x14ac:dyDescent="0.45">
      <c r="B204" s="11" t="s">
        <v>21</v>
      </c>
      <c r="C204" s="11" t="s">
        <v>23</v>
      </c>
      <c r="D204" s="11" t="s">
        <v>24</v>
      </c>
      <c r="E204" s="11" t="s">
        <v>25</v>
      </c>
      <c r="F204" s="11" t="s">
        <v>948</v>
      </c>
      <c r="G204" s="11" t="s">
        <v>949</v>
      </c>
      <c r="H204" s="11" t="s">
        <v>21</v>
      </c>
      <c r="I204" s="11" t="s">
        <v>368</v>
      </c>
      <c r="J204" s="11" t="s">
        <v>369</v>
      </c>
      <c r="K204" s="11">
        <v>1</v>
      </c>
      <c r="L204" s="11" t="s">
        <v>950</v>
      </c>
      <c r="M204" s="11" t="s">
        <v>371</v>
      </c>
      <c r="Q204" s="11" t="s">
        <v>105</v>
      </c>
      <c r="R204" s="11" t="s">
        <v>106</v>
      </c>
      <c r="S204" s="11" t="s">
        <v>1584</v>
      </c>
      <c r="T204" s="11" t="s">
        <v>107</v>
      </c>
      <c r="U204" s="11" t="s">
        <v>108</v>
      </c>
      <c r="V204" s="11" t="s">
        <v>21</v>
      </c>
      <c r="W204" s="11" t="s">
        <v>906</v>
      </c>
      <c r="X204" s="11" t="s">
        <v>24</v>
      </c>
      <c r="Y204" s="11" t="s">
        <v>24</v>
      </c>
      <c r="Z204" s="11" t="s">
        <v>907</v>
      </c>
      <c r="AC204" s="11" t="s">
        <v>111</v>
      </c>
      <c r="AD204" s="11" t="s">
        <v>738</v>
      </c>
      <c r="AE204" s="11" t="s">
        <v>356</v>
      </c>
      <c r="AL204" s="11">
        <v>1</v>
      </c>
      <c r="AP204" s="11" t="s">
        <v>21</v>
      </c>
      <c r="AQ204" s="11" t="s">
        <v>273</v>
      </c>
      <c r="AS204" s="11" t="s">
        <v>950</v>
      </c>
      <c r="AT204" s="11">
        <v>2</v>
      </c>
    </row>
    <row r="205" spans="2:63" x14ac:dyDescent="0.45">
      <c r="B205" s="11" t="s">
        <v>21</v>
      </c>
      <c r="C205" s="11" t="s">
        <v>23</v>
      </c>
      <c r="D205" s="11" t="s">
        <v>24</v>
      </c>
      <c r="E205" s="11" t="s">
        <v>25</v>
      </c>
      <c r="F205" s="11" t="s">
        <v>951</v>
      </c>
      <c r="G205" s="11" t="s">
        <v>952</v>
      </c>
      <c r="H205" s="11" t="s">
        <v>21</v>
      </c>
      <c r="I205" s="11" t="s">
        <v>237</v>
      </c>
      <c r="J205" s="11" t="s">
        <v>238</v>
      </c>
      <c r="K205" s="11">
        <v>1</v>
      </c>
      <c r="L205" s="11" t="s">
        <v>953</v>
      </c>
      <c r="M205" s="11" t="s">
        <v>240</v>
      </c>
      <c r="Q205" s="11" t="s">
        <v>105</v>
      </c>
      <c r="R205" s="11" t="s">
        <v>106</v>
      </c>
      <c r="S205" s="11" t="s">
        <v>1584</v>
      </c>
      <c r="T205" s="11" t="s">
        <v>107</v>
      </c>
      <c r="U205" s="11" t="s">
        <v>108</v>
      </c>
      <c r="V205" s="11" t="s">
        <v>21</v>
      </c>
      <c r="W205" s="11" t="s">
        <v>906</v>
      </c>
      <c r="X205" s="11" t="s">
        <v>24</v>
      </c>
      <c r="Y205" s="11" t="s">
        <v>24</v>
      </c>
      <c r="Z205" s="11" t="s">
        <v>907</v>
      </c>
      <c r="AC205" s="11" t="s">
        <v>111</v>
      </c>
      <c r="AD205" s="11" t="s">
        <v>738</v>
      </c>
      <c r="AE205" s="11" t="s">
        <v>352</v>
      </c>
      <c r="AL205" s="11">
        <v>1</v>
      </c>
    </row>
    <row r="206" spans="2:63" x14ac:dyDescent="0.45">
      <c r="B206" s="11" t="s">
        <v>21</v>
      </c>
      <c r="C206" s="11" t="s">
        <v>23</v>
      </c>
      <c r="D206" s="11" t="s">
        <v>24</v>
      </c>
      <c r="E206" s="11" t="s">
        <v>25</v>
      </c>
      <c r="F206" s="11" t="s">
        <v>954</v>
      </c>
      <c r="G206" s="11" t="s">
        <v>955</v>
      </c>
      <c r="H206" s="11" t="s">
        <v>21</v>
      </c>
      <c r="I206" s="11" t="s">
        <v>178</v>
      </c>
      <c r="J206" s="11" t="s">
        <v>179</v>
      </c>
      <c r="K206" s="11">
        <v>1</v>
      </c>
      <c r="L206" s="11" t="s">
        <v>956</v>
      </c>
      <c r="M206" s="11" t="s">
        <v>181</v>
      </c>
      <c r="Q206" s="11" t="s">
        <v>105</v>
      </c>
      <c r="R206" s="11" t="s">
        <v>106</v>
      </c>
      <c r="S206" s="11" t="s">
        <v>1584</v>
      </c>
      <c r="T206" s="11" t="s">
        <v>107</v>
      </c>
      <c r="U206" s="11" t="s">
        <v>108</v>
      </c>
      <c r="V206" s="11" t="s">
        <v>21</v>
      </c>
      <c r="W206" s="11" t="s">
        <v>906</v>
      </c>
      <c r="X206" s="11" t="s">
        <v>24</v>
      </c>
      <c r="Y206" s="11" t="s">
        <v>24</v>
      </c>
      <c r="Z206" s="11" t="s">
        <v>907</v>
      </c>
      <c r="AC206" s="11" t="s">
        <v>111</v>
      </c>
      <c r="AD206" s="11" t="s">
        <v>738</v>
      </c>
      <c r="AE206" s="11" t="s">
        <v>387</v>
      </c>
      <c r="AL206" s="11">
        <v>1</v>
      </c>
    </row>
    <row r="207" spans="2:63" x14ac:dyDescent="0.45">
      <c r="B207" s="11" t="s">
        <v>21</v>
      </c>
      <c r="C207" s="11" t="s">
        <v>23</v>
      </c>
      <c r="D207" s="11" t="s">
        <v>24</v>
      </c>
      <c r="E207" s="11" t="s">
        <v>25</v>
      </c>
      <c r="F207" s="11" t="s">
        <v>957</v>
      </c>
      <c r="G207" s="11" t="s">
        <v>958</v>
      </c>
      <c r="H207" s="11" t="s">
        <v>21</v>
      </c>
      <c r="I207" s="11" t="s">
        <v>276</v>
      </c>
      <c r="J207" s="11" t="s">
        <v>277</v>
      </c>
      <c r="K207" s="11">
        <v>1</v>
      </c>
      <c r="L207" s="11" t="s">
        <v>959</v>
      </c>
      <c r="M207" s="11" t="s">
        <v>279</v>
      </c>
      <c r="Q207" s="11" t="s">
        <v>105</v>
      </c>
      <c r="R207" s="11" t="s">
        <v>106</v>
      </c>
      <c r="S207" s="11" t="s">
        <v>1584</v>
      </c>
      <c r="T207" s="11" t="s">
        <v>107</v>
      </c>
      <c r="U207" s="11" t="s">
        <v>108</v>
      </c>
      <c r="V207" s="11" t="s">
        <v>21</v>
      </c>
      <c r="W207" s="11" t="s">
        <v>906</v>
      </c>
      <c r="X207" s="11" t="s">
        <v>24</v>
      </c>
      <c r="Y207" s="11" t="s">
        <v>24</v>
      </c>
      <c r="Z207" s="11" t="s">
        <v>907</v>
      </c>
      <c r="AC207" s="11" t="s">
        <v>111</v>
      </c>
      <c r="AD207" s="11" t="s">
        <v>738</v>
      </c>
      <c r="AE207" s="11" t="s">
        <v>387</v>
      </c>
      <c r="AL207" s="11">
        <v>1</v>
      </c>
      <c r="AP207" s="11" t="s">
        <v>21</v>
      </c>
      <c r="AQ207" s="11" t="s">
        <v>960</v>
      </c>
      <c r="AS207" s="11" t="s">
        <v>959</v>
      </c>
      <c r="AT207" s="11">
        <v>1</v>
      </c>
      <c r="BA207" s="11">
        <v>1</v>
      </c>
    </row>
    <row r="208" spans="2:63" x14ac:dyDescent="0.45">
      <c r="B208" s="11" t="s">
        <v>21</v>
      </c>
      <c r="C208" s="11" t="s">
        <v>23</v>
      </c>
      <c r="D208" s="11" t="s">
        <v>24</v>
      </c>
      <c r="E208" s="11" t="s">
        <v>25</v>
      </c>
      <c r="F208" s="11" t="s">
        <v>961</v>
      </c>
      <c r="G208" s="11" t="s">
        <v>962</v>
      </c>
      <c r="H208" s="11" t="s">
        <v>21</v>
      </c>
      <c r="I208" s="11" t="s">
        <v>963</v>
      </c>
      <c r="J208" s="11" t="s">
        <v>964</v>
      </c>
      <c r="K208" s="11">
        <v>1</v>
      </c>
      <c r="L208" s="11" t="s">
        <v>965</v>
      </c>
      <c r="M208" s="11" t="s">
        <v>966</v>
      </c>
      <c r="Q208" s="11" t="s">
        <v>105</v>
      </c>
      <c r="R208" s="11" t="s">
        <v>106</v>
      </c>
      <c r="S208" s="11" t="s">
        <v>1584</v>
      </c>
      <c r="T208" s="11" t="s">
        <v>107</v>
      </c>
      <c r="U208" s="11" t="s">
        <v>108</v>
      </c>
      <c r="V208" s="11" t="s">
        <v>21</v>
      </c>
      <c r="W208" s="11" t="s">
        <v>906</v>
      </c>
      <c r="X208" s="11" t="s">
        <v>24</v>
      </c>
      <c r="Y208" s="11" t="s">
        <v>24</v>
      </c>
      <c r="Z208" s="11" t="s">
        <v>907</v>
      </c>
      <c r="AC208" s="11" t="s">
        <v>111</v>
      </c>
      <c r="AD208" s="11" t="s">
        <v>184</v>
      </c>
      <c r="AE208" s="11" t="s">
        <v>387</v>
      </c>
      <c r="AL208" s="11">
        <v>1</v>
      </c>
    </row>
    <row r="209" spans="2:63" x14ac:dyDescent="0.45">
      <c r="B209" s="11" t="s">
        <v>21</v>
      </c>
      <c r="C209" s="11" t="s">
        <v>23</v>
      </c>
      <c r="D209" s="11" t="s">
        <v>24</v>
      </c>
      <c r="E209" s="11" t="s">
        <v>25</v>
      </c>
      <c r="F209" s="11" t="s">
        <v>967</v>
      </c>
      <c r="G209" s="11" t="s">
        <v>114</v>
      </c>
      <c r="H209" s="11" t="s">
        <v>21</v>
      </c>
      <c r="I209" s="11" t="s">
        <v>263</v>
      </c>
      <c r="J209" s="11" t="s">
        <v>264</v>
      </c>
      <c r="K209" s="11">
        <v>2</v>
      </c>
      <c r="L209" s="11" t="s">
        <v>968</v>
      </c>
      <c r="M209" s="11" t="s">
        <v>266</v>
      </c>
      <c r="Q209" s="11" t="s">
        <v>105</v>
      </c>
      <c r="R209" s="11" t="s">
        <v>106</v>
      </c>
      <c r="S209" s="11" t="s">
        <v>1584</v>
      </c>
      <c r="T209" s="11" t="s">
        <v>107</v>
      </c>
      <c r="U209" s="11" t="s">
        <v>108</v>
      </c>
      <c r="V209" s="11" t="s">
        <v>21</v>
      </c>
      <c r="W209" s="11" t="s">
        <v>906</v>
      </c>
      <c r="X209" s="11" t="s">
        <v>24</v>
      </c>
      <c r="Y209" s="11" t="s">
        <v>24</v>
      </c>
      <c r="Z209" s="11" t="s">
        <v>907</v>
      </c>
      <c r="AC209" s="11" t="s">
        <v>111</v>
      </c>
      <c r="AD209" s="11" t="s">
        <v>184</v>
      </c>
      <c r="AE209" s="11" t="s">
        <v>387</v>
      </c>
      <c r="AL209" s="11">
        <v>1</v>
      </c>
    </row>
    <row r="210" spans="2:63" x14ac:dyDescent="0.45">
      <c r="B210" s="11" t="s">
        <v>21</v>
      </c>
      <c r="C210" s="11" t="s">
        <v>23</v>
      </c>
      <c r="D210" s="11" t="s">
        <v>24</v>
      </c>
      <c r="E210" s="11" t="s">
        <v>25</v>
      </c>
      <c r="F210" s="11" t="s">
        <v>969</v>
      </c>
      <c r="G210" s="11" t="s">
        <v>970</v>
      </c>
      <c r="H210" s="11" t="s">
        <v>21</v>
      </c>
      <c r="I210" s="11" t="s">
        <v>971</v>
      </c>
      <c r="J210" s="11" t="s">
        <v>225</v>
      </c>
      <c r="K210" s="11">
        <v>1</v>
      </c>
      <c r="L210" s="11" t="s">
        <v>972</v>
      </c>
      <c r="M210" s="11" t="s">
        <v>973</v>
      </c>
      <c r="Q210" s="11" t="s">
        <v>105</v>
      </c>
      <c r="R210" s="11" t="s">
        <v>106</v>
      </c>
      <c r="S210" s="11" t="s">
        <v>1584</v>
      </c>
      <c r="T210" s="11" t="s">
        <v>107</v>
      </c>
      <c r="U210" s="11" t="s">
        <v>108</v>
      </c>
      <c r="V210" s="11" t="s">
        <v>21</v>
      </c>
      <c r="W210" s="11" t="s">
        <v>906</v>
      </c>
      <c r="X210" s="11" t="s">
        <v>24</v>
      </c>
      <c r="Y210" s="11" t="s">
        <v>24</v>
      </c>
      <c r="Z210" s="11" t="s">
        <v>907</v>
      </c>
      <c r="AC210" s="11" t="s">
        <v>111</v>
      </c>
      <c r="AD210" s="11" t="s">
        <v>184</v>
      </c>
      <c r="AE210" s="11" t="s">
        <v>387</v>
      </c>
      <c r="AL210" s="11">
        <v>1</v>
      </c>
    </row>
    <row r="211" spans="2:63" x14ac:dyDescent="0.45">
      <c r="B211" s="11" t="s">
        <v>21</v>
      </c>
      <c r="C211" s="11" t="s">
        <v>23</v>
      </c>
      <c r="D211" s="11" t="s">
        <v>24</v>
      </c>
      <c r="E211" s="11" t="s">
        <v>25</v>
      </c>
      <c r="F211" s="11" t="s">
        <v>974</v>
      </c>
      <c r="G211" s="11" t="s">
        <v>975</v>
      </c>
      <c r="H211" s="11" t="s">
        <v>21</v>
      </c>
      <c r="I211" s="11" t="s">
        <v>976</v>
      </c>
      <c r="J211" s="11" t="s">
        <v>977</v>
      </c>
      <c r="K211" s="11">
        <v>1</v>
      </c>
      <c r="L211" s="11" t="s">
        <v>978</v>
      </c>
      <c r="M211" s="11" t="s">
        <v>979</v>
      </c>
      <c r="Q211" s="11" t="s">
        <v>105</v>
      </c>
      <c r="R211" s="11" t="s">
        <v>106</v>
      </c>
      <c r="S211" s="11" t="s">
        <v>1584</v>
      </c>
      <c r="T211" s="11" t="s">
        <v>107</v>
      </c>
      <c r="U211" s="11" t="s">
        <v>108</v>
      </c>
      <c r="V211" s="11" t="s">
        <v>21</v>
      </c>
      <c r="W211" s="11" t="s">
        <v>906</v>
      </c>
      <c r="X211" s="11" t="s">
        <v>24</v>
      </c>
      <c r="Y211" s="11" t="s">
        <v>24</v>
      </c>
      <c r="Z211" s="11" t="s">
        <v>907</v>
      </c>
      <c r="AC211" s="11" t="s">
        <v>111</v>
      </c>
      <c r="AD211" s="11" t="s">
        <v>738</v>
      </c>
      <c r="AE211" s="11" t="s">
        <v>387</v>
      </c>
      <c r="AL211" s="11">
        <v>1</v>
      </c>
    </row>
    <row r="212" spans="2:63" x14ac:dyDescent="0.45">
      <c r="B212" s="11" t="s">
        <v>21</v>
      </c>
      <c r="C212" s="11" t="s">
        <v>23</v>
      </c>
      <c r="D212" s="11" t="s">
        <v>24</v>
      </c>
      <c r="E212" s="11" t="s">
        <v>25</v>
      </c>
      <c r="F212" s="11" t="s">
        <v>980</v>
      </c>
      <c r="G212" s="11" t="s">
        <v>981</v>
      </c>
      <c r="H212" s="11" t="s">
        <v>21</v>
      </c>
      <c r="I212" s="11" t="s">
        <v>263</v>
      </c>
      <c r="J212" s="11" t="s">
        <v>264</v>
      </c>
      <c r="K212" s="11">
        <v>3</v>
      </c>
      <c r="L212" s="11" t="s">
        <v>982</v>
      </c>
      <c r="M212" s="11" t="s">
        <v>266</v>
      </c>
      <c r="Q212" s="11" t="s">
        <v>105</v>
      </c>
      <c r="R212" s="11" t="s">
        <v>106</v>
      </c>
      <c r="S212" s="11" t="s">
        <v>1584</v>
      </c>
      <c r="T212" s="11" t="s">
        <v>107</v>
      </c>
      <c r="U212" s="11" t="s">
        <v>108</v>
      </c>
      <c r="V212" s="11" t="s">
        <v>21</v>
      </c>
      <c r="W212" s="11" t="s">
        <v>906</v>
      </c>
      <c r="X212" s="11" t="s">
        <v>24</v>
      </c>
      <c r="Y212" s="11" t="s">
        <v>24</v>
      </c>
      <c r="Z212" s="11" t="s">
        <v>907</v>
      </c>
      <c r="AC212" s="11" t="s">
        <v>111</v>
      </c>
      <c r="AD212" s="11" t="s">
        <v>738</v>
      </c>
      <c r="AE212" s="11" t="s">
        <v>387</v>
      </c>
      <c r="AL212" s="11">
        <v>1</v>
      </c>
    </row>
    <row r="213" spans="2:63" x14ac:dyDescent="0.45">
      <c r="B213" s="11" t="s">
        <v>21</v>
      </c>
      <c r="C213" s="11" t="s">
        <v>23</v>
      </c>
      <c r="D213" s="11" t="s">
        <v>24</v>
      </c>
      <c r="E213" s="11" t="s">
        <v>25</v>
      </c>
      <c r="F213" s="11" t="s">
        <v>983</v>
      </c>
      <c r="G213" s="11" t="s">
        <v>984</v>
      </c>
      <c r="H213" s="11" t="s">
        <v>21</v>
      </c>
      <c r="I213" s="11" t="s">
        <v>178</v>
      </c>
      <c r="J213" s="11" t="s">
        <v>179</v>
      </c>
      <c r="K213" s="11">
        <v>2</v>
      </c>
      <c r="L213" s="11" t="s">
        <v>985</v>
      </c>
      <c r="M213" s="11" t="s">
        <v>181</v>
      </c>
      <c r="Q213" s="11" t="s">
        <v>105</v>
      </c>
      <c r="R213" s="11" t="s">
        <v>106</v>
      </c>
      <c r="S213" s="11" t="s">
        <v>1584</v>
      </c>
      <c r="T213" s="11" t="s">
        <v>107</v>
      </c>
      <c r="U213" s="11" t="s">
        <v>108</v>
      </c>
      <c r="V213" s="11" t="s">
        <v>21</v>
      </c>
      <c r="W213" s="11" t="s">
        <v>986</v>
      </c>
      <c r="X213" s="11" t="s">
        <v>24</v>
      </c>
      <c r="Y213" s="11" t="s">
        <v>24</v>
      </c>
      <c r="Z213" s="11" t="s">
        <v>987</v>
      </c>
      <c r="AC213" s="11" t="s">
        <v>111</v>
      </c>
      <c r="AD213" s="11" t="s">
        <v>738</v>
      </c>
      <c r="AE213" s="11" t="s">
        <v>739</v>
      </c>
      <c r="AL213" s="11">
        <v>1</v>
      </c>
      <c r="AP213" s="11" t="s">
        <v>21</v>
      </c>
      <c r="AQ213" s="11" t="s">
        <v>185</v>
      </c>
      <c r="AS213" s="11" t="s">
        <v>985</v>
      </c>
      <c r="AT213" s="11">
        <v>3</v>
      </c>
      <c r="AU213" s="11">
        <v>1</v>
      </c>
      <c r="AV213" s="11" t="s">
        <v>988</v>
      </c>
      <c r="AW213" s="11">
        <v>15</v>
      </c>
      <c r="AX213" s="11">
        <v>20</v>
      </c>
    </row>
    <row r="214" spans="2:63" x14ac:dyDescent="0.45">
      <c r="B214" s="11" t="s">
        <v>21</v>
      </c>
      <c r="C214" s="11" t="s">
        <v>23</v>
      </c>
      <c r="D214" s="11" t="s">
        <v>24</v>
      </c>
      <c r="E214" s="11" t="s">
        <v>25</v>
      </c>
      <c r="F214" s="11" t="s">
        <v>989</v>
      </c>
      <c r="G214" s="11" t="s">
        <v>990</v>
      </c>
      <c r="H214" s="11" t="s">
        <v>21</v>
      </c>
      <c r="I214" s="11" t="s">
        <v>189</v>
      </c>
      <c r="J214" s="11" t="s">
        <v>190</v>
      </c>
      <c r="K214" s="11">
        <v>1</v>
      </c>
      <c r="L214" s="11" t="s">
        <v>988</v>
      </c>
      <c r="M214" s="11" t="s">
        <v>191</v>
      </c>
      <c r="Q214" s="11" t="s">
        <v>105</v>
      </c>
      <c r="R214" s="11" t="s">
        <v>106</v>
      </c>
      <c r="S214" s="11" t="s">
        <v>1584</v>
      </c>
      <c r="T214" s="11" t="s">
        <v>107</v>
      </c>
      <c r="U214" s="11" t="s">
        <v>108</v>
      </c>
      <c r="V214" s="11" t="s">
        <v>21</v>
      </c>
      <c r="W214" s="11" t="s">
        <v>986</v>
      </c>
      <c r="X214" s="11" t="s">
        <v>24</v>
      </c>
      <c r="Y214" s="11" t="s">
        <v>24</v>
      </c>
      <c r="Z214" s="11" t="s">
        <v>987</v>
      </c>
      <c r="AC214" s="11" t="s">
        <v>111</v>
      </c>
      <c r="AD214" s="11" t="s">
        <v>738</v>
      </c>
      <c r="AE214" s="11" t="s">
        <v>739</v>
      </c>
      <c r="AL214" s="11">
        <v>1</v>
      </c>
      <c r="AP214" s="11" t="s">
        <v>21</v>
      </c>
      <c r="AQ214" s="11" t="s">
        <v>192</v>
      </c>
      <c r="AS214" s="11" t="s">
        <v>985</v>
      </c>
      <c r="AT214" s="11">
        <v>3</v>
      </c>
      <c r="AU214" s="11">
        <v>1</v>
      </c>
    </row>
    <row r="215" spans="2:63" x14ac:dyDescent="0.45">
      <c r="B215" s="11" t="s">
        <v>21</v>
      </c>
      <c r="C215" s="11" t="s">
        <v>23</v>
      </c>
      <c r="D215" s="11" t="s">
        <v>24</v>
      </c>
      <c r="E215" s="11" t="s">
        <v>25</v>
      </c>
      <c r="F215" s="11" t="s">
        <v>991</v>
      </c>
      <c r="G215" s="11" t="s">
        <v>992</v>
      </c>
      <c r="H215" s="11" t="s">
        <v>21</v>
      </c>
      <c r="I215" s="11" t="s">
        <v>200</v>
      </c>
      <c r="J215" s="11" t="s">
        <v>201</v>
      </c>
      <c r="K215" s="11">
        <v>1</v>
      </c>
      <c r="L215" s="11" t="s">
        <v>993</v>
      </c>
      <c r="M215" s="11" t="s">
        <v>203</v>
      </c>
      <c r="Q215" s="11" t="s">
        <v>105</v>
      </c>
      <c r="R215" s="11" t="s">
        <v>106</v>
      </c>
      <c r="S215" s="11" t="s">
        <v>1584</v>
      </c>
      <c r="T215" s="11" t="s">
        <v>107</v>
      </c>
      <c r="U215" s="11" t="s">
        <v>108</v>
      </c>
      <c r="V215" s="11" t="s">
        <v>21</v>
      </c>
      <c r="W215" s="11" t="s">
        <v>986</v>
      </c>
      <c r="X215" s="11" t="s">
        <v>24</v>
      </c>
      <c r="Y215" s="11" t="s">
        <v>24</v>
      </c>
      <c r="Z215" s="11" t="s">
        <v>987</v>
      </c>
      <c r="AC215" s="11" t="s">
        <v>111</v>
      </c>
      <c r="AD215" s="11" t="s">
        <v>738</v>
      </c>
      <c r="AE215" s="11" t="s">
        <v>739</v>
      </c>
      <c r="AF215" s="11">
        <v>9</v>
      </c>
      <c r="AL215" s="11">
        <v>1</v>
      </c>
      <c r="AP215" s="11" t="s">
        <v>21</v>
      </c>
      <c r="AQ215" s="11" t="s">
        <v>192</v>
      </c>
      <c r="AS215" s="11" t="s">
        <v>985</v>
      </c>
      <c r="AT215" s="11">
        <v>3</v>
      </c>
      <c r="BH215" s="11" t="s">
        <v>106</v>
      </c>
      <c r="BI215" s="11" t="s">
        <v>105</v>
      </c>
      <c r="BJ215" s="11" t="s">
        <v>106</v>
      </c>
      <c r="BK215" s="11" t="s">
        <v>106</v>
      </c>
    </row>
    <row r="216" spans="2:63" x14ac:dyDescent="0.45">
      <c r="B216" s="11" t="s">
        <v>21</v>
      </c>
      <c r="C216" s="11" t="s">
        <v>23</v>
      </c>
      <c r="D216" s="11" t="s">
        <v>24</v>
      </c>
      <c r="E216" s="11" t="s">
        <v>25</v>
      </c>
      <c r="F216" s="11" t="s">
        <v>994</v>
      </c>
      <c r="G216" s="11" t="s">
        <v>995</v>
      </c>
      <c r="H216" s="11" t="s">
        <v>21</v>
      </c>
      <c r="I216" s="11" t="s">
        <v>206</v>
      </c>
      <c r="J216" s="11" t="s">
        <v>207</v>
      </c>
      <c r="K216" s="11">
        <v>1</v>
      </c>
      <c r="L216" s="11" t="s">
        <v>996</v>
      </c>
      <c r="M216" s="11" t="s">
        <v>209</v>
      </c>
      <c r="Q216" s="11" t="s">
        <v>105</v>
      </c>
      <c r="R216" s="11" t="s">
        <v>106</v>
      </c>
      <c r="S216" s="11" t="s">
        <v>1584</v>
      </c>
      <c r="T216" s="11" t="s">
        <v>107</v>
      </c>
      <c r="U216" s="11" t="s">
        <v>108</v>
      </c>
      <c r="V216" s="11" t="s">
        <v>21</v>
      </c>
      <c r="W216" s="11" t="s">
        <v>986</v>
      </c>
      <c r="X216" s="11" t="s">
        <v>24</v>
      </c>
      <c r="Y216" s="11" t="s">
        <v>24</v>
      </c>
      <c r="Z216" s="11" t="s">
        <v>987</v>
      </c>
      <c r="AC216" s="11" t="s">
        <v>111</v>
      </c>
      <c r="AD216" s="11" t="s">
        <v>738</v>
      </c>
      <c r="AE216" s="11" t="s">
        <v>739</v>
      </c>
      <c r="AL216" s="11">
        <v>1</v>
      </c>
      <c r="AP216" s="11" t="s">
        <v>21</v>
      </c>
      <c r="AQ216" s="11" t="s">
        <v>192</v>
      </c>
      <c r="AS216" s="11" t="s">
        <v>985</v>
      </c>
      <c r="AT216" s="11">
        <v>3</v>
      </c>
    </row>
    <row r="217" spans="2:63" x14ac:dyDescent="0.45">
      <c r="B217" s="11" t="s">
        <v>21</v>
      </c>
      <c r="C217" s="11" t="s">
        <v>23</v>
      </c>
      <c r="D217" s="11" t="s">
        <v>24</v>
      </c>
      <c r="E217" s="11" t="s">
        <v>25</v>
      </c>
      <c r="F217" s="11" t="s">
        <v>997</v>
      </c>
      <c r="G217" s="11" t="s">
        <v>998</v>
      </c>
      <c r="H217" s="11" t="s">
        <v>21</v>
      </c>
      <c r="I217" s="11" t="s">
        <v>212</v>
      </c>
      <c r="J217" s="11" t="s">
        <v>213</v>
      </c>
      <c r="K217" s="11">
        <v>1</v>
      </c>
      <c r="L217" s="11" t="s">
        <v>999</v>
      </c>
      <c r="M217" s="11" t="s">
        <v>215</v>
      </c>
      <c r="Q217" s="11" t="s">
        <v>105</v>
      </c>
      <c r="R217" s="11" t="s">
        <v>106</v>
      </c>
      <c r="S217" s="11" t="s">
        <v>1584</v>
      </c>
      <c r="T217" s="11" t="s">
        <v>107</v>
      </c>
      <c r="U217" s="11" t="s">
        <v>108</v>
      </c>
      <c r="V217" s="11" t="s">
        <v>21</v>
      </c>
      <c r="W217" s="11" t="s">
        <v>986</v>
      </c>
      <c r="X217" s="11" t="s">
        <v>24</v>
      </c>
      <c r="Y217" s="11" t="s">
        <v>24</v>
      </c>
      <c r="Z217" s="11" t="s">
        <v>987</v>
      </c>
      <c r="AC217" s="11" t="s">
        <v>111</v>
      </c>
      <c r="AD217" s="11" t="s">
        <v>738</v>
      </c>
      <c r="AE217" s="11" t="s">
        <v>739</v>
      </c>
      <c r="AL217" s="11">
        <v>1</v>
      </c>
      <c r="AP217" s="11" t="s">
        <v>21</v>
      </c>
      <c r="AQ217" s="11" t="s">
        <v>192</v>
      </c>
      <c r="AS217" s="11" t="s">
        <v>985</v>
      </c>
      <c r="AT217" s="11">
        <v>3</v>
      </c>
    </row>
    <row r="218" spans="2:63" x14ac:dyDescent="0.45">
      <c r="B218" s="11" t="s">
        <v>21</v>
      </c>
      <c r="C218" s="11" t="s">
        <v>23</v>
      </c>
      <c r="D218" s="11" t="s">
        <v>24</v>
      </c>
      <c r="E218" s="11" t="s">
        <v>25</v>
      </c>
      <c r="F218" s="11" t="s">
        <v>1000</v>
      </c>
      <c r="G218" s="11" t="s">
        <v>1001</v>
      </c>
      <c r="H218" s="11" t="s">
        <v>21</v>
      </c>
      <c r="I218" s="11" t="s">
        <v>218</v>
      </c>
      <c r="J218" s="11" t="s">
        <v>219</v>
      </c>
      <c r="K218" s="11">
        <v>1</v>
      </c>
      <c r="L218" s="11" t="s">
        <v>1002</v>
      </c>
      <c r="M218" s="11" t="s">
        <v>221</v>
      </c>
      <c r="Q218" s="11" t="s">
        <v>105</v>
      </c>
      <c r="R218" s="11" t="s">
        <v>106</v>
      </c>
      <c r="S218" s="11" t="s">
        <v>1584</v>
      </c>
      <c r="T218" s="11" t="s">
        <v>107</v>
      </c>
      <c r="U218" s="11" t="s">
        <v>108</v>
      </c>
      <c r="V218" s="11" t="s">
        <v>21</v>
      </c>
      <c r="W218" s="11" t="s">
        <v>986</v>
      </c>
      <c r="X218" s="11" t="s">
        <v>24</v>
      </c>
      <c r="Y218" s="11" t="s">
        <v>24</v>
      </c>
      <c r="Z218" s="11" t="s">
        <v>987</v>
      </c>
      <c r="AC218" s="11" t="s">
        <v>111</v>
      </c>
      <c r="AD218" s="11" t="s">
        <v>738</v>
      </c>
      <c r="AE218" s="11" t="s">
        <v>739</v>
      </c>
      <c r="AL218" s="11">
        <v>1</v>
      </c>
      <c r="AP218" s="11" t="s">
        <v>21</v>
      </c>
      <c r="AQ218" s="11" t="s">
        <v>192</v>
      </c>
      <c r="AS218" s="11" t="s">
        <v>985</v>
      </c>
      <c r="AT218" s="11">
        <v>3</v>
      </c>
      <c r="BD218" s="11" t="s">
        <v>993</v>
      </c>
    </row>
    <row r="219" spans="2:63" x14ac:dyDescent="0.45">
      <c r="B219" s="11" t="s">
        <v>21</v>
      </c>
      <c r="C219" s="11" t="s">
        <v>23</v>
      </c>
      <c r="D219" s="11" t="s">
        <v>24</v>
      </c>
      <c r="E219" s="11" t="s">
        <v>25</v>
      </c>
      <c r="F219" s="11" t="s">
        <v>1003</v>
      </c>
      <c r="G219" s="11" t="s">
        <v>1004</v>
      </c>
      <c r="H219" s="11" t="s">
        <v>21</v>
      </c>
      <c r="I219" s="11" t="s">
        <v>243</v>
      </c>
      <c r="J219" s="11" t="s">
        <v>244</v>
      </c>
      <c r="K219" s="11">
        <v>1</v>
      </c>
      <c r="L219" s="11" t="s">
        <v>1005</v>
      </c>
      <c r="M219" s="11" t="s">
        <v>246</v>
      </c>
      <c r="Q219" s="11" t="s">
        <v>105</v>
      </c>
      <c r="R219" s="11" t="s">
        <v>106</v>
      </c>
      <c r="S219" s="11" t="s">
        <v>1584</v>
      </c>
      <c r="T219" s="11" t="s">
        <v>107</v>
      </c>
      <c r="U219" s="11" t="s">
        <v>108</v>
      </c>
      <c r="V219" s="11" t="s">
        <v>21</v>
      </c>
      <c r="W219" s="11" t="s">
        <v>986</v>
      </c>
      <c r="X219" s="11" t="s">
        <v>24</v>
      </c>
      <c r="Y219" s="11" t="s">
        <v>24</v>
      </c>
      <c r="Z219" s="11" t="s">
        <v>987</v>
      </c>
      <c r="AC219" s="11" t="s">
        <v>111</v>
      </c>
      <c r="AD219" s="11" t="s">
        <v>738</v>
      </c>
      <c r="AE219" s="11" t="s">
        <v>387</v>
      </c>
      <c r="AL219" s="11">
        <v>1</v>
      </c>
    </row>
    <row r="220" spans="2:63" x14ac:dyDescent="0.45">
      <c r="B220" s="11" t="s">
        <v>21</v>
      </c>
      <c r="C220" s="11" t="s">
        <v>23</v>
      </c>
      <c r="D220" s="11" t="s">
        <v>24</v>
      </c>
      <c r="E220" s="11" t="s">
        <v>25</v>
      </c>
      <c r="F220" s="11" t="s">
        <v>1006</v>
      </c>
      <c r="G220" s="11" t="s">
        <v>1007</v>
      </c>
      <c r="H220" s="11" t="s">
        <v>21</v>
      </c>
      <c r="I220" s="11" t="s">
        <v>178</v>
      </c>
      <c r="J220" s="11" t="s">
        <v>179</v>
      </c>
      <c r="K220" s="11">
        <v>1</v>
      </c>
      <c r="L220" s="11" t="s">
        <v>1008</v>
      </c>
      <c r="M220" s="11" t="s">
        <v>181</v>
      </c>
      <c r="Q220" s="11" t="s">
        <v>105</v>
      </c>
      <c r="R220" s="11" t="s">
        <v>106</v>
      </c>
      <c r="S220" s="11" t="s">
        <v>1584</v>
      </c>
      <c r="T220" s="11" t="s">
        <v>107</v>
      </c>
      <c r="U220" s="11" t="s">
        <v>108</v>
      </c>
      <c r="V220" s="11" t="s">
        <v>21</v>
      </c>
      <c r="W220" s="11" t="s">
        <v>986</v>
      </c>
      <c r="X220" s="11" t="s">
        <v>24</v>
      </c>
      <c r="Y220" s="11" t="s">
        <v>24</v>
      </c>
      <c r="Z220" s="11" t="s">
        <v>987</v>
      </c>
      <c r="AC220" s="11" t="s">
        <v>111</v>
      </c>
      <c r="AD220" s="11" t="s">
        <v>738</v>
      </c>
      <c r="AE220" s="11" t="s">
        <v>387</v>
      </c>
      <c r="AL220" s="11">
        <v>1</v>
      </c>
      <c r="AU220" s="11">
        <v>1</v>
      </c>
      <c r="AV220" s="11" t="s">
        <v>1009</v>
      </c>
      <c r="AW220" s="11">
        <v>15</v>
      </c>
      <c r="AX220" s="11">
        <v>20</v>
      </c>
    </row>
    <row r="221" spans="2:63" x14ac:dyDescent="0.45">
      <c r="B221" s="11" t="s">
        <v>21</v>
      </c>
      <c r="C221" s="11" t="s">
        <v>23</v>
      </c>
      <c r="D221" s="11" t="s">
        <v>24</v>
      </c>
      <c r="E221" s="11" t="s">
        <v>25</v>
      </c>
      <c r="F221" s="11" t="s">
        <v>1010</v>
      </c>
      <c r="G221" s="11" t="s">
        <v>1011</v>
      </c>
      <c r="H221" s="11" t="s">
        <v>21</v>
      </c>
      <c r="I221" s="11" t="s">
        <v>529</v>
      </c>
      <c r="J221" s="11" t="s">
        <v>530</v>
      </c>
      <c r="K221" s="11">
        <v>1</v>
      </c>
      <c r="L221" s="11" t="s">
        <v>1009</v>
      </c>
      <c r="M221" s="11" t="s">
        <v>532</v>
      </c>
      <c r="Q221" s="11" t="s">
        <v>105</v>
      </c>
      <c r="R221" s="11" t="s">
        <v>106</v>
      </c>
      <c r="S221" s="11" t="s">
        <v>1584</v>
      </c>
      <c r="T221" s="11" t="s">
        <v>107</v>
      </c>
      <c r="U221" s="11" t="s">
        <v>108</v>
      </c>
      <c r="V221" s="11" t="s">
        <v>21</v>
      </c>
      <c r="W221" s="11" t="s">
        <v>986</v>
      </c>
      <c r="X221" s="11" t="s">
        <v>24</v>
      </c>
      <c r="Y221" s="11" t="s">
        <v>24</v>
      </c>
      <c r="Z221" s="11" t="s">
        <v>987</v>
      </c>
      <c r="AC221" s="11" t="s">
        <v>111</v>
      </c>
      <c r="AD221" s="11" t="s">
        <v>738</v>
      </c>
      <c r="AE221" s="11" t="s">
        <v>387</v>
      </c>
      <c r="AL221" s="11">
        <v>1</v>
      </c>
      <c r="AU221" s="11">
        <v>1</v>
      </c>
    </row>
    <row r="222" spans="2:63" x14ac:dyDescent="0.45">
      <c r="B222" s="11" t="s">
        <v>21</v>
      </c>
      <c r="C222" s="11" t="s">
        <v>23</v>
      </c>
      <c r="D222" s="11" t="s">
        <v>24</v>
      </c>
      <c r="E222" s="11" t="s">
        <v>25</v>
      </c>
      <c r="F222" s="11" t="s">
        <v>1012</v>
      </c>
      <c r="G222" s="11" t="s">
        <v>1013</v>
      </c>
      <c r="H222" s="11" t="s">
        <v>21</v>
      </c>
      <c r="I222" s="11" t="s">
        <v>249</v>
      </c>
      <c r="J222" s="11" t="s">
        <v>225</v>
      </c>
      <c r="K222" s="11">
        <v>1</v>
      </c>
      <c r="L222" s="11" t="s">
        <v>1014</v>
      </c>
      <c r="M222" s="11" t="s">
        <v>251</v>
      </c>
      <c r="Q222" s="11" t="s">
        <v>105</v>
      </c>
      <c r="R222" s="11" t="s">
        <v>106</v>
      </c>
      <c r="S222" s="11" t="s">
        <v>1584</v>
      </c>
      <c r="T222" s="11" t="s">
        <v>107</v>
      </c>
      <c r="U222" s="11" t="s">
        <v>108</v>
      </c>
      <c r="V222" s="11" t="s">
        <v>21</v>
      </c>
      <c r="W222" s="11" t="s">
        <v>986</v>
      </c>
      <c r="X222" s="11" t="s">
        <v>24</v>
      </c>
      <c r="Y222" s="11" t="s">
        <v>24</v>
      </c>
      <c r="Z222" s="11" t="s">
        <v>987</v>
      </c>
      <c r="AC222" s="11" t="s">
        <v>111</v>
      </c>
      <c r="AD222" s="11" t="s">
        <v>738</v>
      </c>
      <c r="AE222" s="11" t="s">
        <v>356</v>
      </c>
      <c r="AL222" s="11">
        <v>1</v>
      </c>
    </row>
    <row r="223" spans="2:63" x14ac:dyDescent="0.45">
      <c r="B223" s="11" t="s">
        <v>21</v>
      </c>
      <c r="C223" s="11" t="s">
        <v>23</v>
      </c>
      <c r="D223" s="11" t="s">
        <v>24</v>
      </c>
      <c r="E223" s="11" t="s">
        <v>25</v>
      </c>
      <c r="F223" s="11" t="s">
        <v>1015</v>
      </c>
      <c r="G223" s="11" t="s">
        <v>1016</v>
      </c>
      <c r="H223" s="11" t="s">
        <v>21</v>
      </c>
      <c r="I223" s="11" t="s">
        <v>254</v>
      </c>
      <c r="J223" s="11" t="s">
        <v>255</v>
      </c>
      <c r="K223" s="11">
        <v>1</v>
      </c>
      <c r="L223" s="11" t="s">
        <v>1017</v>
      </c>
      <c r="M223" s="11" t="s">
        <v>257</v>
      </c>
      <c r="Q223" s="11" t="s">
        <v>105</v>
      </c>
      <c r="R223" s="11" t="s">
        <v>106</v>
      </c>
      <c r="S223" s="11" t="s">
        <v>1584</v>
      </c>
      <c r="T223" s="11" t="s">
        <v>107</v>
      </c>
      <c r="U223" s="11" t="s">
        <v>108</v>
      </c>
      <c r="V223" s="11" t="s">
        <v>21</v>
      </c>
      <c r="W223" s="11" t="s">
        <v>986</v>
      </c>
      <c r="X223" s="11" t="s">
        <v>24</v>
      </c>
      <c r="Y223" s="11" t="s">
        <v>24</v>
      </c>
      <c r="Z223" s="11" t="s">
        <v>987</v>
      </c>
      <c r="AC223" s="11" t="s">
        <v>111</v>
      </c>
      <c r="AD223" s="11" t="s">
        <v>738</v>
      </c>
      <c r="AE223" s="11" t="s">
        <v>356</v>
      </c>
      <c r="AL223" s="11">
        <v>1</v>
      </c>
    </row>
    <row r="224" spans="2:63" x14ac:dyDescent="0.45">
      <c r="B224" s="11" t="s">
        <v>21</v>
      </c>
      <c r="C224" s="11" t="s">
        <v>23</v>
      </c>
      <c r="D224" s="11" t="s">
        <v>24</v>
      </c>
      <c r="E224" s="11" t="s">
        <v>25</v>
      </c>
      <c r="F224" s="11" t="s">
        <v>1018</v>
      </c>
      <c r="G224" s="11" t="s">
        <v>1019</v>
      </c>
      <c r="H224" s="11" t="s">
        <v>21</v>
      </c>
      <c r="I224" s="11" t="s">
        <v>243</v>
      </c>
      <c r="J224" s="11" t="s">
        <v>244</v>
      </c>
      <c r="K224" s="11">
        <v>2</v>
      </c>
      <c r="L224" s="11" t="s">
        <v>1020</v>
      </c>
      <c r="M224" s="11" t="s">
        <v>246</v>
      </c>
      <c r="Q224" s="11" t="s">
        <v>105</v>
      </c>
      <c r="R224" s="11" t="s">
        <v>106</v>
      </c>
      <c r="S224" s="11" t="s">
        <v>1584</v>
      </c>
      <c r="T224" s="11" t="s">
        <v>107</v>
      </c>
      <c r="U224" s="11" t="s">
        <v>108</v>
      </c>
      <c r="V224" s="11" t="s">
        <v>21</v>
      </c>
      <c r="W224" s="11" t="s">
        <v>986</v>
      </c>
      <c r="X224" s="11" t="s">
        <v>24</v>
      </c>
      <c r="Y224" s="11" t="s">
        <v>24</v>
      </c>
      <c r="Z224" s="11" t="s">
        <v>987</v>
      </c>
      <c r="AC224" s="11" t="s">
        <v>111</v>
      </c>
      <c r="AD224" s="11" t="s">
        <v>738</v>
      </c>
      <c r="AE224" s="11" t="s">
        <v>356</v>
      </c>
      <c r="AL224" s="11">
        <v>1</v>
      </c>
    </row>
    <row r="225" spans="2:63" x14ac:dyDescent="0.45">
      <c r="B225" s="11" t="s">
        <v>21</v>
      </c>
      <c r="C225" s="11" t="s">
        <v>23</v>
      </c>
      <c r="D225" s="11" t="s">
        <v>24</v>
      </c>
      <c r="E225" s="11" t="s">
        <v>25</v>
      </c>
      <c r="F225" s="11" t="s">
        <v>1021</v>
      </c>
      <c r="G225" s="11" t="s">
        <v>1022</v>
      </c>
      <c r="H225" s="11" t="s">
        <v>21</v>
      </c>
      <c r="I225" s="11" t="s">
        <v>368</v>
      </c>
      <c r="J225" s="11" t="s">
        <v>369</v>
      </c>
      <c r="K225" s="11">
        <v>1</v>
      </c>
      <c r="L225" s="11" t="s">
        <v>1023</v>
      </c>
      <c r="M225" s="11" t="s">
        <v>371</v>
      </c>
      <c r="Q225" s="11" t="s">
        <v>105</v>
      </c>
      <c r="R225" s="11" t="s">
        <v>106</v>
      </c>
      <c r="S225" s="11" t="s">
        <v>1584</v>
      </c>
      <c r="T225" s="11" t="s">
        <v>107</v>
      </c>
      <c r="U225" s="11" t="s">
        <v>108</v>
      </c>
      <c r="V225" s="11" t="s">
        <v>21</v>
      </c>
      <c r="W225" s="11" t="s">
        <v>986</v>
      </c>
      <c r="X225" s="11" t="s">
        <v>24</v>
      </c>
      <c r="Y225" s="11" t="s">
        <v>24</v>
      </c>
      <c r="Z225" s="11" t="s">
        <v>987</v>
      </c>
      <c r="AC225" s="11" t="s">
        <v>111</v>
      </c>
      <c r="AD225" s="11" t="s">
        <v>738</v>
      </c>
      <c r="AE225" s="11" t="s">
        <v>356</v>
      </c>
      <c r="AL225" s="11">
        <v>1</v>
      </c>
      <c r="AP225" s="11" t="s">
        <v>21</v>
      </c>
      <c r="AQ225" s="11" t="s">
        <v>273</v>
      </c>
      <c r="AS225" s="11" t="s">
        <v>1023</v>
      </c>
      <c r="AT225" s="11">
        <v>2</v>
      </c>
    </row>
    <row r="226" spans="2:63" x14ac:dyDescent="0.45">
      <c r="B226" s="11" t="s">
        <v>21</v>
      </c>
      <c r="C226" s="11" t="s">
        <v>23</v>
      </c>
      <c r="D226" s="11" t="s">
        <v>24</v>
      </c>
      <c r="E226" s="11" t="s">
        <v>25</v>
      </c>
      <c r="F226" s="11" t="s">
        <v>1024</v>
      </c>
      <c r="G226" s="11" t="s">
        <v>1025</v>
      </c>
      <c r="H226" s="11" t="s">
        <v>21</v>
      </c>
      <c r="I226" s="11" t="s">
        <v>1026</v>
      </c>
      <c r="J226" s="11" t="s">
        <v>862</v>
      </c>
      <c r="K226" s="11">
        <v>1</v>
      </c>
      <c r="L226" s="11" t="s">
        <v>1027</v>
      </c>
      <c r="M226" s="11" t="s">
        <v>1028</v>
      </c>
      <c r="Q226" s="11" t="s">
        <v>105</v>
      </c>
      <c r="R226" s="11" t="s">
        <v>106</v>
      </c>
      <c r="S226" s="11" t="s">
        <v>1584</v>
      </c>
      <c r="T226" s="11" t="s">
        <v>107</v>
      </c>
      <c r="U226" s="11" t="s">
        <v>108</v>
      </c>
      <c r="V226" s="11" t="s">
        <v>21</v>
      </c>
      <c r="W226" s="11" t="s">
        <v>986</v>
      </c>
      <c r="X226" s="11" t="s">
        <v>24</v>
      </c>
      <c r="Y226" s="11" t="s">
        <v>24</v>
      </c>
      <c r="Z226" s="11" t="s">
        <v>987</v>
      </c>
      <c r="AC226" s="11" t="s">
        <v>111</v>
      </c>
      <c r="AD226" s="11" t="s">
        <v>738</v>
      </c>
      <c r="AE226" s="11" t="s">
        <v>356</v>
      </c>
      <c r="AL226" s="11">
        <v>1</v>
      </c>
    </row>
    <row r="227" spans="2:63" x14ac:dyDescent="0.45">
      <c r="B227" s="11" t="s">
        <v>21</v>
      </c>
      <c r="C227" s="11" t="s">
        <v>23</v>
      </c>
      <c r="D227" s="11" t="s">
        <v>24</v>
      </c>
      <c r="E227" s="11" t="s">
        <v>25</v>
      </c>
      <c r="F227" s="11" t="s">
        <v>1029</v>
      </c>
      <c r="G227" s="11" t="s">
        <v>1030</v>
      </c>
      <c r="H227" s="11" t="s">
        <v>21</v>
      </c>
      <c r="I227" s="11" t="s">
        <v>263</v>
      </c>
      <c r="J227" s="11" t="s">
        <v>264</v>
      </c>
      <c r="K227" s="11">
        <v>1</v>
      </c>
      <c r="L227" s="11" t="s">
        <v>1031</v>
      </c>
      <c r="M227" s="11" t="s">
        <v>266</v>
      </c>
      <c r="Q227" s="11" t="s">
        <v>105</v>
      </c>
      <c r="R227" s="11" t="s">
        <v>106</v>
      </c>
      <c r="S227" s="11" t="s">
        <v>1584</v>
      </c>
      <c r="T227" s="11" t="s">
        <v>107</v>
      </c>
      <c r="U227" s="11" t="s">
        <v>108</v>
      </c>
      <c r="V227" s="11" t="s">
        <v>21</v>
      </c>
      <c r="W227" s="11" t="s">
        <v>1032</v>
      </c>
      <c r="X227" s="11" t="s">
        <v>1033</v>
      </c>
      <c r="Y227" s="11" t="s">
        <v>24</v>
      </c>
      <c r="Z227" s="11" t="s">
        <v>1034</v>
      </c>
      <c r="AC227" s="11" t="s">
        <v>111</v>
      </c>
      <c r="AD227" s="11" t="s">
        <v>738</v>
      </c>
      <c r="AE227" s="11" t="s">
        <v>287</v>
      </c>
      <c r="AL227" s="11">
        <v>1</v>
      </c>
      <c r="AP227" s="11" t="s">
        <v>21</v>
      </c>
      <c r="AQ227" s="11" t="s">
        <v>185</v>
      </c>
      <c r="AS227" s="11" t="s">
        <v>1031</v>
      </c>
      <c r="AT227" s="11">
        <v>1</v>
      </c>
      <c r="AU227" s="11">
        <v>1</v>
      </c>
      <c r="AV227" s="11" t="s">
        <v>1035</v>
      </c>
      <c r="AW227" s="11">
        <v>15</v>
      </c>
      <c r="AX227" s="11">
        <v>20</v>
      </c>
    </row>
    <row r="228" spans="2:63" x14ac:dyDescent="0.45">
      <c r="B228" s="11" t="s">
        <v>21</v>
      </c>
      <c r="C228" s="11" t="s">
        <v>23</v>
      </c>
      <c r="D228" s="11" t="s">
        <v>24</v>
      </c>
      <c r="E228" s="11" t="s">
        <v>25</v>
      </c>
      <c r="F228" s="11" t="s">
        <v>1036</v>
      </c>
      <c r="G228" s="11" t="s">
        <v>1037</v>
      </c>
      <c r="H228" s="11" t="s">
        <v>21</v>
      </c>
      <c r="I228" s="11" t="s">
        <v>291</v>
      </c>
      <c r="J228" s="11" t="s">
        <v>292</v>
      </c>
      <c r="K228" s="11">
        <v>1</v>
      </c>
      <c r="L228" s="11" t="s">
        <v>1035</v>
      </c>
      <c r="M228" s="11" t="s">
        <v>293</v>
      </c>
      <c r="Q228" s="11" t="s">
        <v>105</v>
      </c>
      <c r="R228" s="11" t="s">
        <v>106</v>
      </c>
      <c r="S228" s="11" t="s">
        <v>1584</v>
      </c>
      <c r="T228" s="11" t="s">
        <v>107</v>
      </c>
      <c r="U228" s="11" t="s">
        <v>108</v>
      </c>
      <c r="V228" s="11" t="s">
        <v>21</v>
      </c>
      <c r="W228" s="11" t="s">
        <v>1032</v>
      </c>
      <c r="X228" s="11" t="s">
        <v>1033</v>
      </c>
      <c r="Y228" s="11" t="s">
        <v>24</v>
      </c>
      <c r="Z228" s="11" t="s">
        <v>1034</v>
      </c>
      <c r="AC228" s="11" t="s">
        <v>111</v>
      </c>
      <c r="AD228" s="11" t="s">
        <v>738</v>
      </c>
      <c r="AE228" s="11" t="s">
        <v>287</v>
      </c>
      <c r="AL228" s="11">
        <v>1</v>
      </c>
      <c r="AP228" s="11" t="s">
        <v>21</v>
      </c>
      <c r="AQ228" s="11" t="s">
        <v>294</v>
      </c>
      <c r="AS228" s="11" t="s">
        <v>1031</v>
      </c>
      <c r="AT228" s="11">
        <v>2</v>
      </c>
      <c r="AU228" s="11">
        <v>1</v>
      </c>
    </row>
    <row r="229" spans="2:63" x14ac:dyDescent="0.45">
      <c r="B229" s="11" t="s">
        <v>21</v>
      </c>
      <c r="C229" s="11" t="s">
        <v>23</v>
      </c>
      <c r="D229" s="11" t="s">
        <v>24</v>
      </c>
      <c r="E229" s="11" t="s">
        <v>25</v>
      </c>
      <c r="F229" s="11" t="s">
        <v>1038</v>
      </c>
      <c r="G229" s="11" t="s">
        <v>1039</v>
      </c>
      <c r="H229" s="11" t="s">
        <v>21</v>
      </c>
      <c r="I229" s="11" t="s">
        <v>189</v>
      </c>
      <c r="J229" s="11" t="s">
        <v>190</v>
      </c>
      <c r="K229" s="11">
        <v>1</v>
      </c>
      <c r="L229" s="11" t="s">
        <v>1040</v>
      </c>
      <c r="M229" s="11" t="s">
        <v>191</v>
      </c>
      <c r="Q229" s="11" t="s">
        <v>105</v>
      </c>
      <c r="R229" s="11" t="s">
        <v>106</v>
      </c>
      <c r="S229" s="11" t="s">
        <v>1584</v>
      </c>
      <c r="T229" s="11" t="s">
        <v>107</v>
      </c>
      <c r="U229" s="11" t="s">
        <v>108</v>
      </c>
      <c r="V229" s="11" t="s">
        <v>21</v>
      </c>
      <c r="W229" s="11" t="s">
        <v>1032</v>
      </c>
      <c r="X229" s="11" t="s">
        <v>1033</v>
      </c>
      <c r="Y229" s="11" t="s">
        <v>24</v>
      </c>
      <c r="Z229" s="11" t="s">
        <v>1034</v>
      </c>
      <c r="AC229" s="11" t="s">
        <v>111</v>
      </c>
      <c r="AD229" s="11" t="s">
        <v>738</v>
      </c>
      <c r="AE229" s="11" t="s">
        <v>739</v>
      </c>
      <c r="AL229" s="11">
        <v>1</v>
      </c>
      <c r="AP229" s="11" t="s">
        <v>21</v>
      </c>
      <c r="AQ229" s="11" t="s">
        <v>192</v>
      </c>
      <c r="AS229" s="11" t="s">
        <v>1040</v>
      </c>
      <c r="AT229" s="11">
        <v>3</v>
      </c>
    </row>
    <row r="230" spans="2:63" x14ac:dyDescent="0.45">
      <c r="B230" s="11" t="s">
        <v>21</v>
      </c>
      <c r="C230" s="11" t="s">
        <v>23</v>
      </c>
      <c r="D230" s="11" t="s">
        <v>24</v>
      </c>
      <c r="E230" s="11" t="s">
        <v>25</v>
      </c>
      <c r="F230" s="11" t="s">
        <v>1041</v>
      </c>
      <c r="G230" s="11" t="s">
        <v>1042</v>
      </c>
      <c r="H230" s="11" t="s">
        <v>21</v>
      </c>
      <c r="I230" s="11" t="s">
        <v>1043</v>
      </c>
      <c r="J230" s="11" t="s">
        <v>1044</v>
      </c>
      <c r="K230" s="11">
        <v>1</v>
      </c>
      <c r="L230" s="11" t="s">
        <v>1045</v>
      </c>
      <c r="M230" s="11" t="s">
        <v>1046</v>
      </c>
      <c r="Q230" s="11" t="s">
        <v>105</v>
      </c>
      <c r="R230" s="11" t="s">
        <v>106</v>
      </c>
      <c r="S230" s="11" t="s">
        <v>1584</v>
      </c>
      <c r="T230" s="11" t="s">
        <v>107</v>
      </c>
      <c r="U230" s="11" t="s">
        <v>108</v>
      </c>
      <c r="V230" s="11" t="s">
        <v>21</v>
      </c>
      <c r="W230" s="11" t="s">
        <v>1032</v>
      </c>
      <c r="X230" s="11" t="s">
        <v>1033</v>
      </c>
      <c r="Y230" s="11" t="s">
        <v>24</v>
      </c>
      <c r="Z230" s="11" t="s">
        <v>1034</v>
      </c>
      <c r="AC230" s="11" t="s">
        <v>111</v>
      </c>
      <c r="AD230" s="11" t="s">
        <v>738</v>
      </c>
      <c r="AE230" s="11" t="s">
        <v>739</v>
      </c>
      <c r="AF230" s="11" t="s">
        <v>112</v>
      </c>
      <c r="AL230" s="11">
        <v>1</v>
      </c>
      <c r="AP230" s="11" t="s">
        <v>21</v>
      </c>
      <c r="AQ230" s="11" t="s">
        <v>192</v>
      </c>
      <c r="AS230" s="11" t="s">
        <v>1040</v>
      </c>
      <c r="AT230" s="11">
        <v>3</v>
      </c>
      <c r="BH230" s="11" t="s">
        <v>106</v>
      </c>
      <c r="BI230" s="11" t="s">
        <v>105</v>
      </c>
      <c r="BJ230" s="11" t="s">
        <v>106</v>
      </c>
      <c r="BK230" s="11" t="s">
        <v>106</v>
      </c>
    </row>
    <row r="231" spans="2:63" x14ac:dyDescent="0.45">
      <c r="B231" s="11" t="s">
        <v>21</v>
      </c>
      <c r="C231" s="11" t="s">
        <v>23</v>
      </c>
      <c r="D231" s="11" t="s">
        <v>24</v>
      </c>
      <c r="E231" s="11" t="s">
        <v>25</v>
      </c>
      <c r="F231" s="11" t="s">
        <v>1047</v>
      </c>
      <c r="G231" s="11" t="s">
        <v>1048</v>
      </c>
      <c r="H231" s="11" t="s">
        <v>21</v>
      </c>
      <c r="I231" s="11" t="s">
        <v>206</v>
      </c>
      <c r="J231" s="11" t="s">
        <v>207</v>
      </c>
      <c r="K231" s="11">
        <v>1</v>
      </c>
      <c r="L231" s="11" t="s">
        <v>1049</v>
      </c>
      <c r="M231" s="11" t="s">
        <v>209</v>
      </c>
      <c r="Q231" s="11" t="s">
        <v>105</v>
      </c>
      <c r="R231" s="11" t="s">
        <v>106</v>
      </c>
      <c r="S231" s="11" t="s">
        <v>1584</v>
      </c>
      <c r="T231" s="11" t="s">
        <v>107</v>
      </c>
      <c r="U231" s="11" t="s">
        <v>108</v>
      </c>
      <c r="V231" s="11" t="s">
        <v>21</v>
      </c>
      <c r="W231" s="11" t="s">
        <v>1032</v>
      </c>
      <c r="X231" s="11" t="s">
        <v>1033</v>
      </c>
      <c r="Y231" s="11" t="s">
        <v>24</v>
      </c>
      <c r="Z231" s="11" t="s">
        <v>1034</v>
      </c>
      <c r="AC231" s="11" t="s">
        <v>111</v>
      </c>
      <c r="AD231" s="11" t="s">
        <v>738</v>
      </c>
      <c r="AE231" s="11" t="s">
        <v>739</v>
      </c>
      <c r="AL231" s="11">
        <v>1</v>
      </c>
      <c r="AP231" s="11" t="s">
        <v>21</v>
      </c>
      <c r="AQ231" s="11" t="s">
        <v>192</v>
      </c>
      <c r="AS231" s="11" t="s">
        <v>1040</v>
      </c>
      <c r="AT231" s="11">
        <v>3</v>
      </c>
    </row>
    <row r="232" spans="2:63" x14ac:dyDescent="0.45">
      <c r="B232" s="11" t="s">
        <v>21</v>
      </c>
      <c r="C232" s="11" t="s">
        <v>23</v>
      </c>
      <c r="D232" s="11" t="s">
        <v>24</v>
      </c>
      <c r="E232" s="11" t="s">
        <v>25</v>
      </c>
      <c r="F232" s="11" t="s">
        <v>1050</v>
      </c>
      <c r="G232" s="11" t="s">
        <v>1051</v>
      </c>
      <c r="H232" s="11" t="s">
        <v>21</v>
      </c>
      <c r="I232" s="11" t="s">
        <v>212</v>
      </c>
      <c r="J232" s="11" t="s">
        <v>213</v>
      </c>
      <c r="K232" s="11">
        <v>1</v>
      </c>
      <c r="L232" s="11" t="s">
        <v>1052</v>
      </c>
      <c r="M232" s="11" t="s">
        <v>215</v>
      </c>
      <c r="Q232" s="11" t="s">
        <v>105</v>
      </c>
      <c r="R232" s="11" t="s">
        <v>106</v>
      </c>
      <c r="S232" s="11" t="s">
        <v>1584</v>
      </c>
      <c r="T232" s="11" t="s">
        <v>107</v>
      </c>
      <c r="U232" s="11" t="s">
        <v>108</v>
      </c>
      <c r="V232" s="11" t="s">
        <v>21</v>
      </c>
      <c r="W232" s="11" t="s">
        <v>1032</v>
      </c>
      <c r="X232" s="11" t="s">
        <v>1033</v>
      </c>
      <c r="Y232" s="11" t="s">
        <v>24</v>
      </c>
      <c r="Z232" s="11" t="s">
        <v>1034</v>
      </c>
      <c r="AC232" s="11" t="s">
        <v>111</v>
      </c>
      <c r="AD232" s="11" t="s">
        <v>738</v>
      </c>
      <c r="AE232" s="11" t="s">
        <v>739</v>
      </c>
      <c r="AL232" s="11">
        <v>1</v>
      </c>
      <c r="AP232" s="11" t="s">
        <v>21</v>
      </c>
      <c r="AQ232" s="11" t="s">
        <v>192</v>
      </c>
      <c r="AS232" s="11" t="s">
        <v>1040</v>
      </c>
      <c r="AT232" s="11">
        <v>3</v>
      </c>
    </row>
    <row r="233" spans="2:63" x14ac:dyDescent="0.45">
      <c r="B233" s="11" t="s">
        <v>21</v>
      </c>
      <c r="C233" s="11" t="s">
        <v>23</v>
      </c>
      <c r="D233" s="11" t="s">
        <v>24</v>
      </c>
      <c r="E233" s="11" t="s">
        <v>25</v>
      </c>
      <c r="F233" s="11" t="s">
        <v>1053</v>
      </c>
      <c r="G233" s="11" t="s">
        <v>1054</v>
      </c>
      <c r="H233" s="11" t="s">
        <v>21</v>
      </c>
      <c r="I233" s="11" t="s">
        <v>1055</v>
      </c>
      <c r="J233" s="11" t="s">
        <v>207</v>
      </c>
      <c r="K233" s="11">
        <v>1</v>
      </c>
      <c r="L233" s="11" t="s">
        <v>1056</v>
      </c>
      <c r="M233" s="11" t="s">
        <v>1057</v>
      </c>
      <c r="Q233" s="11" t="s">
        <v>105</v>
      </c>
      <c r="R233" s="11" t="s">
        <v>106</v>
      </c>
      <c r="S233" s="11" t="s">
        <v>1584</v>
      </c>
      <c r="T233" s="11" t="s">
        <v>107</v>
      </c>
      <c r="U233" s="11" t="s">
        <v>108</v>
      </c>
      <c r="V233" s="11" t="s">
        <v>21</v>
      </c>
      <c r="W233" s="11" t="s">
        <v>1032</v>
      </c>
      <c r="X233" s="11" t="s">
        <v>1033</v>
      </c>
      <c r="Y233" s="11" t="s">
        <v>24</v>
      </c>
      <c r="Z233" s="11" t="s">
        <v>1034</v>
      </c>
      <c r="AC233" s="11" t="s">
        <v>111</v>
      </c>
      <c r="AD233" s="11" t="s">
        <v>738</v>
      </c>
      <c r="AE233" s="11" t="s">
        <v>739</v>
      </c>
      <c r="AL233" s="11">
        <v>1</v>
      </c>
      <c r="AP233" s="11" t="s">
        <v>21</v>
      </c>
      <c r="AQ233" s="11" t="s">
        <v>192</v>
      </c>
      <c r="AS233" s="11" t="s">
        <v>1040</v>
      </c>
      <c r="AT233" s="11">
        <v>3</v>
      </c>
      <c r="BD233" s="11" t="s">
        <v>1045</v>
      </c>
    </row>
    <row r="234" spans="2:63" x14ac:dyDescent="0.45">
      <c r="B234" s="11" t="s">
        <v>21</v>
      </c>
      <c r="C234" s="11" t="s">
        <v>23</v>
      </c>
      <c r="D234" s="11" t="s">
        <v>24</v>
      </c>
      <c r="E234" s="11" t="s">
        <v>25</v>
      </c>
      <c r="F234" s="11" t="s">
        <v>1058</v>
      </c>
      <c r="G234" s="11" t="s">
        <v>1059</v>
      </c>
      <c r="H234" s="11" t="s">
        <v>21</v>
      </c>
      <c r="I234" s="11" t="s">
        <v>243</v>
      </c>
      <c r="J234" s="11" t="s">
        <v>244</v>
      </c>
      <c r="K234" s="11">
        <v>1</v>
      </c>
      <c r="L234" s="11" t="s">
        <v>1060</v>
      </c>
      <c r="M234" s="11" t="s">
        <v>246</v>
      </c>
      <c r="Q234" s="11" t="s">
        <v>105</v>
      </c>
      <c r="R234" s="11" t="s">
        <v>106</v>
      </c>
      <c r="S234" s="11" t="s">
        <v>1584</v>
      </c>
      <c r="T234" s="11" t="s">
        <v>107</v>
      </c>
      <c r="U234" s="11" t="s">
        <v>108</v>
      </c>
      <c r="V234" s="11" t="s">
        <v>21</v>
      </c>
      <c r="W234" s="11" t="s">
        <v>1032</v>
      </c>
      <c r="X234" s="11" t="s">
        <v>1033</v>
      </c>
      <c r="Y234" s="11" t="s">
        <v>24</v>
      </c>
      <c r="Z234" s="11" t="s">
        <v>1034</v>
      </c>
      <c r="AC234" s="11" t="s">
        <v>111</v>
      </c>
      <c r="AD234" s="11" t="s">
        <v>738</v>
      </c>
      <c r="AE234" s="11" t="s">
        <v>387</v>
      </c>
      <c r="AL234" s="11">
        <v>1</v>
      </c>
      <c r="AT234" s="11">
        <v>0</v>
      </c>
    </row>
    <row r="235" spans="2:63" x14ac:dyDescent="0.45">
      <c r="B235" s="11" t="s">
        <v>21</v>
      </c>
      <c r="C235" s="11" t="s">
        <v>23</v>
      </c>
      <c r="D235" s="11" t="s">
        <v>24</v>
      </c>
      <c r="E235" s="11" t="s">
        <v>25</v>
      </c>
      <c r="F235" s="11" t="s">
        <v>1061</v>
      </c>
      <c r="G235" s="11" t="s">
        <v>1062</v>
      </c>
      <c r="H235" s="11" t="s">
        <v>21</v>
      </c>
      <c r="I235" s="11" t="s">
        <v>348</v>
      </c>
      <c r="J235" s="11" t="s">
        <v>349</v>
      </c>
      <c r="K235" s="11">
        <v>1</v>
      </c>
      <c r="L235" s="11" t="s">
        <v>1063</v>
      </c>
      <c r="M235" s="11" t="s">
        <v>351</v>
      </c>
      <c r="Q235" s="11" t="s">
        <v>105</v>
      </c>
      <c r="R235" s="11" t="s">
        <v>106</v>
      </c>
      <c r="S235" s="11" t="s">
        <v>1584</v>
      </c>
      <c r="T235" s="11" t="s">
        <v>107</v>
      </c>
      <c r="U235" s="11" t="s">
        <v>108</v>
      </c>
      <c r="V235" s="11" t="s">
        <v>21</v>
      </c>
      <c r="W235" s="11" t="s">
        <v>1032</v>
      </c>
      <c r="X235" s="11" t="s">
        <v>1033</v>
      </c>
      <c r="Y235" s="11" t="s">
        <v>24</v>
      </c>
      <c r="Z235" s="11" t="s">
        <v>1034</v>
      </c>
      <c r="AC235" s="11" t="s">
        <v>111</v>
      </c>
      <c r="AD235" s="11" t="s">
        <v>738</v>
      </c>
      <c r="AE235" s="11" t="s">
        <v>352</v>
      </c>
      <c r="AL235" s="11">
        <v>1</v>
      </c>
      <c r="AT235" s="11">
        <v>0</v>
      </c>
    </row>
    <row r="236" spans="2:63" x14ac:dyDescent="0.45">
      <c r="B236" s="11" t="s">
        <v>21</v>
      </c>
      <c r="C236" s="11" t="s">
        <v>23</v>
      </c>
      <c r="D236" s="11" t="s">
        <v>24</v>
      </c>
      <c r="E236" s="11" t="s">
        <v>25</v>
      </c>
      <c r="F236" s="11" t="s">
        <v>1064</v>
      </c>
      <c r="G236" s="11" t="s">
        <v>1065</v>
      </c>
      <c r="H236" s="11" t="s">
        <v>21</v>
      </c>
      <c r="I236" s="11" t="s">
        <v>243</v>
      </c>
      <c r="J236" s="11" t="s">
        <v>244</v>
      </c>
      <c r="K236" s="11">
        <v>2</v>
      </c>
      <c r="L236" s="11" t="s">
        <v>1066</v>
      </c>
      <c r="M236" s="11" t="s">
        <v>246</v>
      </c>
      <c r="Q236" s="11" t="s">
        <v>105</v>
      </c>
      <c r="R236" s="11" t="s">
        <v>106</v>
      </c>
      <c r="S236" s="11" t="s">
        <v>1584</v>
      </c>
      <c r="T236" s="11" t="s">
        <v>107</v>
      </c>
      <c r="U236" s="11" t="s">
        <v>108</v>
      </c>
      <c r="V236" s="11" t="s">
        <v>21</v>
      </c>
      <c r="W236" s="11" t="s">
        <v>1032</v>
      </c>
      <c r="X236" s="11" t="s">
        <v>1033</v>
      </c>
      <c r="Y236" s="11" t="s">
        <v>24</v>
      </c>
      <c r="Z236" s="11" t="s">
        <v>1034</v>
      </c>
      <c r="AC236" s="11" t="s">
        <v>111</v>
      </c>
      <c r="AD236" s="11" t="s">
        <v>738</v>
      </c>
      <c r="AE236" s="11" t="s">
        <v>356</v>
      </c>
      <c r="AL236" s="11">
        <v>1</v>
      </c>
      <c r="AP236" s="11" t="s">
        <v>21</v>
      </c>
      <c r="AQ236" s="11" t="s">
        <v>1067</v>
      </c>
      <c r="AS236" s="11" t="s">
        <v>1066</v>
      </c>
      <c r="AT236" s="11">
        <v>3</v>
      </c>
    </row>
    <row r="237" spans="2:63" x14ac:dyDescent="0.45">
      <c r="B237" s="11" t="s">
        <v>21</v>
      </c>
      <c r="C237" s="11" t="s">
        <v>23</v>
      </c>
      <c r="D237" s="11" t="s">
        <v>24</v>
      </c>
      <c r="E237" s="11" t="s">
        <v>25</v>
      </c>
      <c r="F237" s="11" t="s">
        <v>1068</v>
      </c>
      <c r="G237" s="11" t="s">
        <v>1069</v>
      </c>
      <c r="H237" s="11" t="s">
        <v>21</v>
      </c>
      <c r="I237" s="11" t="s">
        <v>249</v>
      </c>
      <c r="J237" s="11" t="s">
        <v>225</v>
      </c>
      <c r="K237" s="11">
        <v>1</v>
      </c>
      <c r="L237" s="11" t="s">
        <v>1070</v>
      </c>
      <c r="M237" s="11" t="s">
        <v>251</v>
      </c>
      <c r="Q237" s="11" t="s">
        <v>105</v>
      </c>
      <c r="R237" s="11" t="s">
        <v>106</v>
      </c>
      <c r="S237" s="11" t="s">
        <v>1584</v>
      </c>
      <c r="T237" s="11" t="s">
        <v>107</v>
      </c>
      <c r="U237" s="11" t="s">
        <v>108</v>
      </c>
      <c r="V237" s="11" t="s">
        <v>21</v>
      </c>
      <c r="W237" s="11" t="s">
        <v>1032</v>
      </c>
      <c r="X237" s="11" t="s">
        <v>1033</v>
      </c>
      <c r="Y237" s="11" t="s">
        <v>24</v>
      </c>
      <c r="Z237" s="11" t="s">
        <v>1034</v>
      </c>
      <c r="AC237" s="11" t="s">
        <v>111</v>
      </c>
      <c r="AD237" s="11" t="s">
        <v>738</v>
      </c>
      <c r="AE237" s="11" t="s">
        <v>356</v>
      </c>
      <c r="AL237" s="11">
        <v>1</v>
      </c>
      <c r="AT237" s="11">
        <v>0</v>
      </c>
    </row>
    <row r="238" spans="2:63" x14ac:dyDescent="0.45">
      <c r="B238" s="11" t="s">
        <v>21</v>
      </c>
      <c r="C238" s="11" t="s">
        <v>23</v>
      </c>
      <c r="D238" s="11" t="s">
        <v>24</v>
      </c>
      <c r="E238" s="11" t="s">
        <v>25</v>
      </c>
      <c r="F238" s="11" t="s">
        <v>1071</v>
      </c>
      <c r="G238" s="11" t="s">
        <v>1072</v>
      </c>
      <c r="H238" s="11" t="s">
        <v>21</v>
      </c>
      <c r="I238" s="11" t="s">
        <v>254</v>
      </c>
      <c r="J238" s="11" t="s">
        <v>255</v>
      </c>
      <c r="K238" s="11">
        <v>1</v>
      </c>
      <c r="L238" s="11" t="s">
        <v>1073</v>
      </c>
      <c r="M238" s="11" t="s">
        <v>257</v>
      </c>
      <c r="Q238" s="11" t="s">
        <v>105</v>
      </c>
      <c r="R238" s="11" t="s">
        <v>106</v>
      </c>
      <c r="S238" s="11" t="s">
        <v>1584</v>
      </c>
      <c r="T238" s="11" t="s">
        <v>107</v>
      </c>
      <c r="U238" s="11" t="s">
        <v>108</v>
      </c>
      <c r="V238" s="11" t="s">
        <v>21</v>
      </c>
      <c r="W238" s="11" t="s">
        <v>1032</v>
      </c>
      <c r="X238" s="11" t="s">
        <v>1033</v>
      </c>
      <c r="Y238" s="11" t="s">
        <v>24</v>
      </c>
      <c r="Z238" s="11" t="s">
        <v>1034</v>
      </c>
      <c r="AC238" s="11" t="s">
        <v>111</v>
      </c>
      <c r="AD238" s="11" t="s">
        <v>738</v>
      </c>
      <c r="AE238" s="11" t="s">
        <v>356</v>
      </c>
      <c r="AL238" s="11">
        <v>1</v>
      </c>
      <c r="AT238" s="11">
        <v>0</v>
      </c>
    </row>
    <row r="239" spans="2:63" x14ac:dyDescent="0.45">
      <c r="B239" s="11" t="s">
        <v>21</v>
      </c>
      <c r="C239" s="11" t="s">
        <v>23</v>
      </c>
      <c r="D239" s="11" t="s">
        <v>24</v>
      </c>
      <c r="E239" s="11" t="s">
        <v>25</v>
      </c>
      <c r="F239" s="11" t="s">
        <v>1074</v>
      </c>
      <c r="G239" s="11" t="s">
        <v>1075</v>
      </c>
      <c r="H239" s="11" t="s">
        <v>21</v>
      </c>
      <c r="I239" s="11" t="s">
        <v>243</v>
      </c>
      <c r="J239" s="11" t="s">
        <v>244</v>
      </c>
      <c r="K239" s="11">
        <v>3</v>
      </c>
      <c r="L239" s="11" t="s">
        <v>1076</v>
      </c>
      <c r="M239" s="11" t="s">
        <v>246</v>
      </c>
      <c r="Q239" s="11" t="s">
        <v>105</v>
      </c>
      <c r="R239" s="11" t="s">
        <v>106</v>
      </c>
      <c r="S239" s="11" t="s">
        <v>1584</v>
      </c>
      <c r="T239" s="11" t="s">
        <v>107</v>
      </c>
      <c r="U239" s="11" t="s">
        <v>108</v>
      </c>
      <c r="V239" s="11" t="s">
        <v>21</v>
      </c>
      <c r="W239" s="11" t="s">
        <v>1032</v>
      </c>
      <c r="X239" s="11" t="s">
        <v>1033</v>
      </c>
      <c r="Y239" s="11" t="s">
        <v>24</v>
      </c>
      <c r="Z239" s="11" t="s">
        <v>1034</v>
      </c>
      <c r="AC239" s="11" t="s">
        <v>111</v>
      </c>
      <c r="AD239" s="11" t="s">
        <v>738</v>
      </c>
      <c r="AE239" s="11" t="s">
        <v>356</v>
      </c>
      <c r="AL239" s="11">
        <v>1</v>
      </c>
      <c r="AT239" s="11">
        <v>0</v>
      </c>
    </row>
    <row r="240" spans="2:63" x14ac:dyDescent="0.45">
      <c r="B240" s="11" t="s">
        <v>21</v>
      </c>
      <c r="C240" s="11" t="s">
        <v>23</v>
      </c>
      <c r="D240" s="11" t="s">
        <v>24</v>
      </c>
      <c r="E240" s="11" t="s">
        <v>25</v>
      </c>
      <c r="F240" s="11" t="s">
        <v>1077</v>
      </c>
      <c r="G240" s="11" t="s">
        <v>1078</v>
      </c>
      <c r="H240" s="11" t="s">
        <v>21</v>
      </c>
      <c r="I240" s="11" t="s">
        <v>368</v>
      </c>
      <c r="J240" s="11" t="s">
        <v>369</v>
      </c>
      <c r="K240" s="11">
        <v>1</v>
      </c>
      <c r="L240" s="11" t="s">
        <v>1079</v>
      </c>
      <c r="M240" s="11" t="s">
        <v>371</v>
      </c>
      <c r="Q240" s="11" t="s">
        <v>105</v>
      </c>
      <c r="R240" s="11" t="s">
        <v>106</v>
      </c>
      <c r="S240" s="11" t="s">
        <v>1584</v>
      </c>
      <c r="T240" s="11" t="s">
        <v>107</v>
      </c>
      <c r="U240" s="11" t="s">
        <v>108</v>
      </c>
      <c r="V240" s="11" t="s">
        <v>21</v>
      </c>
      <c r="W240" s="11" t="s">
        <v>1032</v>
      </c>
      <c r="X240" s="11" t="s">
        <v>1033</v>
      </c>
      <c r="Y240" s="11" t="s">
        <v>24</v>
      </c>
      <c r="Z240" s="11" t="s">
        <v>1034</v>
      </c>
      <c r="AC240" s="11" t="s">
        <v>111</v>
      </c>
      <c r="AD240" s="11" t="s">
        <v>738</v>
      </c>
      <c r="AE240" s="11" t="s">
        <v>356</v>
      </c>
      <c r="AL240" s="11">
        <v>1</v>
      </c>
      <c r="AP240" s="11" t="s">
        <v>21</v>
      </c>
      <c r="AQ240" s="11" t="s">
        <v>273</v>
      </c>
      <c r="AS240" s="11" t="s">
        <v>1079</v>
      </c>
      <c r="AT240" s="11">
        <v>2</v>
      </c>
    </row>
    <row r="241" spans="2:63" x14ac:dyDescent="0.45">
      <c r="B241" s="11" t="s">
        <v>21</v>
      </c>
      <c r="C241" s="11" t="s">
        <v>23</v>
      </c>
      <c r="D241" s="11" t="s">
        <v>24</v>
      </c>
      <c r="E241" s="11" t="s">
        <v>25</v>
      </c>
      <c r="F241" s="11" t="s">
        <v>1080</v>
      </c>
      <c r="G241" s="11" t="s">
        <v>1081</v>
      </c>
      <c r="H241" s="11" t="s">
        <v>21</v>
      </c>
      <c r="I241" s="11" t="s">
        <v>1082</v>
      </c>
      <c r="J241" s="11" t="s">
        <v>381</v>
      </c>
      <c r="K241" s="11">
        <v>1</v>
      </c>
      <c r="L241" s="11" t="s">
        <v>1083</v>
      </c>
      <c r="M241" s="11" t="s">
        <v>1084</v>
      </c>
      <c r="Q241" s="11" t="s">
        <v>105</v>
      </c>
      <c r="R241" s="11" t="s">
        <v>106</v>
      </c>
      <c r="S241" s="11" t="s">
        <v>1584</v>
      </c>
      <c r="T241" s="11" t="s">
        <v>107</v>
      </c>
      <c r="U241" s="11" t="s">
        <v>108</v>
      </c>
      <c r="V241" s="11" t="s">
        <v>21</v>
      </c>
      <c r="W241" s="11" t="s">
        <v>1032</v>
      </c>
      <c r="X241" s="11" t="s">
        <v>1033</v>
      </c>
      <c r="Y241" s="11" t="s">
        <v>24</v>
      </c>
      <c r="Z241" s="11" t="s">
        <v>1034</v>
      </c>
      <c r="AC241" s="11" t="s">
        <v>111</v>
      </c>
      <c r="AD241" s="11" t="s">
        <v>738</v>
      </c>
      <c r="AE241" s="11" t="s">
        <v>387</v>
      </c>
      <c r="AL241" s="11">
        <v>1</v>
      </c>
      <c r="AP241" s="11" t="s">
        <v>21</v>
      </c>
      <c r="AQ241" s="11" t="s">
        <v>294</v>
      </c>
      <c r="AS241" s="11" t="s">
        <v>1031</v>
      </c>
      <c r="AT241" s="11">
        <v>2</v>
      </c>
    </row>
    <row r="242" spans="2:63" x14ac:dyDescent="0.45">
      <c r="B242" s="11" t="s">
        <v>21</v>
      </c>
      <c r="C242" s="11" t="s">
        <v>23</v>
      </c>
      <c r="D242" s="11" t="s">
        <v>24</v>
      </c>
      <c r="E242" s="11" t="s">
        <v>25</v>
      </c>
      <c r="F242" s="11" t="s">
        <v>1085</v>
      </c>
      <c r="G242" s="11" t="s">
        <v>1086</v>
      </c>
      <c r="H242" s="11" t="s">
        <v>21</v>
      </c>
      <c r="I242" s="11" t="s">
        <v>390</v>
      </c>
      <c r="J242" s="11" t="s">
        <v>391</v>
      </c>
      <c r="K242" s="11">
        <v>1</v>
      </c>
      <c r="L242" s="11" t="s">
        <v>1087</v>
      </c>
      <c r="M242" s="11" t="s">
        <v>393</v>
      </c>
      <c r="Q242" s="11" t="s">
        <v>105</v>
      </c>
      <c r="R242" s="11" t="s">
        <v>106</v>
      </c>
      <c r="S242" s="11" t="s">
        <v>1584</v>
      </c>
      <c r="T242" s="11" t="s">
        <v>107</v>
      </c>
      <c r="U242" s="11" t="s">
        <v>108</v>
      </c>
      <c r="V242" s="11" t="s">
        <v>21</v>
      </c>
      <c r="W242" s="11" t="s">
        <v>1088</v>
      </c>
      <c r="X242" s="11" t="s">
        <v>24</v>
      </c>
      <c r="Y242" s="11" t="s">
        <v>24</v>
      </c>
      <c r="Z242" s="11" t="s">
        <v>1089</v>
      </c>
      <c r="AC242" s="11" t="s">
        <v>111</v>
      </c>
      <c r="AD242" s="11" t="s">
        <v>738</v>
      </c>
      <c r="AE242" s="11" t="s">
        <v>287</v>
      </c>
      <c r="AL242" s="11">
        <v>1</v>
      </c>
      <c r="AP242" s="11" t="s">
        <v>21</v>
      </c>
      <c r="AQ242" s="11" t="s">
        <v>185</v>
      </c>
      <c r="AS242" s="11" t="s">
        <v>1087</v>
      </c>
      <c r="AT242" s="11">
        <v>1</v>
      </c>
      <c r="AU242" s="11">
        <v>1</v>
      </c>
      <c r="AV242" s="11" t="s">
        <v>1090</v>
      </c>
      <c r="AW242" s="11">
        <v>15</v>
      </c>
      <c r="AX242" s="11">
        <v>20</v>
      </c>
    </row>
    <row r="243" spans="2:63" x14ac:dyDescent="0.45">
      <c r="B243" s="11" t="s">
        <v>21</v>
      </c>
      <c r="C243" s="11" t="s">
        <v>23</v>
      </c>
      <c r="D243" s="11" t="s">
        <v>24</v>
      </c>
      <c r="E243" s="11" t="s">
        <v>25</v>
      </c>
      <c r="F243" s="11" t="s">
        <v>1091</v>
      </c>
      <c r="G243" s="11" t="s">
        <v>1092</v>
      </c>
      <c r="H243" s="11" t="s">
        <v>21</v>
      </c>
      <c r="I243" s="11" t="s">
        <v>291</v>
      </c>
      <c r="J243" s="11" t="s">
        <v>292</v>
      </c>
      <c r="K243" s="11">
        <v>1</v>
      </c>
      <c r="L243" s="11" t="s">
        <v>1090</v>
      </c>
      <c r="M243" s="11" t="s">
        <v>293</v>
      </c>
      <c r="Q243" s="11" t="s">
        <v>105</v>
      </c>
      <c r="R243" s="11" t="s">
        <v>106</v>
      </c>
      <c r="S243" s="11" t="s">
        <v>1584</v>
      </c>
      <c r="T243" s="11" t="s">
        <v>107</v>
      </c>
      <c r="U243" s="11" t="s">
        <v>108</v>
      </c>
      <c r="V243" s="11" t="s">
        <v>21</v>
      </c>
      <c r="W243" s="11" t="s">
        <v>1088</v>
      </c>
      <c r="X243" s="11" t="s">
        <v>24</v>
      </c>
      <c r="Y243" s="11" t="s">
        <v>24</v>
      </c>
      <c r="Z243" s="11" t="s">
        <v>1089</v>
      </c>
      <c r="AC243" s="11" t="s">
        <v>111</v>
      </c>
      <c r="AD243" s="11" t="s">
        <v>738</v>
      </c>
      <c r="AE243" s="11" t="s">
        <v>287</v>
      </c>
      <c r="AL243" s="11">
        <v>1</v>
      </c>
      <c r="AP243" s="11" t="s">
        <v>21</v>
      </c>
      <c r="AQ243" s="11" t="s">
        <v>294</v>
      </c>
      <c r="AS243" s="11" t="s">
        <v>1031</v>
      </c>
      <c r="AT243" s="11">
        <v>2</v>
      </c>
      <c r="AU243" s="11">
        <v>1</v>
      </c>
    </row>
    <row r="244" spans="2:63" x14ac:dyDescent="0.45">
      <c r="B244" s="11" t="s">
        <v>21</v>
      </c>
      <c r="C244" s="11" t="s">
        <v>23</v>
      </c>
      <c r="D244" s="11" t="s">
        <v>24</v>
      </c>
      <c r="E244" s="11" t="s">
        <v>25</v>
      </c>
      <c r="F244" s="11" t="s">
        <v>1093</v>
      </c>
      <c r="G244" s="11" t="s">
        <v>1094</v>
      </c>
      <c r="H244" s="11" t="s">
        <v>21</v>
      </c>
      <c r="I244" s="11" t="s">
        <v>1095</v>
      </c>
      <c r="J244" s="11" t="s">
        <v>759</v>
      </c>
      <c r="K244" s="11">
        <v>1</v>
      </c>
      <c r="L244" s="11" t="s">
        <v>1096</v>
      </c>
      <c r="M244" s="11" t="s">
        <v>1097</v>
      </c>
      <c r="Q244" s="11" t="s">
        <v>105</v>
      </c>
      <c r="R244" s="11" t="s">
        <v>106</v>
      </c>
      <c r="S244" s="11" t="s">
        <v>1584</v>
      </c>
      <c r="T244" s="11" t="s">
        <v>107</v>
      </c>
      <c r="U244" s="11" t="s">
        <v>108</v>
      </c>
      <c r="V244" s="11" t="s">
        <v>21</v>
      </c>
      <c r="W244" s="11" t="s">
        <v>1088</v>
      </c>
      <c r="X244" s="11" t="s">
        <v>24</v>
      </c>
      <c r="Y244" s="11" t="s">
        <v>24</v>
      </c>
      <c r="Z244" s="11" t="s">
        <v>1089</v>
      </c>
      <c r="AC244" s="11" t="s">
        <v>111</v>
      </c>
      <c r="AD244" s="11" t="s">
        <v>738</v>
      </c>
      <c r="AE244" s="11" t="s">
        <v>168</v>
      </c>
      <c r="AL244" s="11">
        <v>1</v>
      </c>
      <c r="AT244" s="11">
        <v>0</v>
      </c>
    </row>
    <row r="245" spans="2:63" x14ac:dyDescent="0.45">
      <c r="B245" s="11" t="s">
        <v>21</v>
      </c>
      <c r="C245" s="11" t="s">
        <v>23</v>
      </c>
      <c r="D245" s="11" t="s">
        <v>24</v>
      </c>
      <c r="E245" s="11" t="s">
        <v>25</v>
      </c>
      <c r="F245" s="11" t="s">
        <v>1098</v>
      </c>
      <c r="G245" s="11" t="s">
        <v>1099</v>
      </c>
      <c r="H245" s="11" t="s">
        <v>21</v>
      </c>
      <c r="I245" s="11" t="s">
        <v>189</v>
      </c>
      <c r="J245" s="11" t="s">
        <v>190</v>
      </c>
      <c r="K245" s="11">
        <v>1</v>
      </c>
      <c r="L245" s="11" t="s">
        <v>1100</v>
      </c>
      <c r="M245" s="11" t="s">
        <v>191</v>
      </c>
      <c r="Q245" s="11" t="s">
        <v>105</v>
      </c>
      <c r="R245" s="11" t="s">
        <v>106</v>
      </c>
      <c r="S245" s="11" t="s">
        <v>1584</v>
      </c>
      <c r="T245" s="11" t="s">
        <v>107</v>
      </c>
      <c r="U245" s="11" t="s">
        <v>108</v>
      </c>
      <c r="V245" s="11" t="s">
        <v>21</v>
      </c>
      <c r="W245" s="11" t="s">
        <v>1088</v>
      </c>
      <c r="X245" s="11" t="s">
        <v>24</v>
      </c>
      <c r="Y245" s="11" t="s">
        <v>24</v>
      </c>
      <c r="Z245" s="11" t="s">
        <v>1089</v>
      </c>
      <c r="AC245" s="11" t="s">
        <v>111</v>
      </c>
      <c r="AD245" s="11" t="s">
        <v>738</v>
      </c>
      <c r="AE245" s="11" t="s">
        <v>469</v>
      </c>
      <c r="AL245" s="11">
        <v>1</v>
      </c>
      <c r="AP245" s="11" t="s">
        <v>21</v>
      </c>
      <c r="AQ245" s="11" t="s">
        <v>192</v>
      </c>
      <c r="AS245" s="11" t="s">
        <v>1100</v>
      </c>
      <c r="AT245" s="11">
        <v>3</v>
      </c>
    </row>
    <row r="246" spans="2:63" x14ac:dyDescent="0.45">
      <c r="B246" s="11" t="s">
        <v>21</v>
      </c>
      <c r="C246" s="11" t="s">
        <v>23</v>
      </c>
      <c r="D246" s="11" t="s">
        <v>24</v>
      </c>
      <c r="E246" s="11" t="s">
        <v>25</v>
      </c>
      <c r="F246" s="11" t="s">
        <v>1101</v>
      </c>
      <c r="G246" s="11" t="s">
        <v>1102</v>
      </c>
      <c r="H246" s="11" t="s">
        <v>21</v>
      </c>
      <c r="I246" s="11" t="s">
        <v>200</v>
      </c>
      <c r="J246" s="11" t="s">
        <v>201</v>
      </c>
      <c r="K246" s="11">
        <v>1</v>
      </c>
      <c r="L246" s="11" t="s">
        <v>1103</v>
      </c>
      <c r="M246" s="11" t="s">
        <v>203</v>
      </c>
      <c r="Q246" s="11" t="s">
        <v>105</v>
      </c>
      <c r="R246" s="11" t="s">
        <v>106</v>
      </c>
      <c r="S246" s="11" t="s">
        <v>1584</v>
      </c>
      <c r="T246" s="11" t="s">
        <v>107</v>
      </c>
      <c r="U246" s="11" t="s">
        <v>108</v>
      </c>
      <c r="V246" s="11" t="s">
        <v>21</v>
      </c>
      <c r="W246" s="11" t="s">
        <v>1088</v>
      </c>
      <c r="X246" s="11" t="s">
        <v>24</v>
      </c>
      <c r="Y246" s="11" t="s">
        <v>24</v>
      </c>
      <c r="Z246" s="11" t="s">
        <v>1089</v>
      </c>
      <c r="AC246" s="11" t="s">
        <v>111</v>
      </c>
      <c r="AD246" s="11" t="s">
        <v>738</v>
      </c>
      <c r="AE246" s="11" t="s">
        <v>469</v>
      </c>
      <c r="AF246" s="11" t="s">
        <v>743</v>
      </c>
      <c r="AL246" s="11">
        <v>1</v>
      </c>
      <c r="AP246" s="11" t="s">
        <v>21</v>
      </c>
      <c r="AQ246" s="11" t="s">
        <v>192</v>
      </c>
      <c r="AS246" s="11" t="s">
        <v>1100</v>
      </c>
      <c r="AT246" s="11">
        <v>3</v>
      </c>
      <c r="BH246" s="11" t="s">
        <v>106</v>
      </c>
      <c r="BI246" s="11" t="s">
        <v>105</v>
      </c>
      <c r="BJ246" s="11" t="s">
        <v>106</v>
      </c>
      <c r="BK246" s="11" t="s">
        <v>106</v>
      </c>
    </row>
    <row r="247" spans="2:63" x14ac:dyDescent="0.45">
      <c r="B247" s="11" t="s">
        <v>21</v>
      </c>
      <c r="C247" s="11" t="s">
        <v>23</v>
      </c>
      <c r="D247" s="11" t="s">
        <v>24</v>
      </c>
      <c r="E247" s="11" t="s">
        <v>25</v>
      </c>
      <c r="F247" s="11" t="s">
        <v>1104</v>
      </c>
      <c r="G247" s="11" t="s">
        <v>1105</v>
      </c>
      <c r="H247" s="11" t="s">
        <v>21</v>
      </c>
      <c r="I247" s="11" t="s">
        <v>206</v>
      </c>
      <c r="J247" s="11" t="s">
        <v>207</v>
      </c>
      <c r="K247" s="11">
        <v>1</v>
      </c>
      <c r="L247" s="11" t="s">
        <v>1106</v>
      </c>
      <c r="M247" s="11" t="s">
        <v>209</v>
      </c>
      <c r="Q247" s="11" t="s">
        <v>105</v>
      </c>
      <c r="R247" s="11" t="s">
        <v>106</v>
      </c>
      <c r="S247" s="11" t="s">
        <v>1584</v>
      </c>
      <c r="T247" s="11" t="s">
        <v>107</v>
      </c>
      <c r="U247" s="11" t="s">
        <v>108</v>
      </c>
      <c r="V247" s="11" t="s">
        <v>21</v>
      </c>
      <c r="W247" s="11" t="s">
        <v>1088</v>
      </c>
      <c r="X247" s="11" t="s">
        <v>24</v>
      </c>
      <c r="Y247" s="11" t="s">
        <v>24</v>
      </c>
      <c r="Z247" s="11" t="s">
        <v>1089</v>
      </c>
      <c r="AC247" s="11" t="s">
        <v>111</v>
      </c>
      <c r="AD247" s="11" t="s">
        <v>738</v>
      </c>
      <c r="AE247" s="11" t="s">
        <v>469</v>
      </c>
      <c r="AL247" s="11">
        <v>1</v>
      </c>
      <c r="AP247" s="11" t="s">
        <v>21</v>
      </c>
      <c r="AQ247" s="11" t="s">
        <v>192</v>
      </c>
      <c r="AS247" s="11" t="s">
        <v>1100</v>
      </c>
      <c r="AT247" s="11">
        <v>3</v>
      </c>
    </row>
    <row r="248" spans="2:63" x14ac:dyDescent="0.45">
      <c r="B248" s="11" t="s">
        <v>21</v>
      </c>
      <c r="C248" s="11" t="s">
        <v>23</v>
      </c>
      <c r="D248" s="11" t="s">
        <v>24</v>
      </c>
      <c r="E248" s="11" t="s">
        <v>25</v>
      </c>
      <c r="F248" s="11" t="s">
        <v>1107</v>
      </c>
      <c r="G248" s="11" t="s">
        <v>1108</v>
      </c>
      <c r="H248" s="11" t="s">
        <v>21</v>
      </c>
      <c r="I248" s="11" t="s">
        <v>212</v>
      </c>
      <c r="J248" s="11" t="s">
        <v>213</v>
      </c>
      <c r="K248" s="11">
        <v>1</v>
      </c>
      <c r="L248" s="11" t="s">
        <v>1109</v>
      </c>
      <c r="M248" s="11" t="s">
        <v>215</v>
      </c>
      <c r="Q248" s="11" t="s">
        <v>105</v>
      </c>
      <c r="R248" s="11" t="s">
        <v>106</v>
      </c>
      <c r="S248" s="11" t="s">
        <v>1584</v>
      </c>
      <c r="T248" s="11" t="s">
        <v>107</v>
      </c>
      <c r="U248" s="11" t="s">
        <v>108</v>
      </c>
      <c r="V248" s="11" t="s">
        <v>21</v>
      </c>
      <c r="W248" s="11" t="s">
        <v>1088</v>
      </c>
      <c r="X248" s="11" t="s">
        <v>24</v>
      </c>
      <c r="Y248" s="11" t="s">
        <v>24</v>
      </c>
      <c r="Z248" s="11" t="s">
        <v>1089</v>
      </c>
      <c r="AC248" s="11" t="s">
        <v>111</v>
      </c>
      <c r="AD248" s="11" t="s">
        <v>738</v>
      </c>
      <c r="AE248" s="11" t="s">
        <v>469</v>
      </c>
      <c r="AL248" s="11">
        <v>1</v>
      </c>
      <c r="AP248" s="11" t="s">
        <v>21</v>
      </c>
      <c r="AQ248" s="11" t="s">
        <v>192</v>
      </c>
      <c r="AS248" s="11" t="s">
        <v>1100</v>
      </c>
      <c r="AT248" s="11">
        <v>3</v>
      </c>
    </row>
    <row r="249" spans="2:63" x14ac:dyDescent="0.45">
      <c r="B249" s="11" t="s">
        <v>21</v>
      </c>
      <c r="C249" s="11" t="s">
        <v>23</v>
      </c>
      <c r="D249" s="11" t="s">
        <v>24</v>
      </c>
      <c r="E249" s="11" t="s">
        <v>25</v>
      </c>
      <c r="F249" s="11" t="s">
        <v>1110</v>
      </c>
      <c r="G249" s="11" t="s">
        <v>1111</v>
      </c>
      <c r="H249" s="11" t="s">
        <v>21</v>
      </c>
      <c r="I249" s="11" t="s">
        <v>218</v>
      </c>
      <c r="J249" s="11" t="s">
        <v>219</v>
      </c>
      <c r="K249" s="11">
        <v>1</v>
      </c>
      <c r="L249" s="11" t="s">
        <v>1112</v>
      </c>
      <c r="M249" s="11" t="s">
        <v>221</v>
      </c>
      <c r="Q249" s="11" t="s">
        <v>105</v>
      </c>
      <c r="R249" s="11" t="s">
        <v>106</v>
      </c>
      <c r="S249" s="11" t="s">
        <v>1584</v>
      </c>
      <c r="T249" s="11" t="s">
        <v>107</v>
      </c>
      <c r="U249" s="11" t="s">
        <v>108</v>
      </c>
      <c r="V249" s="11" t="s">
        <v>21</v>
      </c>
      <c r="W249" s="11" t="s">
        <v>1088</v>
      </c>
      <c r="X249" s="11" t="s">
        <v>24</v>
      </c>
      <c r="Y249" s="11" t="s">
        <v>24</v>
      </c>
      <c r="Z249" s="11" t="s">
        <v>1089</v>
      </c>
      <c r="AC249" s="11" t="s">
        <v>111</v>
      </c>
      <c r="AD249" s="11" t="s">
        <v>738</v>
      </c>
      <c r="AE249" s="11" t="s">
        <v>469</v>
      </c>
      <c r="AL249" s="11">
        <v>1</v>
      </c>
      <c r="AP249" s="11" t="s">
        <v>21</v>
      </c>
      <c r="AQ249" s="11" t="s">
        <v>192</v>
      </c>
      <c r="AS249" s="11" t="s">
        <v>1100</v>
      </c>
      <c r="AT249" s="11">
        <v>3</v>
      </c>
      <c r="BD249" s="11" t="s">
        <v>1103</v>
      </c>
    </row>
    <row r="250" spans="2:63" x14ac:dyDescent="0.45">
      <c r="B250" s="11" t="s">
        <v>21</v>
      </c>
      <c r="C250" s="11" t="s">
        <v>23</v>
      </c>
      <c r="D250" s="11" t="s">
        <v>24</v>
      </c>
      <c r="E250" s="11" t="s">
        <v>25</v>
      </c>
      <c r="F250" s="11" t="s">
        <v>1113</v>
      </c>
      <c r="G250" s="11" t="s">
        <v>1114</v>
      </c>
      <c r="H250" s="11" t="s">
        <v>21</v>
      </c>
      <c r="I250" s="11" t="s">
        <v>1115</v>
      </c>
      <c r="J250" s="11" t="s">
        <v>908</v>
      </c>
      <c r="K250" s="11">
        <v>1</v>
      </c>
      <c r="L250" s="11" t="s">
        <v>1116</v>
      </c>
      <c r="M250" s="11" t="s">
        <v>1117</v>
      </c>
      <c r="Q250" s="11" t="s">
        <v>105</v>
      </c>
      <c r="R250" s="11" t="s">
        <v>106</v>
      </c>
      <c r="S250" s="11" t="s">
        <v>1584</v>
      </c>
      <c r="T250" s="11" t="s">
        <v>107</v>
      </c>
      <c r="U250" s="11" t="s">
        <v>108</v>
      </c>
      <c r="V250" s="11" t="s">
        <v>21</v>
      </c>
      <c r="W250" s="11" t="s">
        <v>1088</v>
      </c>
      <c r="X250" s="11" t="s">
        <v>24</v>
      </c>
      <c r="Y250" s="11" t="s">
        <v>24</v>
      </c>
      <c r="Z250" s="11" t="s">
        <v>1089</v>
      </c>
      <c r="AC250" s="11" t="s">
        <v>111</v>
      </c>
      <c r="AD250" s="11" t="s">
        <v>738</v>
      </c>
      <c r="AE250" s="11" t="s">
        <v>469</v>
      </c>
      <c r="AL250" s="11">
        <v>1</v>
      </c>
      <c r="AP250" s="11" t="s">
        <v>21</v>
      </c>
      <c r="AQ250" s="11" t="s">
        <v>192</v>
      </c>
      <c r="AS250" s="11" t="s">
        <v>1100</v>
      </c>
      <c r="AT250" s="11">
        <v>3</v>
      </c>
      <c r="BA250" s="11">
        <v>1</v>
      </c>
    </row>
    <row r="251" spans="2:63" x14ac:dyDescent="0.45">
      <c r="B251" s="11" t="s">
        <v>21</v>
      </c>
      <c r="C251" s="11" t="s">
        <v>23</v>
      </c>
      <c r="D251" s="11" t="s">
        <v>24</v>
      </c>
      <c r="E251" s="11" t="s">
        <v>25</v>
      </c>
      <c r="F251" s="11" t="s">
        <v>1118</v>
      </c>
      <c r="G251" s="11" t="s">
        <v>1119</v>
      </c>
      <c r="H251" s="11" t="s">
        <v>21</v>
      </c>
      <c r="I251" s="11" t="s">
        <v>243</v>
      </c>
      <c r="J251" s="11" t="s">
        <v>244</v>
      </c>
      <c r="K251" s="11">
        <v>1</v>
      </c>
      <c r="L251" s="11" t="s">
        <v>1120</v>
      </c>
      <c r="M251" s="11" t="s">
        <v>246</v>
      </c>
      <c r="Q251" s="11" t="s">
        <v>105</v>
      </c>
      <c r="R251" s="11" t="s">
        <v>106</v>
      </c>
      <c r="S251" s="11" t="s">
        <v>1584</v>
      </c>
      <c r="T251" s="11" t="s">
        <v>107</v>
      </c>
      <c r="U251" s="11" t="s">
        <v>108</v>
      </c>
      <c r="V251" s="11" t="s">
        <v>21</v>
      </c>
      <c r="W251" s="11" t="s">
        <v>1088</v>
      </c>
      <c r="X251" s="11" t="s">
        <v>24</v>
      </c>
      <c r="Y251" s="11" t="s">
        <v>24</v>
      </c>
      <c r="Z251" s="11" t="s">
        <v>1089</v>
      </c>
      <c r="AC251" s="11" t="s">
        <v>111</v>
      </c>
      <c r="AD251" s="11" t="s">
        <v>738</v>
      </c>
      <c r="AE251" s="11" t="s">
        <v>352</v>
      </c>
      <c r="AL251" s="11">
        <v>1</v>
      </c>
      <c r="AT251" s="11">
        <v>0</v>
      </c>
    </row>
    <row r="252" spans="2:63" x14ac:dyDescent="0.45">
      <c r="B252" s="11" t="s">
        <v>21</v>
      </c>
      <c r="C252" s="11" t="s">
        <v>23</v>
      </c>
      <c r="D252" s="11" t="s">
        <v>24</v>
      </c>
      <c r="E252" s="11" t="s">
        <v>25</v>
      </c>
      <c r="F252" s="11" t="s">
        <v>1121</v>
      </c>
      <c r="G252" s="11" t="s">
        <v>1122</v>
      </c>
      <c r="H252" s="11" t="s">
        <v>21</v>
      </c>
      <c r="I252" s="11" t="s">
        <v>1123</v>
      </c>
      <c r="J252" s="11" t="s">
        <v>1124</v>
      </c>
      <c r="K252" s="11">
        <v>1</v>
      </c>
      <c r="L252" s="11" t="s">
        <v>1125</v>
      </c>
      <c r="M252" s="11" t="s">
        <v>1126</v>
      </c>
      <c r="Q252" s="11" t="s">
        <v>105</v>
      </c>
      <c r="R252" s="11" t="s">
        <v>106</v>
      </c>
      <c r="S252" s="11" t="s">
        <v>1584</v>
      </c>
      <c r="T252" s="11" t="s">
        <v>107</v>
      </c>
      <c r="U252" s="11" t="s">
        <v>108</v>
      </c>
      <c r="V252" s="11" t="s">
        <v>21</v>
      </c>
      <c r="W252" s="11" t="s">
        <v>1088</v>
      </c>
      <c r="X252" s="11" t="s">
        <v>24</v>
      </c>
      <c r="Y252" s="11" t="s">
        <v>24</v>
      </c>
      <c r="Z252" s="11" t="s">
        <v>1089</v>
      </c>
      <c r="AC252" s="11" t="s">
        <v>111</v>
      </c>
      <c r="AD252" s="11" t="s">
        <v>738</v>
      </c>
      <c r="AE252" s="11" t="s">
        <v>352</v>
      </c>
      <c r="AL252" s="11">
        <v>1</v>
      </c>
      <c r="AT252" s="11">
        <v>0</v>
      </c>
    </row>
    <row r="253" spans="2:63" x14ac:dyDescent="0.45">
      <c r="B253" s="11" t="s">
        <v>21</v>
      </c>
      <c r="C253" s="11" t="s">
        <v>23</v>
      </c>
      <c r="D253" s="11" t="s">
        <v>24</v>
      </c>
      <c r="E253" s="11" t="s">
        <v>25</v>
      </c>
      <c r="F253" s="11" t="s">
        <v>1127</v>
      </c>
      <c r="G253" s="11" t="s">
        <v>1128</v>
      </c>
      <c r="H253" s="11" t="s">
        <v>21</v>
      </c>
      <c r="I253" s="11" t="s">
        <v>1129</v>
      </c>
      <c r="J253" s="11" t="s">
        <v>400</v>
      </c>
      <c r="K253" s="11">
        <v>1</v>
      </c>
      <c r="L253" s="11" t="s">
        <v>1130</v>
      </c>
      <c r="M253" s="11" t="s">
        <v>1131</v>
      </c>
      <c r="Q253" s="11" t="s">
        <v>105</v>
      </c>
      <c r="R253" s="11" t="s">
        <v>106</v>
      </c>
      <c r="S253" s="11" t="s">
        <v>1584</v>
      </c>
      <c r="T253" s="11" t="s">
        <v>107</v>
      </c>
      <c r="U253" s="11" t="s">
        <v>108</v>
      </c>
      <c r="V253" s="11" t="s">
        <v>21</v>
      </c>
      <c r="W253" s="11" t="s">
        <v>1088</v>
      </c>
      <c r="X253" s="11" t="s">
        <v>24</v>
      </c>
      <c r="Y253" s="11" t="s">
        <v>24</v>
      </c>
      <c r="Z253" s="11" t="s">
        <v>1089</v>
      </c>
      <c r="AC253" s="11" t="s">
        <v>111</v>
      </c>
      <c r="AD253" s="11" t="s">
        <v>738</v>
      </c>
      <c r="AE253" s="11" t="s">
        <v>356</v>
      </c>
      <c r="AL253" s="11">
        <v>1</v>
      </c>
      <c r="AT253" s="11">
        <v>0</v>
      </c>
      <c r="BA253" s="11">
        <v>1</v>
      </c>
    </row>
    <row r="254" spans="2:63" x14ac:dyDescent="0.45">
      <c r="B254" s="11" t="s">
        <v>21</v>
      </c>
      <c r="C254" s="11" t="s">
        <v>23</v>
      </c>
      <c r="D254" s="11" t="s">
        <v>24</v>
      </c>
      <c r="E254" s="11" t="s">
        <v>25</v>
      </c>
      <c r="F254" s="11" t="s">
        <v>1132</v>
      </c>
      <c r="G254" s="11" t="s">
        <v>1133</v>
      </c>
      <c r="H254" s="11" t="s">
        <v>21</v>
      </c>
      <c r="I254" s="11" t="s">
        <v>243</v>
      </c>
      <c r="J254" s="11" t="s">
        <v>244</v>
      </c>
      <c r="K254" s="11">
        <v>2</v>
      </c>
      <c r="L254" s="11" t="s">
        <v>1134</v>
      </c>
      <c r="M254" s="11" t="s">
        <v>246</v>
      </c>
      <c r="Q254" s="11" t="s">
        <v>105</v>
      </c>
      <c r="R254" s="11" t="s">
        <v>106</v>
      </c>
      <c r="S254" s="11" t="s">
        <v>1584</v>
      </c>
      <c r="T254" s="11" t="s">
        <v>107</v>
      </c>
      <c r="U254" s="11" t="s">
        <v>108</v>
      </c>
      <c r="V254" s="11" t="s">
        <v>21</v>
      </c>
      <c r="W254" s="11" t="s">
        <v>1088</v>
      </c>
      <c r="X254" s="11" t="s">
        <v>24</v>
      </c>
      <c r="Y254" s="11" t="s">
        <v>24</v>
      </c>
      <c r="Z254" s="11" t="s">
        <v>1089</v>
      </c>
      <c r="AC254" s="11" t="s">
        <v>111</v>
      </c>
      <c r="AD254" s="11" t="s">
        <v>738</v>
      </c>
      <c r="AE254" s="11" t="s">
        <v>356</v>
      </c>
      <c r="AL254" s="11">
        <v>1</v>
      </c>
      <c r="AT254" s="11">
        <v>0</v>
      </c>
    </row>
    <row r="255" spans="2:63" x14ac:dyDescent="0.45">
      <c r="B255" s="11" t="s">
        <v>21</v>
      </c>
      <c r="C255" s="11" t="s">
        <v>23</v>
      </c>
      <c r="D255" s="11" t="s">
        <v>24</v>
      </c>
      <c r="E255" s="11" t="s">
        <v>25</v>
      </c>
      <c r="F255" s="11" t="s">
        <v>1135</v>
      </c>
      <c r="G255" s="11" t="s">
        <v>1136</v>
      </c>
      <c r="H255" s="11" t="s">
        <v>21</v>
      </c>
      <c r="I255" s="11" t="s">
        <v>249</v>
      </c>
      <c r="J255" s="11" t="s">
        <v>225</v>
      </c>
      <c r="K255" s="11">
        <v>1</v>
      </c>
      <c r="L255" s="11" t="s">
        <v>1137</v>
      </c>
      <c r="M255" s="11" t="s">
        <v>251</v>
      </c>
      <c r="Q255" s="11" t="s">
        <v>105</v>
      </c>
      <c r="R255" s="11" t="s">
        <v>106</v>
      </c>
      <c r="S255" s="11" t="s">
        <v>1584</v>
      </c>
      <c r="T255" s="11" t="s">
        <v>107</v>
      </c>
      <c r="U255" s="11" t="s">
        <v>108</v>
      </c>
      <c r="V255" s="11" t="s">
        <v>21</v>
      </c>
      <c r="W255" s="11" t="s">
        <v>1088</v>
      </c>
      <c r="X255" s="11" t="s">
        <v>24</v>
      </c>
      <c r="Y255" s="11" t="s">
        <v>24</v>
      </c>
      <c r="Z255" s="11" t="s">
        <v>1089</v>
      </c>
      <c r="AC255" s="11" t="s">
        <v>111</v>
      </c>
      <c r="AD255" s="11" t="s">
        <v>738</v>
      </c>
      <c r="AE255" s="11" t="s">
        <v>356</v>
      </c>
      <c r="AL255" s="11">
        <v>1</v>
      </c>
      <c r="AT255" s="11">
        <v>0</v>
      </c>
    </row>
    <row r="256" spans="2:63" x14ac:dyDescent="0.45">
      <c r="B256" s="11" t="s">
        <v>21</v>
      </c>
      <c r="C256" s="11" t="s">
        <v>23</v>
      </c>
      <c r="D256" s="11" t="s">
        <v>24</v>
      </c>
      <c r="E256" s="11" t="s">
        <v>25</v>
      </c>
      <c r="F256" s="11" t="s">
        <v>1138</v>
      </c>
      <c r="G256" s="11" t="s">
        <v>1139</v>
      </c>
      <c r="H256" s="11" t="s">
        <v>21</v>
      </c>
      <c r="I256" s="11" t="s">
        <v>254</v>
      </c>
      <c r="J256" s="11" t="s">
        <v>255</v>
      </c>
      <c r="K256" s="11">
        <v>1</v>
      </c>
      <c r="L256" s="11" t="s">
        <v>1140</v>
      </c>
      <c r="M256" s="11" t="s">
        <v>257</v>
      </c>
      <c r="Q256" s="11" t="s">
        <v>105</v>
      </c>
      <c r="R256" s="11" t="s">
        <v>106</v>
      </c>
      <c r="S256" s="11" t="s">
        <v>1584</v>
      </c>
      <c r="T256" s="11" t="s">
        <v>107</v>
      </c>
      <c r="U256" s="11" t="s">
        <v>108</v>
      </c>
      <c r="V256" s="11" t="s">
        <v>21</v>
      </c>
      <c r="W256" s="11" t="s">
        <v>1088</v>
      </c>
      <c r="X256" s="11" t="s">
        <v>24</v>
      </c>
      <c r="Y256" s="11" t="s">
        <v>24</v>
      </c>
      <c r="Z256" s="11" t="s">
        <v>1089</v>
      </c>
      <c r="AC256" s="11" t="s">
        <v>111</v>
      </c>
      <c r="AD256" s="11" t="s">
        <v>738</v>
      </c>
      <c r="AE256" s="11" t="s">
        <v>356</v>
      </c>
      <c r="AL256" s="11">
        <v>1</v>
      </c>
      <c r="AT256" s="11">
        <v>0</v>
      </c>
    </row>
    <row r="257" spans="2:63" x14ac:dyDescent="0.45">
      <c r="B257" s="11" t="s">
        <v>21</v>
      </c>
      <c r="C257" s="11" t="s">
        <v>23</v>
      </c>
      <c r="D257" s="11" t="s">
        <v>24</v>
      </c>
      <c r="E257" s="11" t="s">
        <v>25</v>
      </c>
      <c r="F257" s="11" t="s">
        <v>1141</v>
      </c>
      <c r="G257" s="11" t="s">
        <v>1142</v>
      </c>
      <c r="H257" s="11" t="s">
        <v>21</v>
      </c>
      <c r="I257" s="11" t="s">
        <v>243</v>
      </c>
      <c r="J257" s="11" t="s">
        <v>244</v>
      </c>
      <c r="K257" s="11">
        <v>3</v>
      </c>
      <c r="L257" s="11" t="s">
        <v>1143</v>
      </c>
      <c r="M257" s="11" t="s">
        <v>246</v>
      </c>
      <c r="Q257" s="11" t="s">
        <v>105</v>
      </c>
      <c r="R257" s="11" t="s">
        <v>106</v>
      </c>
      <c r="S257" s="11" t="s">
        <v>1584</v>
      </c>
      <c r="T257" s="11" t="s">
        <v>107</v>
      </c>
      <c r="U257" s="11" t="s">
        <v>108</v>
      </c>
      <c r="V257" s="11" t="s">
        <v>21</v>
      </c>
      <c r="W257" s="11" t="s">
        <v>1088</v>
      </c>
      <c r="X257" s="11" t="s">
        <v>24</v>
      </c>
      <c r="Y257" s="11" t="s">
        <v>24</v>
      </c>
      <c r="Z257" s="11" t="s">
        <v>1089</v>
      </c>
      <c r="AC257" s="11" t="s">
        <v>111</v>
      </c>
      <c r="AD257" s="11" t="s">
        <v>738</v>
      </c>
      <c r="AE257" s="11" t="s">
        <v>356</v>
      </c>
      <c r="AL257" s="11">
        <v>1</v>
      </c>
      <c r="AT257" s="11">
        <v>0</v>
      </c>
    </row>
    <row r="258" spans="2:63" x14ac:dyDescent="0.45">
      <c r="B258" s="11" t="s">
        <v>21</v>
      </c>
      <c r="C258" s="11" t="s">
        <v>23</v>
      </c>
      <c r="D258" s="11" t="s">
        <v>24</v>
      </c>
      <c r="E258" s="11" t="s">
        <v>25</v>
      </c>
      <c r="F258" s="11" t="s">
        <v>1144</v>
      </c>
      <c r="G258" s="11" t="s">
        <v>1145</v>
      </c>
      <c r="H258" s="11" t="s">
        <v>21</v>
      </c>
      <c r="I258" s="11" t="s">
        <v>390</v>
      </c>
      <c r="J258" s="11" t="s">
        <v>391</v>
      </c>
      <c r="K258" s="11">
        <v>2</v>
      </c>
      <c r="L258" s="11" t="s">
        <v>1146</v>
      </c>
      <c r="M258" s="11" t="s">
        <v>393</v>
      </c>
      <c r="Q258" s="11" t="s">
        <v>105</v>
      </c>
      <c r="R258" s="11" t="s">
        <v>106</v>
      </c>
      <c r="S258" s="11" t="s">
        <v>1584</v>
      </c>
      <c r="T258" s="11" t="s">
        <v>107</v>
      </c>
      <c r="U258" s="11" t="s">
        <v>108</v>
      </c>
      <c r="V258" s="11" t="s">
        <v>21</v>
      </c>
      <c r="W258" s="11" t="s">
        <v>1088</v>
      </c>
      <c r="X258" s="11" t="s">
        <v>24</v>
      </c>
      <c r="Y258" s="11" t="s">
        <v>24</v>
      </c>
      <c r="Z258" s="11" t="s">
        <v>1089</v>
      </c>
      <c r="AC258" s="11" t="s">
        <v>111</v>
      </c>
      <c r="AD258" s="11" t="s">
        <v>738</v>
      </c>
      <c r="AE258" s="11" t="s">
        <v>356</v>
      </c>
      <c r="AL258" s="11">
        <v>1</v>
      </c>
      <c r="AT258" s="11">
        <v>0</v>
      </c>
    </row>
    <row r="259" spans="2:63" x14ac:dyDescent="0.45">
      <c r="B259" s="11" t="s">
        <v>21</v>
      </c>
      <c r="C259" s="11" t="s">
        <v>23</v>
      </c>
      <c r="D259" s="11" t="s">
        <v>24</v>
      </c>
      <c r="E259" s="11" t="s">
        <v>25</v>
      </c>
      <c r="F259" s="11" t="s">
        <v>1147</v>
      </c>
      <c r="G259" s="11" t="s">
        <v>1148</v>
      </c>
      <c r="H259" s="11" t="s">
        <v>21</v>
      </c>
      <c r="I259" s="11" t="s">
        <v>368</v>
      </c>
      <c r="J259" s="11" t="s">
        <v>369</v>
      </c>
      <c r="K259" s="11">
        <v>1</v>
      </c>
      <c r="L259" s="11" t="s">
        <v>1149</v>
      </c>
      <c r="M259" s="11" t="s">
        <v>371</v>
      </c>
      <c r="Q259" s="11" t="s">
        <v>105</v>
      </c>
      <c r="R259" s="11" t="s">
        <v>106</v>
      </c>
      <c r="S259" s="11" t="s">
        <v>1584</v>
      </c>
      <c r="T259" s="11" t="s">
        <v>107</v>
      </c>
      <c r="U259" s="11" t="s">
        <v>108</v>
      </c>
      <c r="V259" s="11" t="s">
        <v>21</v>
      </c>
      <c r="W259" s="11" t="s">
        <v>1088</v>
      </c>
      <c r="X259" s="11" t="s">
        <v>24</v>
      </c>
      <c r="Y259" s="11" t="s">
        <v>24</v>
      </c>
      <c r="Z259" s="11" t="s">
        <v>1089</v>
      </c>
      <c r="AC259" s="11" t="s">
        <v>111</v>
      </c>
      <c r="AD259" s="11" t="s">
        <v>738</v>
      </c>
      <c r="AE259" s="11" t="s">
        <v>356</v>
      </c>
      <c r="AL259" s="11">
        <v>1</v>
      </c>
      <c r="AP259" s="11" t="s">
        <v>21</v>
      </c>
      <c r="AQ259" s="11" t="s">
        <v>273</v>
      </c>
      <c r="AS259" s="11" t="s">
        <v>1149</v>
      </c>
      <c r="AT259" s="11">
        <v>2</v>
      </c>
    </row>
    <row r="260" spans="2:63" x14ac:dyDescent="0.45">
      <c r="B260" s="11" t="s">
        <v>21</v>
      </c>
      <c r="C260" s="11" t="s">
        <v>23</v>
      </c>
      <c r="D260" s="11" t="s">
        <v>24</v>
      </c>
      <c r="E260" s="11" t="s">
        <v>25</v>
      </c>
      <c r="F260" s="11" t="s">
        <v>1150</v>
      </c>
      <c r="G260" s="11" t="s">
        <v>1151</v>
      </c>
      <c r="H260" s="11" t="s">
        <v>21</v>
      </c>
      <c r="I260" s="11" t="s">
        <v>1115</v>
      </c>
      <c r="J260" s="11" t="s">
        <v>908</v>
      </c>
      <c r="K260" s="11">
        <v>2</v>
      </c>
      <c r="L260" s="11" t="s">
        <v>1152</v>
      </c>
      <c r="M260" s="11" t="s">
        <v>1117</v>
      </c>
      <c r="Q260" s="11" t="s">
        <v>105</v>
      </c>
      <c r="R260" s="11" t="s">
        <v>106</v>
      </c>
      <c r="S260" s="11" t="s">
        <v>1584</v>
      </c>
      <c r="T260" s="11" t="s">
        <v>107</v>
      </c>
      <c r="U260" s="11" t="s">
        <v>108</v>
      </c>
      <c r="V260" s="11" t="s">
        <v>21</v>
      </c>
      <c r="W260" s="11" t="s">
        <v>1088</v>
      </c>
      <c r="X260" s="11" t="s">
        <v>24</v>
      </c>
      <c r="Y260" s="11" t="s">
        <v>24</v>
      </c>
      <c r="Z260" s="11" t="s">
        <v>1089</v>
      </c>
      <c r="AC260" s="11" t="s">
        <v>111</v>
      </c>
      <c r="AD260" s="11" t="s">
        <v>738</v>
      </c>
      <c r="AE260" s="11" t="s">
        <v>469</v>
      </c>
      <c r="AL260" s="11">
        <v>1</v>
      </c>
      <c r="AP260" s="11" t="s">
        <v>21</v>
      </c>
      <c r="AQ260" s="11" t="s">
        <v>294</v>
      </c>
      <c r="AS260" s="11" t="s">
        <v>1031</v>
      </c>
      <c r="AT260" s="11">
        <v>3</v>
      </c>
      <c r="BA260" s="11">
        <v>1</v>
      </c>
    </row>
    <row r="261" spans="2:63" x14ac:dyDescent="0.45">
      <c r="B261" s="11" t="s">
        <v>21</v>
      </c>
      <c r="C261" s="11" t="s">
        <v>23</v>
      </c>
      <c r="D261" s="11" t="s">
        <v>24</v>
      </c>
      <c r="E261" s="11" t="s">
        <v>25</v>
      </c>
      <c r="F261" s="11" t="s">
        <v>1153</v>
      </c>
      <c r="G261" s="11" t="s">
        <v>1154</v>
      </c>
      <c r="H261" s="11" t="s">
        <v>21</v>
      </c>
      <c r="I261" s="11" t="s">
        <v>243</v>
      </c>
      <c r="J261" s="11" t="s">
        <v>244</v>
      </c>
      <c r="K261" s="11">
        <v>1</v>
      </c>
      <c r="L261" s="11" t="s">
        <v>1155</v>
      </c>
      <c r="M261" s="11" t="s">
        <v>246</v>
      </c>
      <c r="Q261" s="11" t="s">
        <v>105</v>
      </c>
      <c r="R261" s="11" t="s">
        <v>106</v>
      </c>
      <c r="S261" s="11" t="s">
        <v>1584</v>
      </c>
      <c r="T261" s="11" t="s">
        <v>107</v>
      </c>
      <c r="U261" s="11" t="s">
        <v>108</v>
      </c>
      <c r="V261" s="11" t="s">
        <v>21</v>
      </c>
      <c r="W261" s="11" t="s">
        <v>1156</v>
      </c>
      <c r="X261" s="11" t="s">
        <v>417</v>
      </c>
      <c r="Y261" s="11" t="s">
        <v>24</v>
      </c>
      <c r="Z261" s="11" t="s">
        <v>1157</v>
      </c>
      <c r="AC261" s="11" t="s">
        <v>111</v>
      </c>
      <c r="AD261" s="11" t="s">
        <v>1158</v>
      </c>
      <c r="AE261" s="11" t="s">
        <v>908</v>
      </c>
      <c r="AL261" s="11">
        <v>1</v>
      </c>
      <c r="AU261" s="11">
        <v>1</v>
      </c>
      <c r="AV261" s="11" t="s">
        <v>1159</v>
      </c>
      <c r="AW261" s="11">
        <v>15</v>
      </c>
      <c r="AX261" s="11">
        <v>20</v>
      </c>
      <c r="AZ261" s="11">
        <v>1</v>
      </c>
    </row>
    <row r="262" spans="2:63" x14ac:dyDescent="0.45">
      <c r="B262" s="11" t="s">
        <v>21</v>
      </c>
      <c r="C262" s="11" t="s">
        <v>23</v>
      </c>
      <c r="D262" s="11" t="s">
        <v>24</v>
      </c>
      <c r="E262" s="11" t="s">
        <v>25</v>
      </c>
      <c r="F262" s="11" t="s">
        <v>1160</v>
      </c>
      <c r="G262" s="11" t="s">
        <v>1161</v>
      </c>
      <c r="H262" s="11" t="s">
        <v>21</v>
      </c>
      <c r="I262" s="11" t="s">
        <v>178</v>
      </c>
      <c r="J262" s="11" t="s">
        <v>179</v>
      </c>
      <c r="K262" s="11">
        <v>1</v>
      </c>
      <c r="L262" s="11" t="s">
        <v>1159</v>
      </c>
      <c r="M262" s="11" t="s">
        <v>181</v>
      </c>
      <c r="Q262" s="11" t="s">
        <v>105</v>
      </c>
      <c r="R262" s="11" t="s">
        <v>106</v>
      </c>
      <c r="S262" s="11" t="s">
        <v>1584</v>
      </c>
      <c r="T262" s="11" t="s">
        <v>107</v>
      </c>
      <c r="U262" s="11" t="s">
        <v>108</v>
      </c>
      <c r="V262" s="11" t="s">
        <v>21</v>
      </c>
      <c r="W262" s="11" t="s">
        <v>1156</v>
      </c>
      <c r="X262" s="11" t="s">
        <v>417</v>
      </c>
      <c r="Y262" s="11" t="s">
        <v>24</v>
      </c>
      <c r="Z262" s="11" t="s">
        <v>1157</v>
      </c>
      <c r="AC262" s="11" t="s">
        <v>111</v>
      </c>
      <c r="AD262" s="11" t="s">
        <v>1158</v>
      </c>
      <c r="AE262" s="11" t="s">
        <v>908</v>
      </c>
      <c r="AL262" s="11">
        <v>1</v>
      </c>
      <c r="AU262" s="11">
        <v>1</v>
      </c>
      <c r="AV262" s="11" t="s">
        <v>1162</v>
      </c>
      <c r="AW262" s="11">
        <v>15</v>
      </c>
      <c r="AX262" s="11">
        <v>20</v>
      </c>
      <c r="AZ262" s="11">
        <v>2</v>
      </c>
    </row>
    <row r="263" spans="2:63" x14ac:dyDescent="0.45">
      <c r="B263" s="11" t="s">
        <v>21</v>
      </c>
      <c r="C263" s="11" t="s">
        <v>23</v>
      </c>
      <c r="D263" s="11" t="s">
        <v>24</v>
      </c>
      <c r="E263" s="11" t="s">
        <v>25</v>
      </c>
      <c r="F263" s="11" t="s">
        <v>1163</v>
      </c>
      <c r="G263" s="11" t="s">
        <v>1164</v>
      </c>
      <c r="H263" s="11" t="s">
        <v>21</v>
      </c>
      <c r="I263" s="11" t="s">
        <v>1165</v>
      </c>
      <c r="J263" s="11" t="s">
        <v>103</v>
      </c>
      <c r="K263" s="11">
        <v>1</v>
      </c>
      <c r="L263" s="11" t="s">
        <v>1162</v>
      </c>
      <c r="M263" s="11" t="s">
        <v>1166</v>
      </c>
      <c r="Q263" s="11" t="s">
        <v>105</v>
      </c>
      <c r="R263" s="11" t="s">
        <v>106</v>
      </c>
      <c r="S263" s="11" t="s">
        <v>1584</v>
      </c>
      <c r="T263" s="11" t="s">
        <v>107</v>
      </c>
      <c r="U263" s="11" t="s">
        <v>108</v>
      </c>
      <c r="V263" s="11" t="s">
        <v>21</v>
      </c>
      <c r="W263" s="11" t="s">
        <v>1156</v>
      </c>
      <c r="X263" s="11" t="s">
        <v>417</v>
      </c>
      <c r="Y263" s="11" t="s">
        <v>24</v>
      </c>
      <c r="Z263" s="11" t="s">
        <v>1157</v>
      </c>
      <c r="AC263" s="11" t="s">
        <v>111</v>
      </c>
      <c r="AD263" s="11" t="s">
        <v>1158</v>
      </c>
      <c r="AE263" s="11" t="s">
        <v>908</v>
      </c>
      <c r="AL263" s="11">
        <v>1</v>
      </c>
      <c r="AU263" s="11">
        <v>1</v>
      </c>
      <c r="AZ263" s="11">
        <v>2</v>
      </c>
    </row>
    <row r="264" spans="2:63" x14ac:dyDescent="0.45">
      <c r="B264" s="11" t="s">
        <v>21</v>
      </c>
      <c r="C264" s="11" t="s">
        <v>23</v>
      </c>
      <c r="D264" s="11" t="s">
        <v>24</v>
      </c>
      <c r="E264" s="11" t="s">
        <v>25</v>
      </c>
      <c r="F264" s="11" t="s">
        <v>1167</v>
      </c>
      <c r="G264" s="11" t="s">
        <v>1168</v>
      </c>
      <c r="H264" s="11" t="s">
        <v>21</v>
      </c>
      <c r="I264" s="11" t="s">
        <v>189</v>
      </c>
      <c r="J264" s="11" t="s">
        <v>190</v>
      </c>
      <c r="K264" s="11">
        <v>1</v>
      </c>
      <c r="L264" s="11" t="s">
        <v>1169</v>
      </c>
      <c r="M264" s="11" t="s">
        <v>191</v>
      </c>
      <c r="Q264" s="11" t="s">
        <v>105</v>
      </c>
      <c r="R264" s="11" t="s">
        <v>106</v>
      </c>
      <c r="S264" s="11" t="s">
        <v>1584</v>
      </c>
      <c r="T264" s="11" t="s">
        <v>107</v>
      </c>
      <c r="U264" s="11" t="s">
        <v>108</v>
      </c>
      <c r="V264" s="11" t="s">
        <v>21</v>
      </c>
      <c r="W264" s="11" t="s">
        <v>1156</v>
      </c>
      <c r="X264" s="11" t="s">
        <v>417</v>
      </c>
      <c r="Y264" s="11" t="s">
        <v>24</v>
      </c>
      <c r="Z264" s="11" t="s">
        <v>1157</v>
      </c>
      <c r="AC264" s="11" t="s">
        <v>111</v>
      </c>
      <c r="AD264" s="11" t="s">
        <v>1158</v>
      </c>
      <c r="AE264" s="11" t="s">
        <v>739</v>
      </c>
      <c r="AL264" s="11">
        <v>1</v>
      </c>
      <c r="AP264" s="11" t="s">
        <v>21</v>
      </c>
      <c r="AQ264" s="11" t="s">
        <v>1170</v>
      </c>
      <c r="AS264" s="11" t="s">
        <v>1169</v>
      </c>
      <c r="AT264" s="11">
        <v>3</v>
      </c>
    </row>
    <row r="265" spans="2:63" x14ac:dyDescent="0.45">
      <c r="B265" s="11" t="s">
        <v>21</v>
      </c>
      <c r="C265" s="11" t="s">
        <v>23</v>
      </c>
      <c r="D265" s="11" t="s">
        <v>24</v>
      </c>
      <c r="E265" s="11" t="s">
        <v>25</v>
      </c>
      <c r="F265" s="11" t="s">
        <v>1171</v>
      </c>
      <c r="G265" s="11" t="s">
        <v>1172</v>
      </c>
      <c r="H265" s="11" t="s">
        <v>21</v>
      </c>
      <c r="I265" s="11" t="s">
        <v>1043</v>
      </c>
      <c r="J265" s="11" t="s">
        <v>1044</v>
      </c>
      <c r="K265" s="11">
        <v>1</v>
      </c>
      <c r="L265" s="11" t="s">
        <v>1173</v>
      </c>
      <c r="M265" s="11" t="s">
        <v>1046</v>
      </c>
      <c r="Q265" s="11" t="s">
        <v>105</v>
      </c>
      <c r="R265" s="11" t="s">
        <v>106</v>
      </c>
      <c r="S265" s="11" t="s">
        <v>1584</v>
      </c>
      <c r="T265" s="11" t="s">
        <v>107</v>
      </c>
      <c r="U265" s="11" t="s">
        <v>108</v>
      </c>
      <c r="V265" s="11" t="s">
        <v>21</v>
      </c>
      <c r="W265" s="11" t="s">
        <v>1156</v>
      </c>
      <c r="X265" s="11" t="s">
        <v>417</v>
      </c>
      <c r="Y265" s="11" t="s">
        <v>24</v>
      </c>
      <c r="Z265" s="11" t="s">
        <v>1157</v>
      </c>
      <c r="AC265" s="11" t="s">
        <v>111</v>
      </c>
      <c r="AD265" s="11" t="s">
        <v>1158</v>
      </c>
      <c r="AE265" s="11" t="s">
        <v>739</v>
      </c>
      <c r="AF265" s="11" t="s">
        <v>128</v>
      </c>
      <c r="AL265" s="11">
        <v>1</v>
      </c>
      <c r="AP265" s="11" t="s">
        <v>21</v>
      </c>
      <c r="AQ265" s="11" t="s">
        <v>1170</v>
      </c>
      <c r="AS265" s="11" t="s">
        <v>1169</v>
      </c>
      <c r="AT265" s="11">
        <v>3</v>
      </c>
      <c r="BH265" s="11" t="s">
        <v>106</v>
      </c>
      <c r="BI265" s="11" t="s">
        <v>105</v>
      </c>
      <c r="BJ265" s="11" t="s">
        <v>106</v>
      </c>
      <c r="BK265" s="11" t="s">
        <v>106</v>
      </c>
    </row>
    <row r="266" spans="2:63" x14ac:dyDescent="0.45">
      <c r="B266" s="11" t="s">
        <v>21</v>
      </c>
      <c r="C266" s="11" t="s">
        <v>23</v>
      </c>
      <c r="D266" s="11" t="s">
        <v>24</v>
      </c>
      <c r="E266" s="11" t="s">
        <v>25</v>
      </c>
      <c r="F266" s="11" t="s">
        <v>1174</v>
      </c>
      <c r="G266" s="11" t="s">
        <v>1175</v>
      </c>
      <c r="H266" s="11" t="s">
        <v>21</v>
      </c>
      <c r="I266" s="11" t="s">
        <v>212</v>
      </c>
      <c r="J266" s="11" t="s">
        <v>213</v>
      </c>
      <c r="K266" s="11">
        <v>1</v>
      </c>
      <c r="L266" s="11" t="s">
        <v>1176</v>
      </c>
      <c r="M266" s="11" t="s">
        <v>215</v>
      </c>
      <c r="Q266" s="11" t="s">
        <v>105</v>
      </c>
      <c r="R266" s="11" t="s">
        <v>106</v>
      </c>
      <c r="S266" s="11" t="s">
        <v>1584</v>
      </c>
      <c r="T266" s="11" t="s">
        <v>107</v>
      </c>
      <c r="U266" s="11" t="s">
        <v>108</v>
      </c>
      <c r="V266" s="11" t="s">
        <v>21</v>
      </c>
      <c r="W266" s="11" t="s">
        <v>1156</v>
      </c>
      <c r="X266" s="11" t="s">
        <v>417</v>
      </c>
      <c r="Y266" s="11" t="s">
        <v>24</v>
      </c>
      <c r="Z266" s="11" t="s">
        <v>1157</v>
      </c>
      <c r="AC266" s="11" t="s">
        <v>111</v>
      </c>
      <c r="AD266" s="11" t="s">
        <v>1158</v>
      </c>
      <c r="AE266" s="11" t="s">
        <v>739</v>
      </c>
      <c r="AL266" s="11">
        <v>1</v>
      </c>
      <c r="AP266" s="11" t="s">
        <v>21</v>
      </c>
      <c r="AQ266" s="11" t="s">
        <v>1170</v>
      </c>
      <c r="AS266" s="11" t="s">
        <v>1169</v>
      </c>
      <c r="AT266" s="11">
        <v>3</v>
      </c>
    </row>
    <row r="267" spans="2:63" x14ac:dyDescent="0.45">
      <c r="B267" s="11" t="s">
        <v>21</v>
      </c>
      <c r="C267" s="11" t="s">
        <v>23</v>
      </c>
      <c r="D267" s="11" t="s">
        <v>24</v>
      </c>
      <c r="E267" s="11" t="s">
        <v>25</v>
      </c>
      <c r="F267" s="11" t="s">
        <v>1177</v>
      </c>
      <c r="G267" s="11" t="s">
        <v>1178</v>
      </c>
      <c r="H267" s="11" t="s">
        <v>21</v>
      </c>
      <c r="I267" s="11" t="s">
        <v>1055</v>
      </c>
      <c r="J267" s="11" t="s">
        <v>207</v>
      </c>
      <c r="K267" s="11">
        <v>1</v>
      </c>
      <c r="L267" s="11" t="s">
        <v>1179</v>
      </c>
      <c r="M267" s="11" t="s">
        <v>1057</v>
      </c>
      <c r="Q267" s="11" t="s">
        <v>105</v>
      </c>
      <c r="R267" s="11" t="s">
        <v>106</v>
      </c>
      <c r="S267" s="11" t="s">
        <v>1584</v>
      </c>
      <c r="T267" s="11" t="s">
        <v>107</v>
      </c>
      <c r="U267" s="11" t="s">
        <v>108</v>
      </c>
      <c r="V267" s="11" t="s">
        <v>21</v>
      </c>
      <c r="W267" s="11" t="s">
        <v>1156</v>
      </c>
      <c r="X267" s="11" t="s">
        <v>417</v>
      </c>
      <c r="Y267" s="11" t="s">
        <v>24</v>
      </c>
      <c r="Z267" s="11" t="s">
        <v>1157</v>
      </c>
      <c r="AC267" s="11" t="s">
        <v>111</v>
      </c>
      <c r="AD267" s="11" t="s">
        <v>1158</v>
      </c>
      <c r="AE267" s="11" t="s">
        <v>739</v>
      </c>
      <c r="AL267" s="11">
        <v>1</v>
      </c>
      <c r="AP267" s="11" t="s">
        <v>21</v>
      </c>
      <c r="AQ267" s="11" t="s">
        <v>1170</v>
      </c>
      <c r="AS267" s="11" t="s">
        <v>1169</v>
      </c>
      <c r="AT267" s="11">
        <v>3</v>
      </c>
      <c r="BD267" s="11" t="s">
        <v>1173</v>
      </c>
    </row>
    <row r="268" spans="2:63" x14ac:dyDescent="0.45">
      <c r="B268" s="11" t="s">
        <v>21</v>
      </c>
      <c r="C268" s="11" t="s">
        <v>23</v>
      </c>
      <c r="D268" s="11" t="s">
        <v>24</v>
      </c>
      <c r="E268" s="11" t="s">
        <v>25</v>
      </c>
      <c r="F268" s="11" t="s">
        <v>1180</v>
      </c>
      <c r="G268" s="11" t="s">
        <v>1181</v>
      </c>
      <c r="H268" s="11" t="s">
        <v>21</v>
      </c>
      <c r="I268" s="11" t="s">
        <v>1182</v>
      </c>
      <c r="J268" s="11" t="s">
        <v>179</v>
      </c>
      <c r="K268" s="11">
        <v>1</v>
      </c>
      <c r="L268" s="11" t="s">
        <v>1183</v>
      </c>
      <c r="M268" s="11" t="s">
        <v>1184</v>
      </c>
      <c r="Q268" s="11" t="s">
        <v>105</v>
      </c>
      <c r="R268" s="11" t="s">
        <v>106</v>
      </c>
      <c r="S268" s="11" t="s">
        <v>1584</v>
      </c>
      <c r="T268" s="11" t="s">
        <v>107</v>
      </c>
      <c r="U268" s="11" t="s">
        <v>108</v>
      </c>
      <c r="V268" s="11" t="s">
        <v>21</v>
      </c>
      <c r="W268" s="11" t="s">
        <v>1156</v>
      </c>
      <c r="X268" s="11" t="s">
        <v>417</v>
      </c>
      <c r="Y268" s="11" t="s">
        <v>24</v>
      </c>
      <c r="Z268" s="11" t="s">
        <v>1157</v>
      </c>
      <c r="AC268" s="11" t="s">
        <v>111</v>
      </c>
      <c r="AD268" s="11" t="s">
        <v>1158</v>
      </c>
      <c r="AE268" s="11" t="s">
        <v>1185</v>
      </c>
      <c r="AL268" s="11">
        <v>1</v>
      </c>
      <c r="AU268" s="11">
        <v>1</v>
      </c>
      <c r="AV268" s="11" t="s">
        <v>1186</v>
      </c>
      <c r="AW268" s="11">
        <v>15</v>
      </c>
      <c r="AX268" s="11">
        <v>20</v>
      </c>
      <c r="AZ268" s="11">
        <v>1</v>
      </c>
      <c r="BB268" s="11">
        <v>6</v>
      </c>
      <c r="BC268" s="11" t="s">
        <v>1183</v>
      </c>
    </row>
    <row r="269" spans="2:63" x14ac:dyDescent="0.45">
      <c r="B269" s="11" t="s">
        <v>21</v>
      </c>
      <c r="C269" s="11" t="s">
        <v>23</v>
      </c>
      <c r="D269" s="11" t="s">
        <v>24</v>
      </c>
      <c r="E269" s="11" t="s">
        <v>25</v>
      </c>
      <c r="F269" s="11" t="s">
        <v>1187</v>
      </c>
      <c r="G269" s="11" t="s">
        <v>1188</v>
      </c>
      <c r="H269" s="11" t="s">
        <v>21</v>
      </c>
      <c r="I269" s="11" t="s">
        <v>1189</v>
      </c>
      <c r="J269" s="11" t="s">
        <v>557</v>
      </c>
      <c r="K269" s="11">
        <v>1</v>
      </c>
      <c r="L269" s="11" t="s">
        <v>1186</v>
      </c>
      <c r="M269" s="11" t="s">
        <v>1190</v>
      </c>
      <c r="Q269" s="11" t="s">
        <v>105</v>
      </c>
      <c r="R269" s="11" t="s">
        <v>106</v>
      </c>
      <c r="S269" s="11" t="s">
        <v>1584</v>
      </c>
      <c r="T269" s="11" t="s">
        <v>107</v>
      </c>
      <c r="U269" s="11" t="s">
        <v>108</v>
      </c>
      <c r="V269" s="11" t="s">
        <v>21</v>
      </c>
      <c r="W269" s="11" t="s">
        <v>1156</v>
      </c>
      <c r="X269" s="11" t="s">
        <v>417</v>
      </c>
      <c r="Y269" s="11" t="s">
        <v>24</v>
      </c>
      <c r="Z269" s="11" t="s">
        <v>1157</v>
      </c>
      <c r="AC269" s="11" t="s">
        <v>111</v>
      </c>
      <c r="AD269" s="11" t="s">
        <v>1158</v>
      </c>
      <c r="AE269" s="11" t="s">
        <v>1185</v>
      </c>
      <c r="AL269" s="11">
        <v>1</v>
      </c>
      <c r="AU269" s="11">
        <v>1</v>
      </c>
      <c r="AV269" s="11" t="s">
        <v>1191</v>
      </c>
      <c r="AW269" s="11">
        <v>15</v>
      </c>
      <c r="AX269" s="11">
        <v>20</v>
      </c>
      <c r="AZ269" s="11">
        <v>2</v>
      </c>
    </row>
    <row r="270" spans="2:63" x14ac:dyDescent="0.45">
      <c r="B270" s="11" t="s">
        <v>21</v>
      </c>
      <c r="C270" s="11" t="s">
        <v>23</v>
      </c>
      <c r="D270" s="11" t="s">
        <v>24</v>
      </c>
      <c r="E270" s="11" t="s">
        <v>25</v>
      </c>
      <c r="F270" s="11" t="s">
        <v>1192</v>
      </c>
      <c r="G270" s="11" t="s">
        <v>1193</v>
      </c>
      <c r="H270" s="11" t="s">
        <v>21</v>
      </c>
      <c r="I270" s="11" t="s">
        <v>1194</v>
      </c>
      <c r="J270" s="11" t="s">
        <v>219</v>
      </c>
      <c r="K270" s="11">
        <v>1</v>
      </c>
      <c r="L270" s="11" t="s">
        <v>1191</v>
      </c>
      <c r="M270" s="11" t="s">
        <v>1195</v>
      </c>
      <c r="Q270" s="11" t="s">
        <v>105</v>
      </c>
      <c r="R270" s="11" t="s">
        <v>106</v>
      </c>
      <c r="S270" s="11" t="s">
        <v>1584</v>
      </c>
      <c r="T270" s="11" t="s">
        <v>107</v>
      </c>
      <c r="U270" s="11" t="s">
        <v>108</v>
      </c>
      <c r="V270" s="11" t="s">
        <v>21</v>
      </c>
      <c r="W270" s="11" t="s">
        <v>1156</v>
      </c>
      <c r="X270" s="11" t="s">
        <v>417</v>
      </c>
      <c r="Y270" s="11" t="s">
        <v>24</v>
      </c>
      <c r="Z270" s="11" t="s">
        <v>1157</v>
      </c>
      <c r="AC270" s="11" t="s">
        <v>111</v>
      </c>
      <c r="AD270" s="11" t="s">
        <v>1158</v>
      </c>
      <c r="AE270" s="11" t="s">
        <v>1185</v>
      </c>
      <c r="AL270" s="11">
        <v>1</v>
      </c>
      <c r="AU270" s="11">
        <v>1</v>
      </c>
      <c r="AZ270" s="11">
        <v>2</v>
      </c>
      <c r="BA270" s="11">
        <v>1</v>
      </c>
    </row>
    <row r="271" spans="2:63" x14ac:dyDescent="0.45">
      <c r="B271" s="11" t="s">
        <v>21</v>
      </c>
      <c r="C271" s="11" t="s">
        <v>23</v>
      </c>
      <c r="D271" s="11" t="s">
        <v>24</v>
      </c>
      <c r="E271" s="11" t="s">
        <v>25</v>
      </c>
      <c r="F271" s="11" t="s">
        <v>1196</v>
      </c>
      <c r="G271" s="11" t="s">
        <v>1197</v>
      </c>
      <c r="H271" s="11" t="s">
        <v>21</v>
      </c>
      <c r="I271" s="11" t="s">
        <v>1198</v>
      </c>
      <c r="J271" s="11" t="s">
        <v>1033</v>
      </c>
      <c r="K271" s="11">
        <v>1</v>
      </c>
      <c r="L271" s="11" t="s">
        <v>1199</v>
      </c>
      <c r="M271" s="11" t="s">
        <v>1200</v>
      </c>
      <c r="Q271" s="11" t="s">
        <v>105</v>
      </c>
      <c r="R271" s="11" t="s">
        <v>106</v>
      </c>
      <c r="S271" s="11" t="s">
        <v>1584</v>
      </c>
      <c r="T271" s="11" t="s">
        <v>107</v>
      </c>
      <c r="U271" s="11" t="s">
        <v>108</v>
      </c>
      <c r="V271" s="11" t="s">
        <v>21</v>
      </c>
      <c r="W271" s="11" t="s">
        <v>1156</v>
      </c>
      <c r="X271" s="11" t="s">
        <v>417</v>
      </c>
      <c r="Y271" s="11" t="s">
        <v>24</v>
      </c>
      <c r="Z271" s="11" t="s">
        <v>1157</v>
      </c>
      <c r="AC271" s="11" t="s">
        <v>111</v>
      </c>
      <c r="AD271" s="11" t="s">
        <v>1158</v>
      </c>
      <c r="AE271" s="11" t="s">
        <v>1185</v>
      </c>
      <c r="AL271" s="11">
        <v>1</v>
      </c>
      <c r="AP271" s="11" t="s">
        <v>21</v>
      </c>
      <c r="AQ271" s="11" t="s">
        <v>1201</v>
      </c>
      <c r="AS271" s="11" t="s">
        <v>1199</v>
      </c>
      <c r="AT271" s="11">
        <v>2</v>
      </c>
      <c r="BA271" s="11">
        <v>1</v>
      </c>
    </row>
    <row r="272" spans="2:63" x14ac:dyDescent="0.45">
      <c r="B272" s="11" t="s">
        <v>21</v>
      </c>
      <c r="C272" s="11" t="s">
        <v>23</v>
      </c>
      <c r="D272" s="11" t="s">
        <v>24</v>
      </c>
      <c r="E272" s="11" t="s">
        <v>25</v>
      </c>
      <c r="F272" s="11" t="s">
        <v>1202</v>
      </c>
      <c r="G272" s="11" t="s">
        <v>1203</v>
      </c>
      <c r="H272" s="11" t="s">
        <v>21</v>
      </c>
      <c r="I272" s="11" t="s">
        <v>1204</v>
      </c>
      <c r="J272" s="11" t="s">
        <v>574</v>
      </c>
      <c r="K272" s="11">
        <v>1</v>
      </c>
      <c r="L272" s="11" t="s">
        <v>1205</v>
      </c>
      <c r="M272" s="11" t="s">
        <v>1206</v>
      </c>
      <c r="Q272" s="11" t="s">
        <v>105</v>
      </c>
      <c r="R272" s="11" t="s">
        <v>106</v>
      </c>
      <c r="S272" s="11" t="s">
        <v>1584</v>
      </c>
      <c r="T272" s="11" t="s">
        <v>107</v>
      </c>
      <c r="U272" s="11" t="s">
        <v>108</v>
      </c>
      <c r="V272" s="11" t="s">
        <v>21</v>
      </c>
      <c r="W272" s="11" t="s">
        <v>1156</v>
      </c>
      <c r="X272" s="11" t="s">
        <v>417</v>
      </c>
      <c r="Y272" s="11" t="s">
        <v>24</v>
      </c>
      <c r="Z272" s="11" t="s">
        <v>1157</v>
      </c>
      <c r="AC272" s="11" t="s">
        <v>111</v>
      </c>
      <c r="AD272" s="11" t="s">
        <v>1158</v>
      </c>
      <c r="AE272" s="11" t="s">
        <v>356</v>
      </c>
      <c r="AL272" s="11">
        <v>1</v>
      </c>
    </row>
    <row r="273" spans="2:63" x14ac:dyDescent="0.45">
      <c r="B273" s="11" t="s">
        <v>21</v>
      </c>
      <c r="C273" s="11" t="s">
        <v>23</v>
      </c>
      <c r="D273" s="11" t="s">
        <v>24</v>
      </c>
      <c r="E273" s="11" t="s">
        <v>25</v>
      </c>
      <c r="F273" s="11" t="s">
        <v>1207</v>
      </c>
      <c r="G273" s="11" t="s">
        <v>1208</v>
      </c>
      <c r="H273" s="11" t="s">
        <v>21</v>
      </c>
      <c r="I273" s="11" t="s">
        <v>1189</v>
      </c>
      <c r="J273" s="11" t="s">
        <v>557</v>
      </c>
      <c r="K273" s="11">
        <v>2</v>
      </c>
      <c r="L273" s="11" t="s">
        <v>1209</v>
      </c>
      <c r="M273" s="11" t="s">
        <v>1190</v>
      </c>
      <c r="Q273" s="11" t="s">
        <v>105</v>
      </c>
      <c r="R273" s="11" t="s">
        <v>106</v>
      </c>
      <c r="S273" s="11" t="s">
        <v>1584</v>
      </c>
      <c r="T273" s="11" t="s">
        <v>107</v>
      </c>
      <c r="U273" s="11" t="s">
        <v>108</v>
      </c>
      <c r="V273" s="11" t="s">
        <v>21</v>
      </c>
      <c r="W273" s="11" t="s">
        <v>1156</v>
      </c>
      <c r="X273" s="11" t="s">
        <v>417</v>
      </c>
      <c r="Y273" s="11" t="s">
        <v>24</v>
      </c>
      <c r="Z273" s="11" t="s">
        <v>1157</v>
      </c>
      <c r="AC273" s="11" t="s">
        <v>111</v>
      </c>
      <c r="AD273" s="11" t="s">
        <v>1158</v>
      </c>
      <c r="AE273" s="11" t="s">
        <v>356</v>
      </c>
      <c r="AL273" s="11">
        <v>1</v>
      </c>
    </row>
    <row r="274" spans="2:63" x14ac:dyDescent="0.45">
      <c r="B274" s="11" t="s">
        <v>21</v>
      </c>
      <c r="C274" s="11" t="s">
        <v>23</v>
      </c>
      <c r="D274" s="11" t="s">
        <v>24</v>
      </c>
      <c r="E274" s="11" t="s">
        <v>25</v>
      </c>
      <c r="F274" s="11" t="s">
        <v>1210</v>
      </c>
      <c r="G274" s="11" t="s">
        <v>1211</v>
      </c>
      <c r="H274" s="11" t="s">
        <v>21</v>
      </c>
      <c r="I274" s="11" t="s">
        <v>1212</v>
      </c>
      <c r="J274" s="11" t="s">
        <v>1213</v>
      </c>
      <c r="K274" s="11">
        <v>1</v>
      </c>
      <c r="L274" s="11" t="s">
        <v>1214</v>
      </c>
      <c r="M274" s="11" t="s">
        <v>1215</v>
      </c>
      <c r="Q274" s="11" t="s">
        <v>105</v>
      </c>
      <c r="R274" s="11" t="s">
        <v>106</v>
      </c>
      <c r="S274" s="11" t="s">
        <v>1584</v>
      </c>
      <c r="T274" s="11" t="s">
        <v>107</v>
      </c>
      <c r="U274" s="11" t="s">
        <v>108</v>
      </c>
      <c r="V274" s="11" t="s">
        <v>21</v>
      </c>
      <c r="W274" s="11" t="s">
        <v>1156</v>
      </c>
      <c r="X274" s="11" t="s">
        <v>417</v>
      </c>
      <c r="Y274" s="11" t="s">
        <v>24</v>
      </c>
      <c r="Z274" s="11" t="s">
        <v>1157</v>
      </c>
      <c r="AC274" s="11" t="s">
        <v>111</v>
      </c>
      <c r="AD274" s="11" t="s">
        <v>1158</v>
      </c>
      <c r="AE274" s="11" t="s">
        <v>356</v>
      </c>
      <c r="AL274" s="11">
        <v>1</v>
      </c>
      <c r="AP274" s="11" t="s">
        <v>21</v>
      </c>
      <c r="AQ274" s="11" t="s">
        <v>1216</v>
      </c>
      <c r="AS274" s="11" t="s">
        <v>1214</v>
      </c>
      <c r="AT274" s="11">
        <v>2</v>
      </c>
    </row>
    <row r="275" spans="2:63" x14ac:dyDescent="0.45">
      <c r="B275" s="11" t="s">
        <v>21</v>
      </c>
      <c r="C275" s="11" t="s">
        <v>23</v>
      </c>
      <c r="D275" s="11" t="s">
        <v>24</v>
      </c>
      <c r="E275" s="11" t="s">
        <v>25</v>
      </c>
      <c r="F275" s="11" t="s">
        <v>1217</v>
      </c>
      <c r="G275" s="11" t="s">
        <v>1218</v>
      </c>
      <c r="H275" s="11" t="s">
        <v>21</v>
      </c>
      <c r="I275" s="11" t="s">
        <v>861</v>
      </c>
      <c r="J275" s="11" t="s">
        <v>862</v>
      </c>
      <c r="K275" s="11">
        <v>1</v>
      </c>
      <c r="L275" s="11" t="s">
        <v>1219</v>
      </c>
      <c r="M275" s="11" t="s">
        <v>863</v>
      </c>
      <c r="Q275" s="11" t="s">
        <v>105</v>
      </c>
      <c r="R275" s="11" t="s">
        <v>106</v>
      </c>
      <c r="S275" s="11" t="s">
        <v>1584</v>
      </c>
      <c r="T275" s="11" t="s">
        <v>107</v>
      </c>
      <c r="U275" s="11" t="s">
        <v>108</v>
      </c>
      <c r="V275" s="11" t="s">
        <v>21</v>
      </c>
      <c r="W275" s="11" t="s">
        <v>1220</v>
      </c>
      <c r="X275" s="11" t="s">
        <v>24</v>
      </c>
      <c r="Y275" s="11" t="s">
        <v>172</v>
      </c>
      <c r="Z275" s="11" t="s">
        <v>1221</v>
      </c>
      <c r="AC275" s="11" t="s">
        <v>111</v>
      </c>
      <c r="AD275" s="11" t="s">
        <v>1222</v>
      </c>
      <c r="AE275" s="11" t="s">
        <v>739</v>
      </c>
      <c r="AL275" s="11">
        <v>1</v>
      </c>
      <c r="AP275" s="11" t="s">
        <v>21</v>
      </c>
      <c r="AQ275" s="11" t="s">
        <v>185</v>
      </c>
      <c r="AS275" s="11" t="s">
        <v>1219</v>
      </c>
      <c r="AT275" s="11">
        <v>3</v>
      </c>
      <c r="AU275" s="11">
        <v>1</v>
      </c>
      <c r="AV275" s="11" t="s">
        <v>1223</v>
      </c>
      <c r="AW275" s="11">
        <v>15</v>
      </c>
      <c r="AX275" s="11">
        <v>20</v>
      </c>
    </row>
    <row r="276" spans="2:63" x14ac:dyDescent="0.45">
      <c r="B276" s="11" t="s">
        <v>21</v>
      </c>
      <c r="C276" s="11" t="s">
        <v>23</v>
      </c>
      <c r="D276" s="11" t="s">
        <v>24</v>
      </c>
      <c r="E276" s="11" t="s">
        <v>25</v>
      </c>
      <c r="F276" s="11" t="s">
        <v>1224</v>
      </c>
      <c r="G276" s="11" t="s">
        <v>1225</v>
      </c>
      <c r="H276" s="11" t="s">
        <v>21</v>
      </c>
      <c r="I276" s="11" t="s">
        <v>297</v>
      </c>
      <c r="J276" s="11" t="s">
        <v>298</v>
      </c>
      <c r="K276" s="11">
        <v>1</v>
      </c>
      <c r="L276" s="11" t="s">
        <v>1223</v>
      </c>
      <c r="M276" s="11" t="s">
        <v>300</v>
      </c>
      <c r="Q276" s="11" t="s">
        <v>105</v>
      </c>
      <c r="R276" s="11" t="s">
        <v>106</v>
      </c>
      <c r="S276" s="11" t="s">
        <v>1584</v>
      </c>
      <c r="T276" s="11" t="s">
        <v>107</v>
      </c>
      <c r="U276" s="11" t="s">
        <v>108</v>
      </c>
      <c r="V276" s="11" t="s">
        <v>21</v>
      </c>
      <c r="W276" s="11" t="s">
        <v>1220</v>
      </c>
      <c r="X276" s="11" t="s">
        <v>24</v>
      </c>
      <c r="Y276" s="11" t="s">
        <v>172</v>
      </c>
      <c r="Z276" s="11" t="s">
        <v>1221</v>
      </c>
      <c r="AC276" s="11" t="s">
        <v>111</v>
      </c>
      <c r="AD276" s="11" t="s">
        <v>1222</v>
      </c>
      <c r="AE276" s="11" t="s">
        <v>739</v>
      </c>
      <c r="AL276" s="11">
        <v>1</v>
      </c>
      <c r="AP276" s="11" t="s">
        <v>21</v>
      </c>
      <c r="AQ276" s="11" t="s">
        <v>1170</v>
      </c>
      <c r="AS276" s="11" t="s">
        <v>1219</v>
      </c>
      <c r="AT276" s="11">
        <v>3</v>
      </c>
      <c r="AU276" s="11">
        <v>1</v>
      </c>
    </row>
    <row r="277" spans="2:63" x14ac:dyDescent="0.45">
      <c r="B277" s="11" t="s">
        <v>21</v>
      </c>
      <c r="C277" s="11" t="s">
        <v>23</v>
      </c>
      <c r="D277" s="11" t="s">
        <v>24</v>
      </c>
      <c r="E277" s="11" t="s">
        <v>25</v>
      </c>
      <c r="F277" s="11" t="s">
        <v>1226</v>
      </c>
      <c r="G277" s="11" t="s">
        <v>1227</v>
      </c>
      <c r="H277" s="11" t="s">
        <v>21</v>
      </c>
      <c r="I277" s="11" t="s">
        <v>1043</v>
      </c>
      <c r="J277" s="11" t="s">
        <v>1044</v>
      </c>
      <c r="K277" s="11">
        <v>1</v>
      </c>
      <c r="L277" s="11" t="s">
        <v>1228</v>
      </c>
      <c r="M277" s="11" t="s">
        <v>1046</v>
      </c>
      <c r="Q277" s="11" t="s">
        <v>105</v>
      </c>
      <c r="R277" s="11" t="s">
        <v>106</v>
      </c>
      <c r="S277" s="11" t="s">
        <v>1584</v>
      </c>
      <c r="T277" s="11" t="s">
        <v>107</v>
      </c>
      <c r="U277" s="11" t="s">
        <v>108</v>
      </c>
      <c r="V277" s="11" t="s">
        <v>21</v>
      </c>
      <c r="W277" s="11" t="s">
        <v>1220</v>
      </c>
      <c r="X277" s="11" t="s">
        <v>24</v>
      </c>
      <c r="Y277" s="11" t="s">
        <v>172</v>
      </c>
      <c r="Z277" s="11" t="s">
        <v>1221</v>
      </c>
      <c r="AC277" s="11" t="s">
        <v>111</v>
      </c>
      <c r="AD277" s="11" t="s">
        <v>1222</v>
      </c>
      <c r="AE277" s="11" t="s">
        <v>739</v>
      </c>
      <c r="AF277" s="11" t="s">
        <v>1229</v>
      </c>
      <c r="AL277" s="11">
        <v>1</v>
      </c>
      <c r="AP277" s="11" t="s">
        <v>21</v>
      </c>
      <c r="AQ277" s="11" t="s">
        <v>1170</v>
      </c>
      <c r="AS277" s="11" t="s">
        <v>1219</v>
      </c>
      <c r="AT277" s="11">
        <v>3</v>
      </c>
      <c r="BH277" s="11" t="s">
        <v>106</v>
      </c>
      <c r="BI277" s="11" t="s">
        <v>105</v>
      </c>
      <c r="BJ277" s="11" t="s">
        <v>106</v>
      </c>
      <c r="BK277" s="11" t="s">
        <v>106</v>
      </c>
    </row>
    <row r="278" spans="2:63" x14ac:dyDescent="0.45">
      <c r="B278" s="11" t="s">
        <v>21</v>
      </c>
      <c r="C278" s="11" t="s">
        <v>23</v>
      </c>
      <c r="D278" s="11" t="s">
        <v>24</v>
      </c>
      <c r="E278" s="11" t="s">
        <v>25</v>
      </c>
      <c r="F278" s="11" t="s">
        <v>1230</v>
      </c>
      <c r="G278" s="11" t="s">
        <v>1231</v>
      </c>
      <c r="H278" s="11" t="s">
        <v>21</v>
      </c>
      <c r="I278" s="11" t="s">
        <v>323</v>
      </c>
      <c r="J278" s="11" t="s">
        <v>324</v>
      </c>
      <c r="K278" s="11">
        <v>1</v>
      </c>
      <c r="L278" s="11" t="s">
        <v>1232</v>
      </c>
      <c r="M278" s="11" t="s">
        <v>326</v>
      </c>
      <c r="Q278" s="11" t="s">
        <v>105</v>
      </c>
      <c r="R278" s="11" t="s">
        <v>106</v>
      </c>
      <c r="S278" s="11" t="s">
        <v>1584</v>
      </c>
      <c r="T278" s="11" t="s">
        <v>107</v>
      </c>
      <c r="U278" s="11" t="s">
        <v>108</v>
      </c>
      <c r="V278" s="11" t="s">
        <v>21</v>
      </c>
      <c r="W278" s="11" t="s">
        <v>1220</v>
      </c>
      <c r="X278" s="11" t="s">
        <v>24</v>
      </c>
      <c r="Y278" s="11" t="s">
        <v>172</v>
      </c>
      <c r="Z278" s="11" t="s">
        <v>1221</v>
      </c>
      <c r="AC278" s="11" t="s">
        <v>111</v>
      </c>
      <c r="AD278" s="11" t="s">
        <v>1222</v>
      </c>
      <c r="AE278" s="11" t="s">
        <v>739</v>
      </c>
      <c r="AL278" s="11">
        <v>1</v>
      </c>
      <c r="AP278" s="11" t="s">
        <v>21</v>
      </c>
      <c r="AQ278" s="11" t="s">
        <v>1170</v>
      </c>
      <c r="AS278" s="11" t="s">
        <v>1219</v>
      </c>
      <c r="AT278" s="11">
        <v>3</v>
      </c>
    </row>
    <row r="279" spans="2:63" x14ac:dyDescent="0.45">
      <c r="B279" s="11" t="s">
        <v>21</v>
      </c>
      <c r="C279" s="11" t="s">
        <v>23</v>
      </c>
      <c r="D279" s="11" t="s">
        <v>24</v>
      </c>
      <c r="E279" s="11" t="s">
        <v>25</v>
      </c>
      <c r="F279" s="11" t="s">
        <v>1233</v>
      </c>
      <c r="G279" s="11" t="s">
        <v>1234</v>
      </c>
      <c r="H279" s="11" t="s">
        <v>21</v>
      </c>
      <c r="I279" s="11" t="s">
        <v>1055</v>
      </c>
      <c r="J279" s="11" t="s">
        <v>207</v>
      </c>
      <c r="K279" s="11">
        <v>1</v>
      </c>
      <c r="L279" s="11" t="s">
        <v>1235</v>
      </c>
      <c r="M279" s="11" t="s">
        <v>1057</v>
      </c>
      <c r="Q279" s="11" t="s">
        <v>105</v>
      </c>
      <c r="R279" s="11" t="s">
        <v>106</v>
      </c>
      <c r="S279" s="11" t="s">
        <v>1584</v>
      </c>
      <c r="T279" s="11" t="s">
        <v>107</v>
      </c>
      <c r="U279" s="11" t="s">
        <v>108</v>
      </c>
      <c r="V279" s="11" t="s">
        <v>21</v>
      </c>
      <c r="W279" s="11" t="s">
        <v>1220</v>
      </c>
      <c r="X279" s="11" t="s">
        <v>24</v>
      </c>
      <c r="Y279" s="11" t="s">
        <v>172</v>
      </c>
      <c r="Z279" s="11" t="s">
        <v>1221</v>
      </c>
      <c r="AC279" s="11" t="s">
        <v>111</v>
      </c>
      <c r="AD279" s="11" t="s">
        <v>1222</v>
      </c>
      <c r="AE279" s="11" t="s">
        <v>739</v>
      </c>
      <c r="AL279" s="11">
        <v>1</v>
      </c>
      <c r="AP279" s="11" t="s">
        <v>21</v>
      </c>
      <c r="AQ279" s="11" t="s">
        <v>1170</v>
      </c>
      <c r="AS279" s="11" t="s">
        <v>1219</v>
      </c>
      <c r="AT279" s="11">
        <v>3</v>
      </c>
      <c r="BD279" s="11" t="s">
        <v>1228</v>
      </c>
    </row>
    <row r="280" spans="2:63" x14ac:dyDescent="0.45">
      <c r="B280" s="11" t="s">
        <v>21</v>
      </c>
      <c r="C280" s="11" t="s">
        <v>23</v>
      </c>
      <c r="D280" s="11" t="s">
        <v>24</v>
      </c>
      <c r="E280" s="11" t="s">
        <v>25</v>
      </c>
      <c r="F280" s="11" t="s">
        <v>1236</v>
      </c>
      <c r="G280" s="11" t="s">
        <v>1237</v>
      </c>
      <c r="H280" s="11" t="s">
        <v>21</v>
      </c>
      <c r="I280" s="11" t="s">
        <v>881</v>
      </c>
      <c r="J280" s="11" t="s">
        <v>882</v>
      </c>
      <c r="K280" s="11">
        <v>1</v>
      </c>
      <c r="L280" s="11" t="s">
        <v>1238</v>
      </c>
      <c r="M280" s="11" t="s">
        <v>884</v>
      </c>
      <c r="Q280" s="11" t="s">
        <v>105</v>
      </c>
      <c r="R280" s="11" t="s">
        <v>106</v>
      </c>
      <c r="S280" s="11" t="s">
        <v>1584</v>
      </c>
      <c r="T280" s="11" t="s">
        <v>107</v>
      </c>
      <c r="U280" s="11" t="s">
        <v>108</v>
      </c>
      <c r="V280" s="11" t="s">
        <v>21</v>
      </c>
      <c r="W280" s="11" t="s">
        <v>1220</v>
      </c>
      <c r="X280" s="11" t="s">
        <v>24</v>
      </c>
      <c r="Y280" s="11" t="s">
        <v>172</v>
      </c>
      <c r="Z280" s="11" t="s">
        <v>1221</v>
      </c>
      <c r="AC280" s="11" t="s">
        <v>111</v>
      </c>
      <c r="AD280" s="11" t="s">
        <v>1222</v>
      </c>
      <c r="AE280" s="11" t="s">
        <v>387</v>
      </c>
      <c r="AL280" s="11">
        <v>1</v>
      </c>
    </row>
    <row r="281" spans="2:63" x14ac:dyDescent="0.45">
      <c r="B281" s="11" t="s">
        <v>21</v>
      </c>
      <c r="C281" s="11" t="s">
        <v>23</v>
      </c>
      <c r="D281" s="11" t="s">
        <v>24</v>
      </c>
      <c r="E281" s="11" t="s">
        <v>25</v>
      </c>
      <c r="F281" s="11" t="s">
        <v>1239</v>
      </c>
      <c r="G281" s="11" t="s">
        <v>1240</v>
      </c>
      <c r="H281" s="11" t="s">
        <v>21</v>
      </c>
      <c r="I281" s="11" t="s">
        <v>1182</v>
      </c>
      <c r="J281" s="11" t="s">
        <v>179</v>
      </c>
      <c r="K281" s="11">
        <v>1</v>
      </c>
      <c r="L281" s="11" t="s">
        <v>1241</v>
      </c>
      <c r="M281" s="11" t="s">
        <v>1184</v>
      </c>
      <c r="Q281" s="11" t="s">
        <v>105</v>
      </c>
      <c r="R281" s="11" t="s">
        <v>106</v>
      </c>
      <c r="S281" s="11" t="s">
        <v>1584</v>
      </c>
      <c r="T281" s="11" t="s">
        <v>107</v>
      </c>
      <c r="U281" s="11" t="s">
        <v>108</v>
      </c>
      <c r="V281" s="11" t="s">
        <v>21</v>
      </c>
      <c r="W281" s="11" t="s">
        <v>1220</v>
      </c>
      <c r="X281" s="11" t="s">
        <v>24</v>
      </c>
      <c r="Y281" s="11" t="s">
        <v>172</v>
      </c>
      <c r="Z281" s="11" t="s">
        <v>1221</v>
      </c>
      <c r="AC281" s="11" t="s">
        <v>111</v>
      </c>
      <c r="AD281" s="11" t="s">
        <v>1222</v>
      </c>
      <c r="AE281" s="11" t="s">
        <v>387</v>
      </c>
      <c r="AL281" s="11">
        <v>1</v>
      </c>
    </row>
    <row r="282" spans="2:63" x14ac:dyDescent="0.45">
      <c r="B282" s="11" t="s">
        <v>21</v>
      </c>
      <c r="C282" s="11" t="s">
        <v>23</v>
      </c>
      <c r="D282" s="11" t="s">
        <v>24</v>
      </c>
      <c r="E282" s="11" t="s">
        <v>25</v>
      </c>
      <c r="F282" s="11" t="s">
        <v>1242</v>
      </c>
      <c r="G282" s="11" t="s">
        <v>1243</v>
      </c>
      <c r="H282" s="11" t="s">
        <v>21</v>
      </c>
      <c r="I282" s="11" t="s">
        <v>1244</v>
      </c>
      <c r="J282" s="11" t="s">
        <v>501</v>
      </c>
      <c r="K282" s="11">
        <v>1</v>
      </c>
      <c r="L282" s="11" t="s">
        <v>1245</v>
      </c>
      <c r="M282" s="11" t="s">
        <v>1246</v>
      </c>
      <c r="Q282" s="11" t="s">
        <v>105</v>
      </c>
      <c r="R282" s="11" t="s">
        <v>106</v>
      </c>
      <c r="S282" s="11" t="s">
        <v>1584</v>
      </c>
      <c r="T282" s="11" t="s">
        <v>107</v>
      </c>
      <c r="U282" s="11" t="s">
        <v>108</v>
      </c>
      <c r="V282" s="11" t="s">
        <v>21</v>
      </c>
      <c r="W282" s="11" t="s">
        <v>1220</v>
      </c>
      <c r="X282" s="11" t="s">
        <v>24</v>
      </c>
      <c r="Y282" s="11" t="s">
        <v>172</v>
      </c>
      <c r="Z282" s="11" t="s">
        <v>1221</v>
      </c>
      <c r="AC282" s="11" t="s">
        <v>111</v>
      </c>
      <c r="AD282" s="11" t="s">
        <v>1222</v>
      </c>
      <c r="AE282" s="11" t="s">
        <v>387</v>
      </c>
      <c r="AL282" s="11">
        <v>1</v>
      </c>
    </row>
    <row r="283" spans="2:63" x14ac:dyDescent="0.45">
      <c r="B283" s="11" t="s">
        <v>21</v>
      </c>
      <c r="C283" s="11" t="s">
        <v>23</v>
      </c>
      <c r="D283" s="11" t="s">
        <v>24</v>
      </c>
      <c r="E283" s="11" t="s">
        <v>25</v>
      </c>
      <c r="F283" s="11" t="s">
        <v>1247</v>
      </c>
      <c r="G283" s="11" t="s">
        <v>1248</v>
      </c>
      <c r="H283" s="11" t="s">
        <v>21</v>
      </c>
      <c r="I283" s="11" t="s">
        <v>1249</v>
      </c>
      <c r="J283" s="11" t="s">
        <v>1250</v>
      </c>
      <c r="K283" s="11">
        <v>1</v>
      </c>
      <c r="L283" s="11" t="s">
        <v>1251</v>
      </c>
      <c r="M283" s="11" t="s">
        <v>1252</v>
      </c>
      <c r="Q283" s="11" t="s">
        <v>105</v>
      </c>
      <c r="R283" s="11" t="s">
        <v>106</v>
      </c>
      <c r="S283" s="11" t="s">
        <v>1584</v>
      </c>
      <c r="T283" s="11" t="s">
        <v>107</v>
      </c>
      <c r="U283" s="11" t="s">
        <v>108</v>
      </c>
      <c r="V283" s="11" t="s">
        <v>21</v>
      </c>
      <c r="W283" s="11" t="s">
        <v>1220</v>
      </c>
      <c r="X283" s="11" t="s">
        <v>24</v>
      </c>
      <c r="Y283" s="11" t="s">
        <v>172</v>
      </c>
      <c r="Z283" s="11" t="s">
        <v>1221</v>
      </c>
      <c r="AC283" s="11" t="s">
        <v>111</v>
      </c>
      <c r="AD283" s="11" t="s">
        <v>1222</v>
      </c>
      <c r="AE283" s="11" t="s">
        <v>387</v>
      </c>
      <c r="AL283" s="11">
        <v>1</v>
      </c>
    </row>
    <row r="284" spans="2:63" x14ac:dyDescent="0.45">
      <c r="B284" s="11" t="s">
        <v>21</v>
      </c>
      <c r="C284" s="11" t="s">
        <v>23</v>
      </c>
      <c r="D284" s="11" t="s">
        <v>24</v>
      </c>
      <c r="E284" s="11" t="s">
        <v>25</v>
      </c>
      <c r="F284" s="11" t="s">
        <v>1253</v>
      </c>
      <c r="G284" s="11" t="s">
        <v>1254</v>
      </c>
      <c r="H284" s="11" t="s">
        <v>21</v>
      </c>
      <c r="I284" s="11" t="s">
        <v>1255</v>
      </c>
      <c r="J284" s="11" t="s">
        <v>1250</v>
      </c>
      <c r="K284" s="11">
        <v>1</v>
      </c>
      <c r="L284" s="11" t="s">
        <v>1256</v>
      </c>
      <c r="M284" s="11" t="s">
        <v>1257</v>
      </c>
      <c r="Q284" s="11" t="s">
        <v>105</v>
      </c>
      <c r="R284" s="11" t="s">
        <v>106</v>
      </c>
      <c r="S284" s="11" t="s">
        <v>1584</v>
      </c>
      <c r="T284" s="11" t="s">
        <v>107</v>
      </c>
      <c r="U284" s="11" t="s">
        <v>108</v>
      </c>
      <c r="V284" s="11" t="s">
        <v>21</v>
      </c>
      <c r="W284" s="11" t="s">
        <v>1220</v>
      </c>
      <c r="X284" s="11" t="s">
        <v>24</v>
      </c>
      <c r="Y284" s="11" t="s">
        <v>172</v>
      </c>
      <c r="Z284" s="11" t="s">
        <v>1221</v>
      </c>
      <c r="AC284" s="11" t="s">
        <v>111</v>
      </c>
      <c r="AD284" s="11" t="s">
        <v>1222</v>
      </c>
      <c r="AE284" s="11" t="s">
        <v>387</v>
      </c>
      <c r="AL284" s="11">
        <v>1</v>
      </c>
    </row>
    <row r="285" spans="2:63" x14ac:dyDescent="0.45">
      <c r="B285" s="11" t="s">
        <v>21</v>
      </c>
      <c r="C285" s="11" t="s">
        <v>23</v>
      </c>
      <c r="D285" s="11" t="s">
        <v>24</v>
      </c>
      <c r="E285" s="11" t="s">
        <v>25</v>
      </c>
      <c r="F285" s="11" t="s">
        <v>1258</v>
      </c>
      <c r="G285" s="11" t="s">
        <v>1259</v>
      </c>
      <c r="H285" s="11" t="s">
        <v>21</v>
      </c>
      <c r="I285" s="11" t="s">
        <v>1260</v>
      </c>
      <c r="J285" s="11" t="s">
        <v>381</v>
      </c>
      <c r="K285" s="11">
        <v>1</v>
      </c>
      <c r="L285" s="11" t="s">
        <v>1261</v>
      </c>
      <c r="M285" s="11" t="s">
        <v>1262</v>
      </c>
      <c r="Q285" s="11" t="s">
        <v>105</v>
      </c>
      <c r="R285" s="11" t="s">
        <v>106</v>
      </c>
      <c r="S285" s="11" t="s">
        <v>1584</v>
      </c>
      <c r="T285" s="11" t="s">
        <v>107</v>
      </c>
      <c r="U285" s="11" t="s">
        <v>108</v>
      </c>
      <c r="V285" s="11" t="s">
        <v>21</v>
      </c>
      <c r="W285" s="11" t="s">
        <v>1220</v>
      </c>
      <c r="X285" s="11" t="s">
        <v>24</v>
      </c>
      <c r="Y285" s="11" t="s">
        <v>172</v>
      </c>
      <c r="Z285" s="11" t="s">
        <v>1221</v>
      </c>
      <c r="AC285" s="11" t="s">
        <v>111</v>
      </c>
      <c r="AD285" s="11" t="s">
        <v>1222</v>
      </c>
      <c r="AE285" s="11" t="s">
        <v>387</v>
      </c>
      <c r="AL285" s="11">
        <v>1</v>
      </c>
      <c r="AP285" s="11" t="s">
        <v>21</v>
      </c>
      <c r="AQ285" s="11" t="s">
        <v>1263</v>
      </c>
      <c r="AS285" s="11" t="s">
        <v>1261</v>
      </c>
      <c r="AT285" s="11">
        <v>1</v>
      </c>
    </row>
    <row r="286" spans="2:63" x14ac:dyDescent="0.45">
      <c r="B286" s="11" t="s">
        <v>21</v>
      </c>
      <c r="C286" s="11" t="s">
        <v>23</v>
      </c>
      <c r="D286" s="11" t="s">
        <v>24</v>
      </c>
      <c r="E286" s="11" t="s">
        <v>25</v>
      </c>
      <c r="F286" s="11" t="s">
        <v>1264</v>
      </c>
      <c r="G286" s="11" t="s">
        <v>1265</v>
      </c>
      <c r="H286" s="11" t="s">
        <v>21</v>
      </c>
      <c r="I286" s="11" t="s">
        <v>1204</v>
      </c>
      <c r="J286" s="11" t="s">
        <v>574</v>
      </c>
      <c r="K286" s="11">
        <v>1</v>
      </c>
      <c r="L286" s="11" t="s">
        <v>1266</v>
      </c>
      <c r="M286" s="11" t="s">
        <v>1206</v>
      </c>
      <c r="Q286" s="11" t="s">
        <v>105</v>
      </c>
      <c r="R286" s="11" t="s">
        <v>106</v>
      </c>
      <c r="S286" s="11" t="s">
        <v>1584</v>
      </c>
      <c r="T286" s="11" t="s">
        <v>107</v>
      </c>
      <c r="U286" s="11" t="s">
        <v>108</v>
      </c>
      <c r="V286" s="11" t="s">
        <v>21</v>
      </c>
      <c r="W286" s="11" t="s">
        <v>1220</v>
      </c>
      <c r="X286" s="11" t="s">
        <v>24</v>
      </c>
      <c r="Y286" s="11" t="s">
        <v>172</v>
      </c>
      <c r="Z286" s="11" t="s">
        <v>1221</v>
      </c>
      <c r="AC286" s="11" t="s">
        <v>111</v>
      </c>
      <c r="AD286" s="11" t="s">
        <v>1222</v>
      </c>
      <c r="AE286" s="11" t="s">
        <v>356</v>
      </c>
      <c r="AL286" s="11">
        <v>1</v>
      </c>
    </row>
    <row r="287" spans="2:63" x14ac:dyDescent="0.45">
      <c r="B287" s="11" t="s">
        <v>21</v>
      </c>
      <c r="C287" s="11" t="s">
        <v>23</v>
      </c>
      <c r="D287" s="11" t="s">
        <v>24</v>
      </c>
      <c r="E287" s="11" t="s">
        <v>25</v>
      </c>
      <c r="F287" s="11" t="s">
        <v>1267</v>
      </c>
      <c r="G287" s="11" t="s">
        <v>1268</v>
      </c>
      <c r="H287" s="11" t="s">
        <v>21</v>
      </c>
      <c r="I287" s="11" t="s">
        <v>1189</v>
      </c>
      <c r="J287" s="11" t="s">
        <v>557</v>
      </c>
      <c r="K287" s="11">
        <v>1</v>
      </c>
      <c r="L287" s="11" t="s">
        <v>1269</v>
      </c>
      <c r="M287" s="11" t="s">
        <v>1190</v>
      </c>
      <c r="Q287" s="11" t="s">
        <v>105</v>
      </c>
      <c r="R287" s="11" t="s">
        <v>106</v>
      </c>
      <c r="S287" s="11" t="s">
        <v>1584</v>
      </c>
      <c r="T287" s="11" t="s">
        <v>107</v>
      </c>
      <c r="U287" s="11" t="s">
        <v>108</v>
      </c>
      <c r="V287" s="11" t="s">
        <v>21</v>
      </c>
      <c r="W287" s="11" t="s">
        <v>1220</v>
      </c>
      <c r="X287" s="11" t="s">
        <v>24</v>
      </c>
      <c r="Y287" s="11" t="s">
        <v>172</v>
      </c>
      <c r="Z287" s="11" t="s">
        <v>1221</v>
      </c>
      <c r="AC287" s="11" t="s">
        <v>111</v>
      </c>
      <c r="AD287" s="11" t="s">
        <v>1222</v>
      </c>
      <c r="AE287" s="11" t="s">
        <v>356</v>
      </c>
      <c r="AL287" s="11">
        <v>1</v>
      </c>
    </row>
    <row r="288" spans="2:63" x14ac:dyDescent="0.45">
      <c r="B288" s="11" t="s">
        <v>21</v>
      </c>
      <c r="C288" s="11" t="s">
        <v>23</v>
      </c>
      <c r="D288" s="11" t="s">
        <v>24</v>
      </c>
      <c r="E288" s="11" t="s">
        <v>25</v>
      </c>
      <c r="F288" s="11" t="s">
        <v>1270</v>
      </c>
      <c r="G288" s="11" t="s">
        <v>1271</v>
      </c>
      <c r="H288" s="11" t="s">
        <v>21</v>
      </c>
      <c r="I288" s="11" t="s">
        <v>1272</v>
      </c>
      <c r="J288" s="11" t="s">
        <v>165</v>
      </c>
      <c r="K288" s="11">
        <v>1</v>
      </c>
      <c r="L288" s="11" t="s">
        <v>1273</v>
      </c>
      <c r="M288" s="11" t="s">
        <v>1274</v>
      </c>
      <c r="Q288" s="11" t="s">
        <v>105</v>
      </c>
      <c r="R288" s="11" t="s">
        <v>106</v>
      </c>
      <c r="S288" s="11" t="s">
        <v>1584</v>
      </c>
      <c r="T288" s="11" t="s">
        <v>107</v>
      </c>
      <c r="U288" s="11" t="s">
        <v>108</v>
      </c>
      <c r="V288" s="11" t="s">
        <v>21</v>
      </c>
      <c r="W288" s="11" t="s">
        <v>1220</v>
      </c>
      <c r="X288" s="11" t="s">
        <v>24</v>
      </c>
      <c r="Y288" s="11" t="s">
        <v>172</v>
      </c>
      <c r="Z288" s="11" t="s">
        <v>1221</v>
      </c>
      <c r="AC288" s="11" t="s">
        <v>111</v>
      </c>
      <c r="AD288" s="11" t="s">
        <v>1222</v>
      </c>
      <c r="AE288" s="11" t="s">
        <v>1275</v>
      </c>
      <c r="AL288" s="11">
        <v>1</v>
      </c>
    </row>
    <row r="289" spans="2:56" x14ac:dyDescent="0.45">
      <c r="B289" s="11" t="s">
        <v>21</v>
      </c>
      <c r="C289" s="11" t="s">
        <v>23</v>
      </c>
      <c r="D289" s="11" t="s">
        <v>24</v>
      </c>
      <c r="E289" s="11" t="s">
        <v>25</v>
      </c>
      <c r="F289" s="11" t="s">
        <v>1276</v>
      </c>
      <c r="G289" s="11" t="s">
        <v>1277</v>
      </c>
      <c r="H289" s="11" t="s">
        <v>21</v>
      </c>
      <c r="I289" s="11" t="s">
        <v>1182</v>
      </c>
      <c r="J289" s="11" t="s">
        <v>179</v>
      </c>
      <c r="K289" s="11">
        <v>1</v>
      </c>
      <c r="L289" s="11" t="s">
        <v>1278</v>
      </c>
      <c r="M289" s="11" t="s">
        <v>1184</v>
      </c>
      <c r="Q289" s="11" t="s">
        <v>105</v>
      </c>
      <c r="R289" s="11" t="s">
        <v>106</v>
      </c>
      <c r="S289" s="11" t="s">
        <v>1584</v>
      </c>
      <c r="T289" s="11" t="s">
        <v>107</v>
      </c>
      <c r="U289" s="11" t="s">
        <v>108</v>
      </c>
      <c r="V289" s="11" t="s">
        <v>21</v>
      </c>
      <c r="W289" s="11" t="s">
        <v>1279</v>
      </c>
      <c r="X289" s="11" t="s">
        <v>417</v>
      </c>
      <c r="Y289" s="11" t="s">
        <v>24</v>
      </c>
      <c r="Z289" s="11" t="s">
        <v>1280</v>
      </c>
      <c r="AC289" s="11" t="s">
        <v>111</v>
      </c>
      <c r="AD289" s="11" t="s">
        <v>1281</v>
      </c>
      <c r="AE289" s="11" t="s">
        <v>1282</v>
      </c>
      <c r="AL289" s="11">
        <v>1</v>
      </c>
      <c r="AP289" s="11" t="s">
        <v>21</v>
      </c>
      <c r="AQ289" s="11" t="s">
        <v>185</v>
      </c>
      <c r="AS289" s="11" t="s">
        <v>1278</v>
      </c>
      <c r="AT289" s="11">
        <v>1</v>
      </c>
    </row>
    <row r="290" spans="2:56" x14ac:dyDescent="0.45">
      <c r="B290" s="11" t="s">
        <v>21</v>
      </c>
      <c r="C290" s="11" t="s">
        <v>23</v>
      </c>
      <c r="D290" s="11" t="s">
        <v>24</v>
      </c>
      <c r="E290" s="11" t="s">
        <v>25</v>
      </c>
      <c r="F290" s="11" t="s">
        <v>1283</v>
      </c>
      <c r="G290" s="11" t="s">
        <v>1284</v>
      </c>
      <c r="H290" s="11" t="s">
        <v>21</v>
      </c>
      <c r="I290" s="11" t="s">
        <v>297</v>
      </c>
      <c r="J290" s="11" t="s">
        <v>298</v>
      </c>
      <c r="K290" s="11">
        <v>1</v>
      </c>
      <c r="L290" s="11" t="s">
        <v>1285</v>
      </c>
      <c r="M290" s="11" t="s">
        <v>300</v>
      </c>
      <c r="Q290" s="11" t="s">
        <v>105</v>
      </c>
      <c r="R290" s="11" t="s">
        <v>106</v>
      </c>
      <c r="S290" s="11" t="s">
        <v>1584</v>
      </c>
      <c r="T290" s="11" t="s">
        <v>107</v>
      </c>
      <c r="U290" s="11" t="s">
        <v>108</v>
      </c>
      <c r="V290" s="11" t="s">
        <v>21</v>
      </c>
      <c r="W290" s="11" t="s">
        <v>1279</v>
      </c>
      <c r="X290" s="11" t="s">
        <v>417</v>
      </c>
      <c r="Y290" s="11" t="s">
        <v>24</v>
      </c>
      <c r="Z290" s="11" t="s">
        <v>1280</v>
      </c>
      <c r="AC290" s="11" t="s">
        <v>111</v>
      </c>
      <c r="AD290" s="11" t="s">
        <v>1281</v>
      </c>
      <c r="AE290" s="11" t="s">
        <v>1282</v>
      </c>
      <c r="AL290" s="11">
        <v>1</v>
      </c>
      <c r="AP290" s="11" t="s">
        <v>21</v>
      </c>
      <c r="AQ290" s="11" t="s">
        <v>1170</v>
      </c>
      <c r="AS290" s="11" t="s">
        <v>1278</v>
      </c>
      <c r="AT290" s="11">
        <v>3</v>
      </c>
    </row>
    <row r="291" spans="2:56" x14ac:dyDescent="0.45">
      <c r="B291" s="11" t="s">
        <v>21</v>
      </c>
      <c r="C291" s="11" t="s">
        <v>23</v>
      </c>
      <c r="D291" s="11" t="s">
        <v>24</v>
      </c>
      <c r="E291" s="11" t="s">
        <v>25</v>
      </c>
      <c r="F291" s="11" t="s">
        <v>1286</v>
      </c>
      <c r="G291" s="11" t="s">
        <v>1287</v>
      </c>
      <c r="H291" s="11" t="s">
        <v>21</v>
      </c>
      <c r="I291" s="11" t="s">
        <v>206</v>
      </c>
      <c r="J291" s="11" t="s">
        <v>207</v>
      </c>
      <c r="K291" s="11">
        <v>1</v>
      </c>
      <c r="L291" s="11" t="s">
        <v>1288</v>
      </c>
      <c r="M291" s="11" t="s">
        <v>209</v>
      </c>
      <c r="Q291" s="11" t="s">
        <v>105</v>
      </c>
      <c r="R291" s="11" t="s">
        <v>106</v>
      </c>
      <c r="S291" s="11" t="s">
        <v>1584</v>
      </c>
      <c r="T291" s="11" t="s">
        <v>107</v>
      </c>
      <c r="U291" s="11" t="s">
        <v>108</v>
      </c>
      <c r="V291" s="11" t="s">
        <v>21</v>
      </c>
      <c r="W291" s="11" t="s">
        <v>1279</v>
      </c>
      <c r="X291" s="11" t="s">
        <v>417</v>
      </c>
      <c r="Y291" s="11" t="s">
        <v>24</v>
      </c>
      <c r="Z291" s="11" t="s">
        <v>1280</v>
      </c>
      <c r="AC291" s="11" t="s">
        <v>111</v>
      </c>
      <c r="AD291" s="11" t="s">
        <v>1281</v>
      </c>
      <c r="AE291" s="11" t="s">
        <v>1282</v>
      </c>
      <c r="AL291" s="11">
        <v>1</v>
      </c>
      <c r="AP291" s="11" t="s">
        <v>21</v>
      </c>
      <c r="AQ291" s="11" t="s">
        <v>1170</v>
      </c>
      <c r="AS291" s="11" t="s">
        <v>1278</v>
      </c>
      <c r="AT291" s="11">
        <v>3</v>
      </c>
    </row>
    <row r="292" spans="2:56" x14ac:dyDescent="0.45">
      <c r="B292" s="11" t="s">
        <v>21</v>
      </c>
      <c r="C292" s="11" t="s">
        <v>23</v>
      </c>
      <c r="D292" s="11" t="s">
        <v>24</v>
      </c>
      <c r="E292" s="11" t="s">
        <v>25</v>
      </c>
      <c r="F292" s="11" t="s">
        <v>1289</v>
      </c>
      <c r="G292" s="11" t="s">
        <v>1290</v>
      </c>
      <c r="H292" s="11" t="s">
        <v>21</v>
      </c>
      <c r="I292" s="11" t="s">
        <v>1291</v>
      </c>
      <c r="J292" s="11" t="s">
        <v>452</v>
      </c>
      <c r="K292" s="11">
        <v>1</v>
      </c>
      <c r="L292" s="11" t="s">
        <v>1292</v>
      </c>
      <c r="M292" s="11" t="s">
        <v>1293</v>
      </c>
      <c r="Q292" s="11" t="s">
        <v>105</v>
      </c>
      <c r="R292" s="11" t="s">
        <v>106</v>
      </c>
      <c r="S292" s="11" t="s">
        <v>1584</v>
      </c>
      <c r="T292" s="11" t="s">
        <v>107</v>
      </c>
      <c r="U292" s="11" t="s">
        <v>108</v>
      </c>
      <c r="V292" s="11" t="s">
        <v>21</v>
      </c>
      <c r="W292" s="11" t="s">
        <v>1279</v>
      </c>
      <c r="X292" s="11" t="s">
        <v>417</v>
      </c>
      <c r="Y292" s="11" t="s">
        <v>24</v>
      </c>
      <c r="Z292" s="11" t="s">
        <v>1280</v>
      </c>
      <c r="AC292" s="11" t="s">
        <v>111</v>
      </c>
      <c r="AD292" s="11" t="s">
        <v>1281</v>
      </c>
      <c r="AE292" s="11" t="s">
        <v>1282</v>
      </c>
      <c r="AL292" s="11">
        <v>1</v>
      </c>
      <c r="AP292" s="11" t="s">
        <v>21</v>
      </c>
      <c r="AQ292" s="11" t="s">
        <v>1170</v>
      </c>
      <c r="AS292" s="11" t="s">
        <v>1278</v>
      </c>
      <c r="AT292" s="11">
        <v>3</v>
      </c>
    </row>
    <row r="293" spans="2:56" x14ac:dyDescent="0.45">
      <c r="B293" s="11" t="s">
        <v>21</v>
      </c>
      <c r="C293" s="11" t="s">
        <v>23</v>
      </c>
      <c r="D293" s="11" t="s">
        <v>24</v>
      </c>
      <c r="E293" s="11" t="s">
        <v>25</v>
      </c>
      <c r="F293" s="11" t="s">
        <v>1294</v>
      </c>
      <c r="G293" s="11" t="s">
        <v>1295</v>
      </c>
      <c r="H293" s="11" t="s">
        <v>21</v>
      </c>
      <c r="I293" s="11" t="s">
        <v>206</v>
      </c>
      <c r="J293" s="11" t="s">
        <v>207</v>
      </c>
      <c r="K293" s="11">
        <v>2</v>
      </c>
      <c r="L293" s="11" t="s">
        <v>1296</v>
      </c>
      <c r="M293" s="11" t="s">
        <v>209</v>
      </c>
      <c r="Q293" s="11" t="s">
        <v>105</v>
      </c>
      <c r="R293" s="11" t="s">
        <v>106</v>
      </c>
      <c r="S293" s="11" t="s">
        <v>1584</v>
      </c>
      <c r="T293" s="11" t="s">
        <v>107</v>
      </c>
      <c r="U293" s="11" t="s">
        <v>108</v>
      </c>
      <c r="V293" s="11" t="s">
        <v>21</v>
      </c>
      <c r="W293" s="11" t="s">
        <v>1279</v>
      </c>
      <c r="X293" s="11" t="s">
        <v>417</v>
      </c>
      <c r="Y293" s="11" t="s">
        <v>24</v>
      </c>
      <c r="Z293" s="11" t="s">
        <v>1280</v>
      </c>
      <c r="AC293" s="11" t="s">
        <v>111</v>
      </c>
      <c r="AD293" s="11" t="s">
        <v>1281</v>
      </c>
      <c r="AE293" s="11" t="s">
        <v>1282</v>
      </c>
      <c r="AL293" s="11">
        <v>1</v>
      </c>
      <c r="AP293" s="11" t="s">
        <v>21</v>
      </c>
      <c r="AQ293" s="11" t="s">
        <v>1170</v>
      </c>
      <c r="AS293" s="11" t="s">
        <v>1278</v>
      </c>
      <c r="AT293" s="11">
        <v>3</v>
      </c>
    </row>
    <row r="294" spans="2:56" x14ac:dyDescent="0.45">
      <c r="B294" s="11" t="s">
        <v>21</v>
      </c>
      <c r="C294" s="11" t="s">
        <v>23</v>
      </c>
      <c r="D294" s="11" t="s">
        <v>24</v>
      </c>
      <c r="E294" s="11" t="s">
        <v>25</v>
      </c>
      <c r="F294" s="11" t="s">
        <v>1297</v>
      </c>
      <c r="G294" s="11" t="s">
        <v>1298</v>
      </c>
      <c r="H294" s="11" t="s">
        <v>21</v>
      </c>
      <c r="I294" s="11" t="s">
        <v>1299</v>
      </c>
      <c r="J294" s="11" t="s">
        <v>25</v>
      </c>
      <c r="K294" s="11">
        <v>1</v>
      </c>
      <c r="L294" s="11" t="s">
        <v>1300</v>
      </c>
      <c r="M294" s="11" t="s">
        <v>1301</v>
      </c>
      <c r="Q294" s="11" t="s">
        <v>105</v>
      </c>
      <c r="R294" s="11" t="s">
        <v>106</v>
      </c>
      <c r="S294" s="11" t="s">
        <v>1584</v>
      </c>
      <c r="T294" s="11" t="s">
        <v>107</v>
      </c>
      <c r="U294" s="11" t="s">
        <v>108</v>
      </c>
      <c r="V294" s="11" t="s">
        <v>21</v>
      </c>
      <c r="W294" s="11" t="s">
        <v>1302</v>
      </c>
      <c r="X294" s="11" t="s">
        <v>172</v>
      </c>
      <c r="Y294" s="11" t="s">
        <v>417</v>
      </c>
      <c r="Z294" s="11" t="s">
        <v>1303</v>
      </c>
      <c r="AC294" s="11" t="s">
        <v>111</v>
      </c>
      <c r="AD294" s="11" t="s">
        <v>1304</v>
      </c>
      <c r="AE294" s="11" t="s">
        <v>452</v>
      </c>
      <c r="AL294" s="11">
        <v>1</v>
      </c>
      <c r="AT294" s="11">
        <v>0</v>
      </c>
      <c r="BA294" s="11">
        <v>1</v>
      </c>
    </row>
    <row r="295" spans="2:56" x14ac:dyDescent="0.45">
      <c r="B295" s="11" t="s">
        <v>21</v>
      </c>
      <c r="C295" s="11" t="s">
        <v>23</v>
      </c>
      <c r="D295" s="11" t="s">
        <v>24</v>
      </c>
      <c r="E295" s="11" t="s">
        <v>25</v>
      </c>
      <c r="F295" s="11" t="s">
        <v>1305</v>
      </c>
      <c r="G295" s="11" t="s">
        <v>1306</v>
      </c>
      <c r="H295" s="11" t="s">
        <v>21</v>
      </c>
      <c r="I295" s="11" t="s">
        <v>1307</v>
      </c>
      <c r="J295" s="11" t="s">
        <v>1033</v>
      </c>
      <c r="K295" s="11">
        <v>1</v>
      </c>
      <c r="L295" s="11" t="s">
        <v>1308</v>
      </c>
      <c r="M295" s="11" t="s">
        <v>1309</v>
      </c>
      <c r="Q295" s="11" t="s">
        <v>105</v>
      </c>
      <c r="R295" s="11" t="s">
        <v>106</v>
      </c>
      <c r="S295" s="11" t="s">
        <v>1584</v>
      </c>
      <c r="T295" s="11" t="s">
        <v>107</v>
      </c>
      <c r="U295" s="11" t="s">
        <v>108</v>
      </c>
      <c r="V295" s="11" t="s">
        <v>21</v>
      </c>
      <c r="W295" s="11" t="s">
        <v>1302</v>
      </c>
      <c r="X295" s="11" t="s">
        <v>172</v>
      </c>
      <c r="Y295" s="11" t="s">
        <v>417</v>
      </c>
      <c r="Z295" s="11" t="s">
        <v>1303</v>
      </c>
      <c r="AC295" s="11" t="s">
        <v>111</v>
      </c>
      <c r="AD295" s="11" t="s">
        <v>1304</v>
      </c>
      <c r="AE295" s="11" t="s">
        <v>452</v>
      </c>
      <c r="AL295" s="11">
        <v>1</v>
      </c>
      <c r="AP295" s="11" t="s">
        <v>21</v>
      </c>
      <c r="AQ295" s="11" t="s">
        <v>1310</v>
      </c>
      <c r="AS295" s="11" t="s">
        <v>1278</v>
      </c>
      <c r="AT295" s="11">
        <v>2</v>
      </c>
    </row>
    <row r="296" spans="2:56" x14ac:dyDescent="0.45">
      <c r="B296" s="11" t="s">
        <v>21</v>
      </c>
      <c r="C296" s="11" t="s">
        <v>23</v>
      </c>
      <c r="D296" s="11" t="s">
        <v>24</v>
      </c>
      <c r="E296" s="11" t="s">
        <v>25</v>
      </c>
      <c r="F296" s="11" t="s">
        <v>1311</v>
      </c>
      <c r="G296" s="11" t="s">
        <v>1312</v>
      </c>
      <c r="H296" s="11" t="s">
        <v>21</v>
      </c>
      <c r="I296" s="11" t="s">
        <v>1313</v>
      </c>
      <c r="J296" s="11" t="s">
        <v>1033</v>
      </c>
      <c r="K296" s="11">
        <v>1</v>
      </c>
      <c r="L296" s="11" t="s">
        <v>1314</v>
      </c>
      <c r="M296" s="11" t="s">
        <v>1315</v>
      </c>
      <c r="Q296" s="11" t="s">
        <v>105</v>
      </c>
      <c r="R296" s="11" t="s">
        <v>106</v>
      </c>
      <c r="S296" s="11" t="s">
        <v>1584</v>
      </c>
      <c r="T296" s="11" t="s">
        <v>107</v>
      </c>
      <c r="U296" s="11" t="s">
        <v>108</v>
      </c>
      <c r="V296" s="11" t="s">
        <v>21</v>
      </c>
      <c r="W296" s="11" t="s">
        <v>1302</v>
      </c>
      <c r="X296" s="11" t="s">
        <v>172</v>
      </c>
      <c r="Y296" s="11" t="s">
        <v>417</v>
      </c>
      <c r="Z296" s="11" t="s">
        <v>1303</v>
      </c>
      <c r="AC296" s="11" t="s">
        <v>111</v>
      </c>
      <c r="AD296" s="11" t="s">
        <v>1304</v>
      </c>
      <c r="AE296" s="11" t="s">
        <v>452</v>
      </c>
      <c r="AL296" s="11">
        <v>1</v>
      </c>
      <c r="AT296" s="11">
        <v>0</v>
      </c>
    </row>
    <row r="297" spans="2:56" x14ac:dyDescent="0.45">
      <c r="B297" s="11" t="s">
        <v>21</v>
      </c>
      <c r="C297" s="11" t="s">
        <v>23</v>
      </c>
      <c r="D297" s="11" t="s">
        <v>24</v>
      </c>
      <c r="E297" s="11" t="s">
        <v>25</v>
      </c>
      <c r="F297" s="11" t="s">
        <v>1316</v>
      </c>
      <c r="G297" s="11" t="s">
        <v>1317</v>
      </c>
      <c r="H297" s="11" t="s">
        <v>21</v>
      </c>
      <c r="I297" s="11" t="s">
        <v>1318</v>
      </c>
      <c r="J297" s="11" t="s">
        <v>25</v>
      </c>
      <c r="K297" s="11">
        <v>1</v>
      </c>
      <c r="L297" s="11" t="s">
        <v>1319</v>
      </c>
      <c r="M297" s="11" t="s">
        <v>1320</v>
      </c>
      <c r="Q297" s="11" t="s">
        <v>105</v>
      </c>
      <c r="R297" s="11" t="s">
        <v>106</v>
      </c>
      <c r="S297" s="11" t="s">
        <v>1584</v>
      </c>
      <c r="T297" s="11" t="s">
        <v>107</v>
      </c>
      <c r="U297" s="11" t="s">
        <v>108</v>
      </c>
      <c r="V297" s="11" t="s">
        <v>21</v>
      </c>
      <c r="W297" s="11" t="s">
        <v>1302</v>
      </c>
      <c r="X297" s="11" t="s">
        <v>172</v>
      </c>
      <c r="Y297" s="11" t="s">
        <v>417</v>
      </c>
      <c r="Z297" s="11" t="s">
        <v>1303</v>
      </c>
      <c r="AC297" s="11" t="s">
        <v>111</v>
      </c>
      <c r="AD297" s="11" t="s">
        <v>1304</v>
      </c>
      <c r="AE297" s="11" t="s">
        <v>452</v>
      </c>
      <c r="AL297" s="11">
        <v>1</v>
      </c>
      <c r="AT297" s="11">
        <v>0</v>
      </c>
    </row>
    <row r="298" spans="2:56" x14ac:dyDescent="0.45">
      <c r="B298" s="11" t="s">
        <v>21</v>
      </c>
      <c r="C298" s="11" t="s">
        <v>23</v>
      </c>
      <c r="D298" s="11" t="s">
        <v>24</v>
      </c>
      <c r="E298" s="11" t="s">
        <v>25</v>
      </c>
      <c r="F298" s="11" t="s">
        <v>1321</v>
      </c>
      <c r="G298" s="11" t="s">
        <v>1322</v>
      </c>
      <c r="H298" s="11" t="s">
        <v>21</v>
      </c>
      <c r="I298" s="11" t="s">
        <v>1323</v>
      </c>
      <c r="J298" s="11" t="s">
        <v>25</v>
      </c>
      <c r="K298" s="11">
        <v>1</v>
      </c>
      <c r="L298" s="11" t="s">
        <v>1324</v>
      </c>
      <c r="M298" s="11" t="s">
        <v>1325</v>
      </c>
      <c r="Q298" s="11" t="s">
        <v>105</v>
      </c>
      <c r="R298" s="11" t="s">
        <v>106</v>
      </c>
      <c r="S298" s="11" t="s">
        <v>1584</v>
      </c>
      <c r="T298" s="11" t="s">
        <v>107</v>
      </c>
      <c r="U298" s="11" t="s">
        <v>108</v>
      </c>
      <c r="V298" s="11" t="s">
        <v>21</v>
      </c>
      <c r="W298" s="11" t="s">
        <v>1302</v>
      </c>
      <c r="X298" s="11" t="s">
        <v>172</v>
      </c>
      <c r="Y298" s="11" t="s">
        <v>417</v>
      </c>
      <c r="Z298" s="11" t="s">
        <v>1303</v>
      </c>
      <c r="AC298" s="11" t="s">
        <v>111</v>
      </c>
      <c r="AD298" s="11" t="s">
        <v>1304</v>
      </c>
      <c r="AE298" s="11" t="s">
        <v>452</v>
      </c>
      <c r="AL298" s="11">
        <v>1</v>
      </c>
      <c r="AP298" s="11" t="s">
        <v>21</v>
      </c>
      <c r="AQ298" s="11" t="s">
        <v>1326</v>
      </c>
      <c r="AS298" s="11" t="s">
        <v>1278</v>
      </c>
      <c r="AT298" s="11">
        <v>2</v>
      </c>
    </row>
    <row r="299" spans="2:56" x14ac:dyDescent="0.45">
      <c r="B299" s="11" t="s">
        <v>21</v>
      </c>
      <c r="C299" s="11" t="s">
        <v>23</v>
      </c>
      <c r="D299" s="11" t="s">
        <v>24</v>
      </c>
      <c r="E299" s="11" t="s">
        <v>25</v>
      </c>
      <c r="F299" s="11" t="s">
        <v>1327</v>
      </c>
      <c r="G299" s="11" t="s">
        <v>1328</v>
      </c>
      <c r="H299" s="11" t="s">
        <v>21</v>
      </c>
      <c r="I299" s="11" t="s">
        <v>1329</v>
      </c>
      <c r="J299" s="11" t="s">
        <v>1033</v>
      </c>
      <c r="K299" s="11">
        <v>1</v>
      </c>
      <c r="L299" s="11" t="s">
        <v>1330</v>
      </c>
      <c r="M299" s="11" t="s">
        <v>1331</v>
      </c>
      <c r="Q299" s="11" t="s">
        <v>105</v>
      </c>
      <c r="R299" s="11" t="s">
        <v>106</v>
      </c>
      <c r="S299" s="11" t="s">
        <v>1584</v>
      </c>
      <c r="T299" s="11" t="s">
        <v>107</v>
      </c>
      <c r="U299" s="11" t="s">
        <v>108</v>
      </c>
      <c r="V299" s="11" t="s">
        <v>21</v>
      </c>
      <c r="W299" s="11" t="s">
        <v>1302</v>
      </c>
      <c r="X299" s="11" t="s">
        <v>172</v>
      </c>
      <c r="Y299" s="11" t="s">
        <v>417</v>
      </c>
      <c r="Z299" s="11" t="s">
        <v>1303</v>
      </c>
      <c r="AC299" s="11" t="s">
        <v>111</v>
      </c>
      <c r="AD299" s="11" t="s">
        <v>1304</v>
      </c>
      <c r="AE299" s="11" t="s">
        <v>452</v>
      </c>
      <c r="AL299" s="11">
        <v>1</v>
      </c>
      <c r="AT299" s="11">
        <v>0</v>
      </c>
    </row>
    <row r="300" spans="2:56" x14ac:dyDescent="0.45">
      <c r="B300" s="11" t="s">
        <v>21</v>
      </c>
      <c r="C300" s="11" t="s">
        <v>23</v>
      </c>
      <c r="D300" s="11" t="s">
        <v>24</v>
      </c>
      <c r="E300" s="11" t="s">
        <v>25</v>
      </c>
      <c r="F300" s="11" t="s">
        <v>1332</v>
      </c>
      <c r="G300" s="11" t="s">
        <v>1333</v>
      </c>
      <c r="H300" s="11" t="s">
        <v>21</v>
      </c>
      <c r="I300" s="11" t="s">
        <v>1334</v>
      </c>
      <c r="J300" s="11" t="s">
        <v>25</v>
      </c>
      <c r="K300" s="11">
        <v>1</v>
      </c>
      <c r="L300" s="11" t="s">
        <v>1335</v>
      </c>
      <c r="M300" s="11" t="s">
        <v>1336</v>
      </c>
      <c r="Q300" s="11" t="s">
        <v>105</v>
      </c>
      <c r="R300" s="11" t="s">
        <v>106</v>
      </c>
      <c r="S300" s="11" t="s">
        <v>1584</v>
      </c>
      <c r="T300" s="11" t="s">
        <v>107</v>
      </c>
      <c r="U300" s="11" t="s">
        <v>108</v>
      </c>
      <c r="V300" s="11" t="s">
        <v>21</v>
      </c>
      <c r="W300" s="11" t="s">
        <v>1302</v>
      </c>
      <c r="X300" s="11" t="s">
        <v>172</v>
      </c>
      <c r="Y300" s="11" t="s">
        <v>417</v>
      </c>
      <c r="Z300" s="11" t="s">
        <v>1303</v>
      </c>
      <c r="AC300" s="11" t="s">
        <v>111</v>
      </c>
      <c r="AD300" s="11" t="s">
        <v>1304</v>
      </c>
      <c r="AE300" s="11" t="s">
        <v>452</v>
      </c>
      <c r="AL300" s="11">
        <v>1</v>
      </c>
      <c r="AP300" s="11" t="s">
        <v>21</v>
      </c>
      <c r="AQ300" s="11" t="s">
        <v>185</v>
      </c>
      <c r="AS300" s="11" t="s">
        <v>1330</v>
      </c>
      <c r="AT300" s="11">
        <v>1</v>
      </c>
    </row>
    <row r="301" spans="2:56" x14ac:dyDescent="0.45">
      <c r="B301" s="11" t="s">
        <v>21</v>
      </c>
      <c r="C301" s="11" t="s">
        <v>23</v>
      </c>
      <c r="D301" s="11" t="s">
        <v>24</v>
      </c>
      <c r="E301" s="11" t="s">
        <v>25</v>
      </c>
      <c r="F301" s="11" t="s">
        <v>1337</v>
      </c>
      <c r="G301" s="11" t="s">
        <v>1338</v>
      </c>
      <c r="H301" s="11" t="s">
        <v>21</v>
      </c>
      <c r="I301" s="11" t="s">
        <v>1339</v>
      </c>
      <c r="J301" s="11" t="s">
        <v>1033</v>
      </c>
      <c r="K301" s="11">
        <v>1</v>
      </c>
      <c r="L301" s="11" t="s">
        <v>1340</v>
      </c>
      <c r="M301" s="11" t="s">
        <v>1341</v>
      </c>
      <c r="Q301" s="11" t="s">
        <v>105</v>
      </c>
      <c r="R301" s="11" t="s">
        <v>106</v>
      </c>
      <c r="S301" s="11" t="s">
        <v>1584</v>
      </c>
      <c r="T301" s="11" t="s">
        <v>107</v>
      </c>
      <c r="U301" s="11" t="s">
        <v>108</v>
      </c>
      <c r="V301" s="11" t="s">
        <v>21</v>
      </c>
      <c r="W301" s="11" t="s">
        <v>1302</v>
      </c>
      <c r="X301" s="11" t="s">
        <v>172</v>
      </c>
      <c r="Y301" s="11" t="s">
        <v>417</v>
      </c>
      <c r="Z301" s="11" t="s">
        <v>1303</v>
      </c>
      <c r="AC301" s="11" t="s">
        <v>111</v>
      </c>
      <c r="AD301" s="11" t="s">
        <v>1304</v>
      </c>
      <c r="AE301" s="11" t="s">
        <v>452</v>
      </c>
      <c r="AL301" s="11">
        <v>1</v>
      </c>
      <c r="AP301" s="11" t="s">
        <v>21</v>
      </c>
      <c r="AQ301" s="11" t="s">
        <v>1326</v>
      </c>
      <c r="AS301" s="11" t="s">
        <v>1278</v>
      </c>
      <c r="AT301" s="11">
        <v>2</v>
      </c>
      <c r="BA301" s="11">
        <v>1</v>
      </c>
    </row>
    <row r="302" spans="2:56" x14ac:dyDescent="0.45">
      <c r="B302" s="11" t="s">
        <v>21</v>
      </c>
      <c r="C302" s="11" t="s">
        <v>23</v>
      </c>
      <c r="D302" s="11" t="s">
        <v>24</v>
      </c>
      <c r="E302" s="11" t="s">
        <v>25</v>
      </c>
      <c r="F302" s="11" t="s">
        <v>1342</v>
      </c>
      <c r="G302" s="11" t="s">
        <v>1343</v>
      </c>
      <c r="H302" s="11" t="s">
        <v>21</v>
      </c>
      <c r="I302" s="11" t="s">
        <v>1344</v>
      </c>
      <c r="J302" s="11" t="s">
        <v>501</v>
      </c>
      <c r="K302" s="11">
        <v>1</v>
      </c>
      <c r="L302" s="11" t="s">
        <v>1345</v>
      </c>
      <c r="M302" s="11" t="s">
        <v>1346</v>
      </c>
      <c r="Q302" s="11" t="s">
        <v>105</v>
      </c>
      <c r="R302" s="11" t="s">
        <v>106</v>
      </c>
      <c r="S302" s="11" t="s">
        <v>1584</v>
      </c>
      <c r="T302" s="11" t="s">
        <v>107</v>
      </c>
      <c r="U302" s="11" t="s">
        <v>108</v>
      </c>
      <c r="V302" s="11" t="s">
        <v>21</v>
      </c>
      <c r="W302" s="11" t="s">
        <v>1302</v>
      </c>
      <c r="X302" s="11" t="s">
        <v>172</v>
      </c>
      <c r="Y302" s="11" t="s">
        <v>417</v>
      </c>
      <c r="Z302" s="11" t="s">
        <v>1303</v>
      </c>
      <c r="AC302" s="11" t="s">
        <v>111</v>
      </c>
      <c r="AD302" s="11" t="s">
        <v>1304</v>
      </c>
      <c r="AE302" s="11" t="s">
        <v>452</v>
      </c>
      <c r="AL302" s="11">
        <v>1</v>
      </c>
    </row>
    <row r="303" spans="2:56" x14ac:dyDescent="0.45">
      <c r="B303" s="11" t="s">
        <v>21</v>
      </c>
      <c r="C303" s="11" t="s">
        <v>23</v>
      </c>
      <c r="D303" s="11" t="s">
        <v>24</v>
      </c>
      <c r="E303" s="11" t="s">
        <v>25</v>
      </c>
      <c r="F303" s="11" t="s">
        <v>1347</v>
      </c>
      <c r="G303" s="11" t="s">
        <v>1348</v>
      </c>
      <c r="H303" s="11" t="s">
        <v>21</v>
      </c>
      <c r="I303" s="11" t="s">
        <v>1349</v>
      </c>
      <c r="J303" s="11" t="s">
        <v>501</v>
      </c>
      <c r="K303" s="11">
        <v>1</v>
      </c>
      <c r="L303" s="11" t="s">
        <v>1350</v>
      </c>
      <c r="M303" s="11" t="s">
        <v>1351</v>
      </c>
      <c r="Q303" s="11" t="s">
        <v>105</v>
      </c>
      <c r="R303" s="11" t="s">
        <v>106</v>
      </c>
      <c r="S303" s="11" t="s">
        <v>1584</v>
      </c>
      <c r="T303" s="11" t="s">
        <v>107</v>
      </c>
      <c r="U303" s="11" t="s">
        <v>108</v>
      </c>
      <c r="V303" s="11" t="s">
        <v>21</v>
      </c>
      <c r="W303" s="11" t="s">
        <v>1302</v>
      </c>
      <c r="X303" s="11" t="s">
        <v>172</v>
      </c>
      <c r="Y303" s="11" t="s">
        <v>417</v>
      </c>
      <c r="Z303" s="11" t="s">
        <v>1303</v>
      </c>
      <c r="AC303" s="11" t="s">
        <v>111</v>
      </c>
      <c r="AD303" s="11" t="s">
        <v>1304</v>
      </c>
      <c r="AE303" s="11" t="s">
        <v>452</v>
      </c>
      <c r="AL303" s="11">
        <v>1</v>
      </c>
      <c r="BA303" s="11">
        <v>1</v>
      </c>
    </row>
    <row r="304" spans="2:56" x14ac:dyDescent="0.45">
      <c r="B304" s="11" t="s">
        <v>21</v>
      </c>
      <c r="C304" s="11" t="s">
        <v>23</v>
      </c>
      <c r="D304" s="11" t="s">
        <v>24</v>
      </c>
      <c r="E304" s="11" t="s">
        <v>25</v>
      </c>
      <c r="F304" s="11" t="s">
        <v>1352</v>
      </c>
      <c r="G304" s="11" t="s">
        <v>1353</v>
      </c>
      <c r="H304" s="11" t="s">
        <v>21</v>
      </c>
      <c r="I304" s="11" t="s">
        <v>1354</v>
      </c>
      <c r="J304" s="11" t="s">
        <v>1124</v>
      </c>
      <c r="K304" s="11">
        <v>1</v>
      </c>
      <c r="L304" s="11" t="s">
        <v>1355</v>
      </c>
      <c r="M304" s="11" t="s">
        <v>1356</v>
      </c>
      <c r="Q304" s="11" t="s">
        <v>105</v>
      </c>
      <c r="R304" s="11" t="s">
        <v>106</v>
      </c>
      <c r="S304" s="11" t="s">
        <v>1584</v>
      </c>
      <c r="T304" s="11" t="s">
        <v>107</v>
      </c>
      <c r="U304" s="11" t="s">
        <v>108</v>
      </c>
      <c r="V304" s="11" t="s">
        <v>21</v>
      </c>
      <c r="W304" s="11" t="s">
        <v>1357</v>
      </c>
      <c r="X304" s="11" t="s">
        <v>24</v>
      </c>
      <c r="Y304" s="11" t="s">
        <v>24</v>
      </c>
      <c r="Z304" s="11" t="s">
        <v>1358</v>
      </c>
      <c r="AC304" s="11" t="s">
        <v>111</v>
      </c>
      <c r="AD304" s="11" t="s">
        <v>1359</v>
      </c>
      <c r="AE304" s="11" t="s">
        <v>387</v>
      </c>
      <c r="AL304" s="11">
        <v>1</v>
      </c>
      <c r="BD304" s="11" t="s">
        <v>1350</v>
      </c>
    </row>
    <row r="305" spans="2:63" x14ac:dyDescent="0.45">
      <c r="B305" s="11" t="s">
        <v>21</v>
      </c>
      <c r="C305" s="11" t="s">
        <v>23</v>
      </c>
      <c r="D305" s="11" t="s">
        <v>24</v>
      </c>
      <c r="E305" s="11" t="s">
        <v>25</v>
      </c>
      <c r="F305" s="11" t="s">
        <v>1360</v>
      </c>
      <c r="G305" s="11" t="s">
        <v>1361</v>
      </c>
      <c r="H305" s="11" t="s">
        <v>21</v>
      </c>
      <c r="I305" s="11" t="s">
        <v>1362</v>
      </c>
      <c r="J305" s="11" t="s">
        <v>1363</v>
      </c>
      <c r="K305" s="11">
        <v>1</v>
      </c>
      <c r="L305" s="11" t="s">
        <v>1364</v>
      </c>
      <c r="M305" s="11" t="s">
        <v>1365</v>
      </c>
      <c r="Q305" s="11" t="s">
        <v>105</v>
      </c>
      <c r="R305" s="11" t="s">
        <v>106</v>
      </c>
      <c r="S305" s="11" t="s">
        <v>1584</v>
      </c>
      <c r="T305" s="11" t="s">
        <v>107</v>
      </c>
      <c r="U305" s="11" t="s">
        <v>108</v>
      </c>
      <c r="V305" s="11" t="s">
        <v>21</v>
      </c>
      <c r="W305" s="11" t="s">
        <v>1357</v>
      </c>
      <c r="X305" s="11" t="s">
        <v>24</v>
      </c>
      <c r="Y305" s="11" t="s">
        <v>24</v>
      </c>
      <c r="Z305" s="11" t="s">
        <v>1358</v>
      </c>
      <c r="AC305" s="11" t="s">
        <v>111</v>
      </c>
      <c r="AD305" s="11" t="s">
        <v>1359</v>
      </c>
      <c r="AE305" s="11" t="s">
        <v>387</v>
      </c>
      <c r="AL305" s="11">
        <v>1</v>
      </c>
      <c r="BA305" s="11">
        <v>1</v>
      </c>
      <c r="BD305" s="11" t="s">
        <v>1350</v>
      </c>
    </row>
    <row r="306" spans="2:63" x14ac:dyDescent="0.45">
      <c r="B306" s="11" t="s">
        <v>21</v>
      </c>
      <c r="C306" s="11" t="s">
        <v>23</v>
      </c>
      <c r="D306" s="11" t="s">
        <v>24</v>
      </c>
      <c r="E306" s="11" t="s">
        <v>25</v>
      </c>
      <c r="F306" s="11" t="s">
        <v>1366</v>
      </c>
      <c r="G306" s="11" t="s">
        <v>1367</v>
      </c>
      <c r="H306" s="11" t="s">
        <v>21</v>
      </c>
      <c r="I306" s="11" t="s">
        <v>1182</v>
      </c>
      <c r="J306" s="11" t="s">
        <v>179</v>
      </c>
      <c r="K306" s="11">
        <v>1</v>
      </c>
      <c r="L306" s="11" t="s">
        <v>1368</v>
      </c>
      <c r="M306" s="11" t="s">
        <v>1184</v>
      </c>
      <c r="Q306" s="11" t="s">
        <v>105</v>
      </c>
      <c r="R306" s="11" t="s">
        <v>106</v>
      </c>
      <c r="S306" s="11" t="s">
        <v>1584</v>
      </c>
      <c r="T306" s="11" t="s">
        <v>107</v>
      </c>
      <c r="U306" s="11" t="s">
        <v>108</v>
      </c>
      <c r="V306" s="11" t="s">
        <v>21</v>
      </c>
      <c r="W306" s="11" t="s">
        <v>1369</v>
      </c>
      <c r="X306" s="11" t="s">
        <v>417</v>
      </c>
      <c r="Y306" s="11" t="s">
        <v>24</v>
      </c>
      <c r="Z306" s="11" t="s">
        <v>1370</v>
      </c>
      <c r="AC306" s="11" t="s">
        <v>111</v>
      </c>
      <c r="AD306" s="11" t="s">
        <v>1359</v>
      </c>
      <c r="AE306" s="11" t="s">
        <v>1275</v>
      </c>
      <c r="AL306" s="11">
        <v>1</v>
      </c>
      <c r="AU306" s="11">
        <v>1</v>
      </c>
      <c r="AV306" s="11" t="s">
        <v>1371</v>
      </c>
      <c r="AW306" s="11">
        <v>15</v>
      </c>
      <c r="AX306" s="11">
        <v>20</v>
      </c>
      <c r="AZ306" s="11">
        <v>1</v>
      </c>
      <c r="BC306" s="11" t="s">
        <v>1372</v>
      </c>
    </row>
    <row r="307" spans="2:63" x14ac:dyDescent="0.45">
      <c r="B307" s="11" t="s">
        <v>21</v>
      </c>
      <c r="C307" s="11" t="s">
        <v>23</v>
      </c>
      <c r="D307" s="11" t="s">
        <v>24</v>
      </c>
      <c r="E307" s="11" t="s">
        <v>25</v>
      </c>
      <c r="F307" s="11" t="s">
        <v>1373</v>
      </c>
      <c r="G307" s="11" t="s">
        <v>1374</v>
      </c>
      <c r="H307" s="11" t="s">
        <v>21</v>
      </c>
      <c r="I307" s="11" t="s">
        <v>1375</v>
      </c>
      <c r="J307" s="11" t="s">
        <v>132</v>
      </c>
      <c r="K307" s="11">
        <v>1</v>
      </c>
      <c r="L307" s="11" t="s">
        <v>1371</v>
      </c>
      <c r="M307" s="11" t="s">
        <v>1376</v>
      </c>
      <c r="Q307" s="11" t="s">
        <v>105</v>
      </c>
      <c r="R307" s="11" t="s">
        <v>106</v>
      </c>
      <c r="S307" s="11" t="s">
        <v>1584</v>
      </c>
      <c r="T307" s="11" t="s">
        <v>107</v>
      </c>
      <c r="U307" s="11" t="s">
        <v>108</v>
      </c>
      <c r="V307" s="11" t="s">
        <v>21</v>
      </c>
      <c r="W307" s="11" t="s">
        <v>1369</v>
      </c>
      <c r="X307" s="11" t="s">
        <v>417</v>
      </c>
      <c r="Y307" s="11" t="s">
        <v>24</v>
      </c>
      <c r="Z307" s="11" t="s">
        <v>1370</v>
      </c>
      <c r="AC307" s="11" t="s">
        <v>111</v>
      </c>
      <c r="AD307" s="11" t="s">
        <v>1359</v>
      </c>
      <c r="AE307" s="11" t="s">
        <v>1275</v>
      </c>
      <c r="AL307" s="11">
        <v>1</v>
      </c>
      <c r="AU307" s="11">
        <v>1</v>
      </c>
      <c r="AV307" s="11" t="s">
        <v>1372</v>
      </c>
      <c r="AW307" s="11">
        <v>15</v>
      </c>
      <c r="AX307" s="11">
        <v>20</v>
      </c>
      <c r="AZ307" s="11">
        <v>2</v>
      </c>
    </row>
    <row r="308" spans="2:63" x14ac:dyDescent="0.45">
      <c r="B308" s="11" t="s">
        <v>21</v>
      </c>
      <c r="C308" s="11" t="s">
        <v>23</v>
      </c>
      <c r="D308" s="11" t="s">
        <v>24</v>
      </c>
      <c r="E308" s="11" t="s">
        <v>25</v>
      </c>
      <c r="F308" s="11" t="s">
        <v>1377</v>
      </c>
      <c r="G308" s="11" t="s">
        <v>1378</v>
      </c>
      <c r="H308" s="11" t="s">
        <v>21</v>
      </c>
      <c r="I308" s="11" t="s">
        <v>1379</v>
      </c>
      <c r="J308" s="11" t="s">
        <v>1380</v>
      </c>
      <c r="K308" s="11">
        <v>1</v>
      </c>
      <c r="L308" s="11" t="s">
        <v>1372</v>
      </c>
      <c r="M308" s="11" t="s">
        <v>1381</v>
      </c>
      <c r="Q308" s="11" t="s">
        <v>105</v>
      </c>
      <c r="R308" s="11" t="s">
        <v>106</v>
      </c>
      <c r="S308" s="11" t="s">
        <v>1584</v>
      </c>
      <c r="T308" s="11" t="s">
        <v>107</v>
      </c>
      <c r="U308" s="11" t="s">
        <v>108</v>
      </c>
      <c r="V308" s="11" t="s">
        <v>21</v>
      </c>
      <c r="W308" s="11" t="s">
        <v>1369</v>
      </c>
      <c r="X308" s="11" t="s">
        <v>417</v>
      </c>
      <c r="Y308" s="11" t="s">
        <v>24</v>
      </c>
      <c r="Z308" s="11" t="s">
        <v>1370</v>
      </c>
      <c r="AC308" s="11" t="s">
        <v>111</v>
      </c>
      <c r="AD308" s="11" t="s">
        <v>1359</v>
      </c>
      <c r="AE308" s="11" t="s">
        <v>1275</v>
      </c>
      <c r="AL308" s="11">
        <v>1</v>
      </c>
      <c r="AU308" s="11">
        <v>1</v>
      </c>
      <c r="AZ308" s="11">
        <v>2</v>
      </c>
    </row>
    <row r="309" spans="2:63" x14ac:dyDescent="0.45">
      <c r="B309" s="11" t="s">
        <v>21</v>
      </c>
      <c r="C309" s="11" t="s">
        <v>23</v>
      </c>
      <c r="D309" s="11" t="s">
        <v>24</v>
      </c>
      <c r="E309" s="11" t="s">
        <v>25</v>
      </c>
      <c r="F309" s="11" t="s">
        <v>1382</v>
      </c>
      <c r="G309" s="11" t="s">
        <v>120</v>
      </c>
      <c r="H309" s="11" t="s">
        <v>21</v>
      </c>
      <c r="I309" s="11" t="s">
        <v>1383</v>
      </c>
      <c r="J309" s="11" t="s">
        <v>1384</v>
      </c>
      <c r="K309" s="11">
        <v>1</v>
      </c>
      <c r="L309" s="11" t="s">
        <v>1385</v>
      </c>
      <c r="M309" s="11" t="s">
        <v>1386</v>
      </c>
      <c r="Q309" s="11" t="s">
        <v>105</v>
      </c>
      <c r="R309" s="11" t="s">
        <v>106</v>
      </c>
      <c r="S309" s="11" t="s">
        <v>1584</v>
      </c>
      <c r="T309" s="11" t="s">
        <v>107</v>
      </c>
      <c r="U309" s="11" t="s">
        <v>108</v>
      </c>
      <c r="V309" s="11" t="s">
        <v>21</v>
      </c>
      <c r="W309" s="11" t="s">
        <v>1369</v>
      </c>
      <c r="X309" s="11" t="s">
        <v>417</v>
      </c>
      <c r="Y309" s="11" t="s">
        <v>24</v>
      </c>
      <c r="Z309" s="11" t="s">
        <v>1370</v>
      </c>
      <c r="AC309" s="11" t="s">
        <v>111</v>
      </c>
      <c r="AD309" s="11" t="s">
        <v>1359</v>
      </c>
      <c r="AE309" s="11" t="s">
        <v>1275</v>
      </c>
      <c r="AL309" s="11">
        <v>1</v>
      </c>
      <c r="AU309" s="11">
        <v>1</v>
      </c>
      <c r="AZ309" s="11">
        <v>2</v>
      </c>
    </row>
    <row r="310" spans="2:63" x14ac:dyDescent="0.45">
      <c r="B310" s="11" t="s">
        <v>21</v>
      </c>
      <c r="C310" s="11" t="s">
        <v>23</v>
      </c>
      <c r="D310" s="11" t="s">
        <v>24</v>
      </c>
      <c r="E310" s="11" t="s">
        <v>25</v>
      </c>
      <c r="F310" s="11" t="s">
        <v>1387</v>
      </c>
      <c r="G310" s="11" t="s">
        <v>1388</v>
      </c>
      <c r="H310" s="11" t="s">
        <v>21</v>
      </c>
      <c r="I310" s="11" t="s">
        <v>1389</v>
      </c>
      <c r="J310" s="11" t="s">
        <v>964</v>
      </c>
      <c r="K310" s="11">
        <v>1</v>
      </c>
      <c r="L310" s="11" t="s">
        <v>1390</v>
      </c>
      <c r="M310" s="11" t="s">
        <v>1391</v>
      </c>
      <c r="Q310" s="11" t="s">
        <v>105</v>
      </c>
      <c r="R310" s="11" t="s">
        <v>106</v>
      </c>
      <c r="S310" s="11" t="s">
        <v>1584</v>
      </c>
      <c r="T310" s="11" t="s">
        <v>107</v>
      </c>
      <c r="U310" s="11" t="s">
        <v>108</v>
      </c>
      <c r="V310" s="11" t="s">
        <v>21</v>
      </c>
      <c r="W310" s="11" t="s">
        <v>1392</v>
      </c>
      <c r="X310" s="11" t="s">
        <v>1033</v>
      </c>
      <c r="Y310" s="11" t="s">
        <v>24</v>
      </c>
      <c r="Z310" s="11" t="s">
        <v>1393</v>
      </c>
      <c r="AC310" s="11" t="s">
        <v>111</v>
      </c>
      <c r="AD310" s="11" t="s">
        <v>1394</v>
      </c>
      <c r="AE310" s="11" t="s">
        <v>301</v>
      </c>
      <c r="AL310" s="11">
        <v>1</v>
      </c>
      <c r="AP310" s="11" t="s">
        <v>21</v>
      </c>
      <c r="AQ310" s="11" t="s">
        <v>1395</v>
      </c>
      <c r="AS310" s="11" t="s">
        <v>1390</v>
      </c>
      <c r="AT310" s="11">
        <v>3</v>
      </c>
    </row>
    <row r="311" spans="2:63" x14ac:dyDescent="0.45">
      <c r="B311" s="11" t="s">
        <v>21</v>
      </c>
      <c r="C311" s="11" t="s">
        <v>23</v>
      </c>
      <c r="D311" s="11" t="s">
        <v>24</v>
      </c>
      <c r="E311" s="11" t="s">
        <v>25</v>
      </c>
      <c r="F311" s="11" t="s">
        <v>1396</v>
      </c>
      <c r="G311" s="11" t="s">
        <v>1397</v>
      </c>
      <c r="H311" s="11" t="s">
        <v>21</v>
      </c>
      <c r="I311" s="11" t="s">
        <v>1398</v>
      </c>
      <c r="J311" s="11" t="s">
        <v>964</v>
      </c>
      <c r="K311" s="11">
        <v>1</v>
      </c>
      <c r="L311" s="11" t="s">
        <v>1399</v>
      </c>
      <c r="M311" s="11" t="s">
        <v>1400</v>
      </c>
      <c r="Q311" s="11" t="s">
        <v>105</v>
      </c>
      <c r="R311" s="11" t="s">
        <v>106</v>
      </c>
      <c r="S311" s="11" t="s">
        <v>1584</v>
      </c>
      <c r="T311" s="11" t="s">
        <v>107</v>
      </c>
      <c r="U311" s="11" t="s">
        <v>108</v>
      </c>
      <c r="V311" s="11" t="s">
        <v>21</v>
      </c>
      <c r="W311" s="11" t="s">
        <v>1392</v>
      </c>
      <c r="X311" s="11" t="s">
        <v>1033</v>
      </c>
      <c r="Y311" s="11" t="s">
        <v>24</v>
      </c>
      <c r="Z311" s="11" t="s">
        <v>1393</v>
      </c>
      <c r="AC311" s="11" t="s">
        <v>111</v>
      </c>
      <c r="AD311" s="11" t="s">
        <v>1394</v>
      </c>
      <c r="AE311" s="11" t="s">
        <v>301</v>
      </c>
      <c r="AF311" s="11" t="s">
        <v>286</v>
      </c>
      <c r="AL311" s="11">
        <v>1</v>
      </c>
      <c r="AP311" s="11" t="s">
        <v>21</v>
      </c>
      <c r="AQ311" s="11" t="s">
        <v>1395</v>
      </c>
      <c r="AS311" s="11" t="s">
        <v>1390</v>
      </c>
      <c r="AT311" s="11">
        <v>3</v>
      </c>
      <c r="BH311" s="11" t="s">
        <v>106</v>
      </c>
      <c r="BI311" s="11" t="s">
        <v>105</v>
      </c>
      <c r="BJ311" s="11" t="s">
        <v>106</v>
      </c>
      <c r="BK311" s="11" t="s">
        <v>106</v>
      </c>
    </row>
    <row r="312" spans="2:63" x14ac:dyDescent="0.45">
      <c r="B312" s="11" t="s">
        <v>21</v>
      </c>
      <c r="C312" s="11" t="s">
        <v>23</v>
      </c>
      <c r="D312" s="11" t="s">
        <v>24</v>
      </c>
      <c r="E312" s="11" t="s">
        <v>25</v>
      </c>
      <c r="F312" s="11" t="s">
        <v>1401</v>
      </c>
      <c r="G312" s="11" t="s">
        <v>1402</v>
      </c>
      <c r="H312" s="11" t="s">
        <v>21</v>
      </c>
      <c r="I312" s="11" t="s">
        <v>1403</v>
      </c>
      <c r="J312" s="11" t="s">
        <v>1250</v>
      </c>
      <c r="K312" s="11">
        <v>1</v>
      </c>
      <c r="L312" s="11" t="s">
        <v>1404</v>
      </c>
      <c r="M312" s="11" t="s">
        <v>1405</v>
      </c>
      <c r="Q312" s="11" t="s">
        <v>105</v>
      </c>
      <c r="R312" s="11" t="s">
        <v>106</v>
      </c>
      <c r="S312" s="11" t="s">
        <v>1584</v>
      </c>
      <c r="T312" s="11" t="s">
        <v>107</v>
      </c>
      <c r="U312" s="11" t="s">
        <v>108</v>
      </c>
      <c r="V312" s="11" t="s">
        <v>21</v>
      </c>
      <c r="W312" s="11" t="s">
        <v>1392</v>
      </c>
      <c r="X312" s="11" t="s">
        <v>1033</v>
      </c>
      <c r="Y312" s="11" t="s">
        <v>24</v>
      </c>
      <c r="Z312" s="11" t="s">
        <v>1393</v>
      </c>
      <c r="AC312" s="11" t="s">
        <v>111</v>
      </c>
      <c r="AD312" s="11" t="s">
        <v>1394</v>
      </c>
      <c r="AE312" s="11" t="s">
        <v>301</v>
      </c>
      <c r="AL312" s="11">
        <v>1</v>
      </c>
      <c r="AP312" s="11" t="s">
        <v>21</v>
      </c>
      <c r="AQ312" s="11" t="s">
        <v>1395</v>
      </c>
      <c r="AS312" s="11" t="s">
        <v>1390</v>
      </c>
      <c r="AT312" s="11">
        <v>3</v>
      </c>
    </row>
    <row r="313" spans="2:63" x14ac:dyDescent="0.45">
      <c r="B313" s="11" t="s">
        <v>21</v>
      </c>
      <c r="C313" s="11" t="s">
        <v>23</v>
      </c>
      <c r="D313" s="11" t="s">
        <v>24</v>
      </c>
      <c r="E313" s="11" t="s">
        <v>25</v>
      </c>
      <c r="F313" s="11" t="s">
        <v>1406</v>
      </c>
      <c r="G313" s="11" t="s">
        <v>1407</v>
      </c>
      <c r="H313" s="11" t="s">
        <v>21</v>
      </c>
      <c r="I313" s="11" t="s">
        <v>1408</v>
      </c>
      <c r="J313" s="11" t="s">
        <v>284</v>
      </c>
      <c r="K313" s="11">
        <v>1</v>
      </c>
      <c r="L313" s="11" t="s">
        <v>1409</v>
      </c>
      <c r="M313" s="11" t="s">
        <v>1410</v>
      </c>
      <c r="Q313" s="11" t="s">
        <v>105</v>
      </c>
      <c r="R313" s="11" t="s">
        <v>106</v>
      </c>
      <c r="S313" s="11" t="s">
        <v>1584</v>
      </c>
      <c r="T313" s="11" t="s">
        <v>107</v>
      </c>
      <c r="U313" s="11" t="s">
        <v>108</v>
      </c>
      <c r="V313" s="11" t="s">
        <v>21</v>
      </c>
      <c r="W313" s="11" t="s">
        <v>1392</v>
      </c>
      <c r="X313" s="11" t="s">
        <v>1033</v>
      </c>
      <c r="Y313" s="11" t="s">
        <v>24</v>
      </c>
      <c r="Z313" s="11" t="s">
        <v>1393</v>
      </c>
      <c r="AC313" s="11" t="s">
        <v>111</v>
      </c>
      <c r="AD313" s="11" t="s">
        <v>1394</v>
      </c>
      <c r="AE313" s="11" t="s">
        <v>301</v>
      </c>
      <c r="AL313" s="11">
        <v>1</v>
      </c>
      <c r="AP313" s="11" t="s">
        <v>21</v>
      </c>
      <c r="AQ313" s="11" t="s">
        <v>1395</v>
      </c>
      <c r="AS313" s="11" t="s">
        <v>1390</v>
      </c>
      <c r="AT313" s="11">
        <v>3</v>
      </c>
      <c r="BD313" s="11" t="s">
        <v>1399</v>
      </c>
    </row>
    <row r="314" spans="2:63" x14ac:dyDescent="0.45">
      <c r="B314" s="11" t="s">
        <v>21</v>
      </c>
      <c r="C314" s="11" t="s">
        <v>23</v>
      </c>
      <c r="D314" s="11" t="s">
        <v>24</v>
      </c>
      <c r="E314" s="11" t="s">
        <v>25</v>
      </c>
      <c r="F314" s="11" t="s">
        <v>1411</v>
      </c>
      <c r="G314" s="11" t="s">
        <v>1412</v>
      </c>
      <c r="H314" s="11" t="s">
        <v>21</v>
      </c>
      <c r="I314" s="11" t="s">
        <v>881</v>
      </c>
      <c r="J314" s="11" t="s">
        <v>882</v>
      </c>
      <c r="K314" s="11">
        <v>1</v>
      </c>
      <c r="L314" s="11" t="s">
        <v>1413</v>
      </c>
      <c r="M314" s="11" t="s">
        <v>884</v>
      </c>
      <c r="Q314" s="11" t="s">
        <v>105</v>
      </c>
      <c r="R314" s="11" t="s">
        <v>106</v>
      </c>
      <c r="S314" s="11" t="s">
        <v>1584</v>
      </c>
      <c r="T314" s="11" t="s">
        <v>107</v>
      </c>
      <c r="U314" s="11" t="s">
        <v>108</v>
      </c>
      <c r="V314" s="11" t="s">
        <v>21</v>
      </c>
      <c r="W314" s="11" t="s">
        <v>1392</v>
      </c>
      <c r="X314" s="11" t="s">
        <v>1033</v>
      </c>
      <c r="Y314" s="11" t="s">
        <v>24</v>
      </c>
      <c r="Z314" s="11" t="s">
        <v>1393</v>
      </c>
      <c r="AC314" s="11" t="s">
        <v>111</v>
      </c>
      <c r="AD314" s="11" t="s">
        <v>1394</v>
      </c>
      <c r="AE314" s="11" t="s">
        <v>301</v>
      </c>
      <c r="AL314" s="11">
        <v>1</v>
      </c>
      <c r="AP314" s="11" t="s">
        <v>21</v>
      </c>
      <c r="AQ314" s="11" t="s">
        <v>1395</v>
      </c>
      <c r="AS314" s="11" t="s">
        <v>1390</v>
      </c>
      <c r="AT314" s="11">
        <v>3</v>
      </c>
    </row>
    <row r="315" spans="2:63" x14ac:dyDescent="0.45">
      <c r="B315" s="11" t="s">
        <v>21</v>
      </c>
      <c r="C315" s="11" t="s">
        <v>23</v>
      </c>
      <c r="D315" s="11" t="s">
        <v>24</v>
      </c>
      <c r="E315" s="11" t="s">
        <v>25</v>
      </c>
      <c r="F315" s="11" t="s">
        <v>1414</v>
      </c>
      <c r="G315" s="11" t="s">
        <v>1415</v>
      </c>
      <c r="H315" s="11" t="s">
        <v>21</v>
      </c>
      <c r="I315" s="11" t="s">
        <v>1182</v>
      </c>
      <c r="J315" s="11" t="s">
        <v>179</v>
      </c>
      <c r="K315" s="11">
        <v>1</v>
      </c>
      <c r="L315" s="11" t="s">
        <v>1416</v>
      </c>
      <c r="M315" s="11" t="s">
        <v>1184</v>
      </c>
      <c r="Q315" s="11" t="s">
        <v>105</v>
      </c>
      <c r="R315" s="11" t="s">
        <v>106</v>
      </c>
      <c r="S315" s="11" t="s">
        <v>1584</v>
      </c>
      <c r="T315" s="11" t="s">
        <v>107</v>
      </c>
      <c r="U315" s="11" t="s">
        <v>108</v>
      </c>
      <c r="V315" s="11" t="s">
        <v>21</v>
      </c>
      <c r="W315" s="11" t="s">
        <v>1392</v>
      </c>
      <c r="X315" s="11" t="s">
        <v>1033</v>
      </c>
      <c r="Y315" s="11" t="s">
        <v>24</v>
      </c>
      <c r="Z315" s="11" t="s">
        <v>1393</v>
      </c>
      <c r="AC315" s="11" t="s">
        <v>111</v>
      </c>
      <c r="AD315" s="11" t="s">
        <v>1394</v>
      </c>
      <c r="AE315" s="11" t="s">
        <v>1185</v>
      </c>
      <c r="AL315" s="11">
        <v>1</v>
      </c>
      <c r="AU315" s="11">
        <v>1</v>
      </c>
      <c r="AV315" s="11" t="s">
        <v>1417</v>
      </c>
      <c r="AW315" s="11">
        <v>15</v>
      </c>
      <c r="AX315" s="11">
        <v>20</v>
      </c>
      <c r="AZ315" s="11">
        <v>1</v>
      </c>
      <c r="BB315" s="11">
        <v>6</v>
      </c>
      <c r="BC315" s="11" t="s">
        <v>1418</v>
      </c>
    </row>
    <row r="316" spans="2:63" x14ac:dyDescent="0.45">
      <c r="B316" s="11" t="s">
        <v>21</v>
      </c>
      <c r="C316" s="11" t="s">
        <v>23</v>
      </c>
      <c r="D316" s="11" t="s">
        <v>24</v>
      </c>
      <c r="E316" s="11" t="s">
        <v>25</v>
      </c>
      <c r="F316" s="11" t="s">
        <v>1419</v>
      </c>
      <c r="G316" s="11" t="s">
        <v>1420</v>
      </c>
      <c r="H316" s="11" t="s">
        <v>21</v>
      </c>
      <c r="I316" s="11" t="s">
        <v>1421</v>
      </c>
      <c r="J316" s="11" t="s">
        <v>1213</v>
      </c>
      <c r="K316" s="11">
        <v>1</v>
      </c>
      <c r="L316" s="11" t="s">
        <v>1417</v>
      </c>
      <c r="M316" s="11" t="s">
        <v>1422</v>
      </c>
      <c r="Q316" s="11" t="s">
        <v>105</v>
      </c>
      <c r="R316" s="11" t="s">
        <v>106</v>
      </c>
      <c r="S316" s="11" t="s">
        <v>1584</v>
      </c>
      <c r="T316" s="11" t="s">
        <v>107</v>
      </c>
      <c r="U316" s="11" t="s">
        <v>108</v>
      </c>
      <c r="V316" s="11" t="s">
        <v>21</v>
      </c>
      <c r="W316" s="11" t="s">
        <v>1392</v>
      </c>
      <c r="X316" s="11" t="s">
        <v>1033</v>
      </c>
      <c r="Y316" s="11" t="s">
        <v>24</v>
      </c>
      <c r="Z316" s="11" t="s">
        <v>1393</v>
      </c>
      <c r="AC316" s="11" t="s">
        <v>111</v>
      </c>
      <c r="AD316" s="11" t="s">
        <v>1394</v>
      </c>
      <c r="AE316" s="11" t="s">
        <v>1185</v>
      </c>
      <c r="AL316" s="11">
        <v>1</v>
      </c>
      <c r="AU316" s="11">
        <v>1</v>
      </c>
      <c r="AV316" s="11" t="s">
        <v>1418</v>
      </c>
      <c r="AW316" s="11">
        <v>15</v>
      </c>
      <c r="AX316" s="11">
        <v>20</v>
      </c>
      <c r="AZ316" s="11">
        <v>2</v>
      </c>
    </row>
    <row r="317" spans="2:63" x14ac:dyDescent="0.45">
      <c r="B317" s="11" t="s">
        <v>21</v>
      </c>
      <c r="C317" s="11" t="s">
        <v>23</v>
      </c>
      <c r="D317" s="11" t="s">
        <v>24</v>
      </c>
      <c r="E317" s="11" t="s">
        <v>25</v>
      </c>
      <c r="F317" s="11" t="s">
        <v>1423</v>
      </c>
      <c r="G317" s="11" t="s">
        <v>1424</v>
      </c>
      <c r="H317" s="11" t="s">
        <v>21</v>
      </c>
      <c r="I317" s="11" t="s">
        <v>1425</v>
      </c>
      <c r="J317" s="11" t="s">
        <v>1426</v>
      </c>
      <c r="K317" s="11">
        <v>1</v>
      </c>
      <c r="L317" s="11" t="s">
        <v>1418</v>
      </c>
      <c r="M317" s="11" t="s">
        <v>1427</v>
      </c>
      <c r="Q317" s="11" t="s">
        <v>105</v>
      </c>
      <c r="R317" s="11" t="s">
        <v>106</v>
      </c>
      <c r="S317" s="11" t="s">
        <v>1584</v>
      </c>
      <c r="T317" s="11" t="s">
        <v>107</v>
      </c>
      <c r="U317" s="11" t="s">
        <v>108</v>
      </c>
      <c r="V317" s="11" t="s">
        <v>21</v>
      </c>
      <c r="W317" s="11" t="s">
        <v>1392</v>
      </c>
      <c r="X317" s="11" t="s">
        <v>1033</v>
      </c>
      <c r="Y317" s="11" t="s">
        <v>24</v>
      </c>
      <c r="Z317" s="11" t="s">
        <v>1393</v>
      </c>
      <c r="AC317" s="11" t="s">
        <v>111</v>
      </c>
      <c r="AD317" s="11" t="s">
        <v>1394</v>
      </c>
      <c r="AE317" s="11" t="s">
        <v>1185</v>
      </c>
      <c r="AL317" s="11">
        <v>1</v>
      </c>
      <c r="AU317" s="11">
        <v>1</v>
      </c>
      <c r="AZ317" s="11">
        <v>2</v>
      </c>
      <c r="BA317" s="11">
        <v>1</v>
      </c>
    </row>
    <row r="318" spans="2:63" x14ac:dyDescent="0.45">
      <c r="B318" s="11" t="s">
        <v>21</v>
      </c>
      <c r="C318" s="11" t="s">
        <v>23</v>
      </c>
      <c r="D318" s="11" t="s">
        <v>24</v>
      </c>
      <c r="E318" s="11" t="s">
        <v>25</v>
      </c>
      <c r="F318" s="11" t="s">
        <v>1428</v>
      </c>
      <c r="G318" s="11" t="s">
        <v>1429</v>
      </c>
      <c r="H318" s="11" t="s">
        <v>21</v>
      </c>
      <c r="I318" s="11" t="s">
        <v>1198</v>
      </c>
      <c r="J318" s="11" t="s">
        <v>1033</v>
      </c>
      <c r="K318" s="11">
        <v>1</v>
      </c>
      <c r="L318" s="11" t="s">
        <v>1430</v>
      </c>
      <c r="M318" s="11" t="s">
        <v>1200</v>
      </c>
      <c r="Q318" s="11" t="s">
        <v>105</v>
      </c>
      <c r="R318" s="11" t="s">
        <v>106</v>
      </c>
      <c r="S318" s="11" t="s">
        <v>1584</v>
      </c>
      <c r="T318" s="11" t="s">
        <v>107</v>
      </c>
      <c r="U318" s="11" t="s">
        <v>108</v>
      </c>
      <c r="V318" s="11" t="s">
        <v>21</v>
      </c>
      <c r="W318" s="11" t="s">
        <v>1392</v>
      </c>
      <c r="X318" s="11" t="s">
        <v>1033</v>
      </c>
      <c r="Y318" s="11" t="s">
        <v>24</v>
      </c>
      <c r="Z318" s="11" t="s">
        <v>1393</v>
      </c>
      <c r="AC318" s="11" t="s">
        <v>111</v>
      </c>
      <c r="AD318" s="11" t="s">
        <v>1394</v>
      </c>
      <c r="AE318" s="11" t="s">
        <v>1185</v>
      </c>
      <c r="AL318" s="11">
        <v>1</v>
      </c>
      <c r="AP318" s="11" t="s">
        <v>21</v>
      </c>
      <c r="AQ318" s="11" t="s">
        <v>1431</v>
      </c>
      <c r="AS318" s="11" t="s">
        <v>1430</v>
      </c>
      <c r="AT318" s="11">
        <v>3</v>
      </c>
      <c r="BA318" s="11">
        <v>1</v>
      </c>
    </row>
    <row r="319" spans="2:63" x14ac:dyDescent="0.45">
      <c r="B319" s="11" t="s">
        <v>21</v>
      </c>
      <c r="C319" s="11" t="s">
        <v>23</v>
      </c>
      <c r="D319" s="11" t="s">
        <v>24</v>
      </c>
      <c r="E319" s="11" t="s">
        <v>25</v>
      </c>
      <c r="F319" s="11" t="s">
        <v>1432</v>
      </c>
      <c r="G319" s="11" t="s">
        <v>1433</v>
      </c>
      <c r="H319" s="11" t="s">
        <v>21</v>
      </c>
      <c r="I319" s="11" t="s">
        <v>1434</v>
      </c>
      <c r="J319" s="11" t="s">
        <v>1435</v>
      </c>
      <c r="K319" s="11">
        <v>1</v>
      </c>
      <c r="L319" s="11" t="s">
        <v>1436</v>
      </c>
      <c r="M319" s="11" t="s">
        <v>1437</v>
      </c>
      <c r="Q319" s="11" t="s">
        <v>105</v>
      </c>
      <c r="R319" s="11" t="s">
        <v>106</v>
      </c>
      <c r="S319" s="11" t="s">
        <v>1584</v>
      </c>
      <c r="T319" s="11" t="s">
        <v>107</v>
      </c>
      <c r="U319" s="11" t="s">
        <v>108</v>
      </c>
      <c r="V319" s="11" t="s">
        <v>21</v>
      </c>
      <c r="W319" s="11" t="s">
        <v>1392</v>
      </c>
      <c r="X319" s="11" t="s">
        <v>1033</v>
      </c>
      <c r="Y319" s="11" t="s">
        <v>24</v>
      </c>
      <c r="Z319" s="11" t="s">
        <v>1393</v>
      </c>
      <c r="AC319" s="11" t="s">
        <v>111</v>
      </c>
      <c r="AD319" s="11" t="s">
        <v>1394</v>
      </c>
      <c r="AE319" s="11" t="s">
        <v>356</v>
      </c>
      <c r="AL319" s="11">
        <v>1</v>
      </c>
    </row>
    <row r="320" spans="2:63" x14ac:dyDescent="0.45">
      <c r="B320" s="11" t="s">
        <v>21</v>
      </c>
      <c r="C320" s="11" t="s">
        <v>23</v>
      </c>
      <c r="D320" s="11" t="s">
        <v>24</v>
      </c>
      <c r="E320" s="11" t="s">
        <v>25</v>
      </c>
      <c r="F320" s="11" t="s">
        <v>1438</v>
      </c>
      <c r="G320" s="11" t="s">
        <v>1439</v>
      </c>
      <c r="H320" s="11" t="s">
        <v>21</v>
      </c>
      <c r="I320" s="11" t="s">
        <v>1421</v>
      </c>
      <c r="J320" s="11" t="s">
        <v>1213</v>
      </c>
      <c r="K320" s="11">
        <v>2</v>
      </c>
      <c r="L320" s="11" t="s">
        <v>1440</v>
      </c>
      <c r="M320" s="11" t="s">
        <v>1422</v>
      </c>
      <c r="Q320" s="11" t="s">
        <v>105</v>
      </c>
      <c r="R320" s="11" t="s">
        <v>106</v>
      </c>
      <c r="S320" s="11" t="s">
        <v>1584</v>
      </c>
      <c r="T320" s="11" t="s">
        <v>107</v>
      </c>
      <c r="U320" s="11" t="s">
        <v>108</v>
      </c>
      <c r="V320" s="11" t="s">
        <v>21</v>
      </c>
      <c r="W320" s="11" t="s">
        <v>1392</v>
      </c>
      <c r="X320" s="11" t="s">
        <v>1033</v>
      </c>
      <c r="Y320" s="11" t="s">
        <v>24</v>
      </c>
      <c r="Z320" s="11" t="s">
        <v>1393</v>
      </c>
      <c r="AC320" s="11" t="s">
        <v>111</v>
      </c>
      <c r="AD320" s="11" t="s">
        <v>1394</v>
      </c>
      <c r="AE320" s="11" t="s">
        <v>356</v>
      </c>
      <c r="AL320" s="11">
        <v>1</v>
      </c>
    </row>
    <row r="321" spans="2:63" x14ac:dyDescent="0.45">
      <c r="B321" s="11" t="s">
        <v>21</v>
      </c>
      <c r="C321" s="11" t="s">
        <v>23</v>
      </c>
      <c r="D321" s="11" t="s">
        <v>24</v>
      </c>
      <c r="E321" s="11" t="s">
        <v>25</v>
      </c>
      <c r="F321" s="11" t="s">
        <v>1441</v>
      </c>
      <c r="G321" s="11" t="s">
        <v>1442</v>
      </c>
      <c r="H321" s="11" t="s">
        <v>21</v>
      </c>
      <c r="I321" s="11" t="s">
        <v>1182</v>
      </c>
      <c r="J321" s="11" t="s">
        <v>179</v>
      </c>
      <c r="K321" s="11">
        <v>2</v>
      </c>
      <c r="L321" s="11" t="s">
        <v>1443</v>
      </c>
      <c r="M321" s="11" t="s">
        <v>1184</v>
      </c>
      <c r="Q321" s="11" t="s">
        <v>105</v>
      </c>
      <c r="R321" s="11" t="s">
        <v>106</v>
      </c>
      <c r="S321" s="11" t="s">
        <v>1584</v>
      </c>
      <c r="T321" s="11" t="s">
        <v>107</v>
      </c>
      <c r="U321" s="11" t="s">
        <v>108</v>
      </c>
      <c r="V321" s="11" t="s">
        <v>21</v>
      </c>
      <c r="W321" s="11" t="s">
        <v>1392</v>
      </c>
      <c r="X321" s="11" t="s">
        <v>1033</v>
      </c>
      <c r="Y321" s="11" t="s">
        <v>24</v>
      </c>
      <c r="Z321" s="11" t="s">
        <v>1393</v>
      </c>
      <c r="AC321" s="11" t="s">
        <v>111</v>
      </c>
      <c r="AD321" s="11" t="s">
        <v>1394</v>
      </c>
      <c r="AE321" s="11" t="s">
        <v>356</v>
      </c>
      <c r="AL321" s="11">
        <v>1</v>
      </c>
    </row>
    <row r="322" spans="2:63" x14ac:dyDescent="0.45">
      <c r="B322" s="11" t="s">
        <v>21</v>
      </c>
      <c r="C322" s="11" t="s">
        <v>23</v>
      </c>
      <c r="D322" s="11" t="s">
        <v>24</v>
      </c>
      <c r="E322" s="11" t="s">
        <v>25</v>
      </c>
      <c r="F322" s="11" t="s">
        <v>1444</v>
      </c>
      <c r="G322" s="11" t="s">
        <v>1445</v>
      </c>
      <c r="H322" s="11" t="s">
        <v>21</v>
      </c>
      <c r="I322" s="11" t="s">
        <v>1212</v>
      </c>
      <c r="J322" s="11" t="s">
        <v>1213</v>
      </c>
      <c r="K322" s="11">
        <v>1</v>
      </c>
      <c r="L322" s="11" t="s">
        <v>1446</v>
      </c>
      <c r="M322" s="11" t="s">
        <v>1215</v>
      </c>
      <c r="Q322" s="11" t="s">
        <v>105</v>
      </c>
      <c r="R322" s="11" t="s">
        <v>106</v>
      </c>
      <c r="S322" s="11" t="s">
        <v>1584</v>
      </c>
      <c r="T322" s="11" t="s">
        <v>107</v>
      </c>
      <c r="U322" s="11" t="s">
        <v>108</v>
      </c>
      <c r="V322" s="11" t="s">
        <v>21</v>
      </c>
      <c r="W322" s="11" t="s">
        <v>1392</v>
      </c>
      <c r="X322" s="11" t="s">
        <v>1033</v>
      </c>
      <c r="Y322" s="11" t="s">
        <v>24</v>
      </c>
      <c r="Z322" s="11" t="s">
        <v>1393</v>
      </c>
      <c r="AC322" s="11" t="s">
        <v>111</v>
      </c>
      <c r="AD322" s="11" t="s">
        <v>1394</v>
      </c>
      <c r="AE322" s="11" t="s">
        <v>356</v>
      </c>
      <c r="AL322" s="11">
        <v>1</v>
      </c>
      <c r="AP322" s="11" t="s">
        <v>21</v>
      </c>
      <c r="AR322" s="11" t="s">
        <v>1447</v>
      </c>
      <c r="AS322" s="11" t="s">
        <v>1446</v>
      </c>
      <c r="AT322" s="11">
        <v>2</v>
      </c>
    </row>
    <row r="323" spans="2:63" x14ac:dyDescent="0.45">
      <c r="B323" s="11" t="s">
        <v>21</v>
      </c>
      <c r="C323" s="11" t="s">
        <v>23</v>
      </c>
      <c r="D323" s="11" t="s">
        <v>24</v>
      </c>
      <c r="E323" s="11" t="s">
        <v>25</v>
      </c>
      <c r="F323" s="11" t="s">
        <v>1448</v>
      </c>
      <c r="G323" s="11" t="s">
        <v>1449</v>
      </c>
      <c r="H323" s="11" t="s">
        <v>21</v>
      </c>
      <c r="I323" s="11" t="s">
        <v>1389</v>
      </c>
      <c r="J323" s="11" t="s">
        <v>964</v>
      </c>
      <c r="K323" s="11">
        <v>1</v>
      </c>
      <c r="L323" s="11" t="s">
        <v>1450</v>
      </c>
      <c r="M323" s="11" t="s">
        <v>1391</v>
      </c>
      <c r="Q323" s="11" t="s">
        <v>105</v>
      </c>
      <c r="R323" s="11" t="s">
        <v>106</v>
      </c>
      <c r="S323" s="11" t="s">
        <v>1584</v>
      </c>
      <c r="T323" s="11" t="s">
        <v>107</v>
      </c>
      <c r="U323" s="11" t="s">
        <v>108</v>
      </c>
      <c r="V323" s="11" t="s">
        <v>21</v>
      </c>
      <c r="W323" s="11" t="s">
        <v>1451</v>
      </c>
      <c r="X323" s="11" t="s">
        <v>25</v>
      </c>
      <c r="Y323" s="11" t="s">
        <v>24</v>
      </c>
      <c r="Z323" s="11" t="s">
        <v>1452</v>
      </c>
      <c r="AC323" s="11" t="s">
        <v>111</v>
      </c>
      <c r="AD323" s="11" t="s">
        <v>1359</v>
      </c>
      <c r="AE323" s="11" t="s">
        <v>301</v>
      </c>
      <c r="AL323" s="11">
        <v>1</v>
      </c>
      <c r="AP323" s="11" t="s">
        <v>21</v>
      </c>
      <c r="AQ323" s="11" t="s">
        <v>1395</v>
      </c>
      <c r="AS323" s="11" t="s">
        <v>1450</v>
      </c>
      <c r="AT323" s="11">
        <v>3</v>
      </c>
    </row>
    <row r="324" spans="2:63" x14ac:dyDescent="0.45">
      <c r="B324" s="11" t="s">
        <v>21</v>
      </c>
      <c r="C324" s="11" t="s">
        <v>23</v>
      </c>
      <c r="D324" s="11" t="s">
        <v>24</v>
      </c>
      <c r="E324" s="11" t="s">
        <v>25</v>
      </c>
      <c r="F324" s="11" t="s">
        <v>1453</v>
      </c>
      <c r="G324" s="11" t="s">
        <v>1454</v>
      </c>
      <c r="H324" s="11" t="s">
        <v>21</v>
      </c>
      <c r="I324" s="11" t="s">
        <v>1455</v>
      </c>
      <c r="J324" s="11" t="s">
        <v>1426</v>
      </c>
      <c r="K324" s="11">
        <v>1</v>
      </c>
      <c r="L324" s="11" t="s">
        <v>1456</v>
      </c>
      <c r="M324" s="11" t="s">
        <v>1457</v>
      </c>
      <c r="Q324" s="11" t="s">
        <v>105</v>
      </c>
      <c r="R324" s="11" t="s">
        <v>106</v>
      </c>
      <c r="S324" s="11" t="s">
        <v>1584</v>
      </c>
      <c r="T324" s="11" t="s">
        <v>107</v>
      </c>
      <c r="U324" s="11" t="s">
        <v>108</v>
      </c>
      <c r="V324" s="11" t="s">
        <v>21</v>
      </c>
      <c r="W324" s="11" t="s">
        <v>1451</v>
      </c>
      <c r="X324" s="11" t="s">
        <v>25</v>
      </c>
      <c r="Y324" s="11" t="s">
        <v>24</v>
      </c>
      <c r="Z324" s="11" t="s">
        <v>1452</v>
      </c>
      <c r="AC324" s="11" t="s">
        <v>111</v>
      </c>
      <c r="AD324" s="11" t="s">
        <v>1359</v>
      </c>
      <c r="AE324" s="11" t="s">
        <v>301</v>
      </c>
      <c r="AF324" s="11" t="s">
        <v>579</v>
      </c>
      <c r="AL324" s="11">
        <v>1</v>
      </c>
      <c r="AP324" s="11" t="s">
        <v>21</v>
      </c>
      <c r="AQ324" s="11" t="s">
        <v>1395</v>
      </c>
      <c r="AS324" s="11" t="s">
        <v>1450</v>
      </c>
      <c r="AT324" s="11">
        <v>3</v>
      </c>
      <c r="BH324" s="11" t="s">
        <v>106</v>
      </c>
      <c r="BI324" s="11" t="s">
        <v>105</v>
      </c>
      <c r="BJ324" s="11" t="s">
        <v>106</v>
      </c>
      <c r="BK324" s="11" t="s">
        <v>106</v>
      </c>
    </row>
    <row r="325" spans="2:63" x14ac:dyDescent="0.45">
      <c r="B325" s="11" t="s">
        <v>21</v>
      </c>
      <c r="C325" s="11" t="s">
        <v>23</v>
      </c>
      <c r="D325" s="11" t="s">
        <v>24</v>
      </c>
      <c r="E325" s="11" t="s">
        <v>25</v>
      </c>
      <c r="F325" s="11" t="s">
        <v>1458</v>
      </c>
      <c r="G325" s="11" t="s">
        <v>1459</v>
      </c>
      <c r="H325" s="11" t="s">
        <v>21</v>
      </c>
      <c r="I325" s="11" t="s">
        <v>1403</v>
      </c>
      <c r="J325" s="11" t="s">
        <v>1250</v>
      </c>
      <c r="K325" s="11">
        <v>1</v>
      </c>
      <c r="L325" s="11" t="s">
        <v>1460</v>
      </c>
      <c r="M325" s="11" t="s">
        <v>1405</v>
      </c>
      <c r="Q325" s="11" t="s">
        <v>105</v>
      </c>
      <c r="R325" s="11" t="s">
        <v>106</v>
      </c>
      <c r="S325" s="11" t="s">
        <v>1584</v>
      </c>
      <c r="T325" s="11" t="s">
        <v>107</v>
      </c>
      <c r="U325" s="11" t="s">
        <v>108</v>
      </c>
      <c r="V325" s="11" t="s">
        <v>21</v>
      </c>
      <c r="W325" s="11" t="s">
        <v>1451</v>
      </c>
      <c r="X325" s="11" t="s">
        <v>25</v>
      </c>
      <c r="Y325" s="11" t="s">
        <v>24</v>
      </c>
      <c r="Z325" s="11" t="s">
        <v>1452</v>
      </c>
      <c r="AC325" s="11" t="s">
        <v>111</v>
      </c>
      <c r="AD325" s="11" t="s">
        <v>1359</v>
      </c>
      <c r="AE325" s="11" t="s">
        <v>301</v>
      </c>
      <c r="AL325" s="11">
        <v>1</v>
      </c>
      <c r="AP325" s="11" t="s">
        <v>21</v>
      </c>
      <c r="AQ325" s="11" t="s">
        <v>1395</v>
      </c>
      <c r="AS325" s="11" t="s">
        <v>1450</v>
      </c>
      <c r="AT325" s="11">
        <v>3</v>
      </c>
    </row>
    <row r="326" spans="2:63" x14ac:dyDescent="0.45">
      <c r="B326" s="11" t="s">
        <v>21</v>
      </c>
      <c r="C326" s="11" t="s">
        <v>23</v>
      </c>
      <c r="D326" s="11" t="s">
        <v>24</v>
      </c>
      <c r="E326" s="11" t="s">
        <v>25</v>
      </c>
      <c r="F326" s="11" t="s">
        <v>1461</v>
      </c>
      <c r="G326" s="11" t="s">
        <v>1462</v>
      </c>
      <c r="H326" s="11" t="s">
        <v>21</v>
      </c>
      <c r="I326" s="11" t="s">
        <v>1463</v>
      </c>
      <c r="J326" s="11" t="s">
        <v>1464</v>
      </c>
      <c r="K326" s="11">
        <v>1</v>
      </c>
      <c r="L326" s="11" t="s">
        <v>1465</v>
      </c>
      <c r="M326" s="11" t="s">
        <v>1466</v>
      </c>
      <c r="Q326" s="11" t="s">
        <v>105</v>
      </c>
      <c r="R326" s="11" t="s">
        <v>106</v>
      </c>
      <c r="S326" s="11" t="s">
        <v>1584</v>
      </c>
      <c r="T326" s="11" t="s">
        <v>107</v>
      </c>
      <c r="U326" s="11" t="s">
        <v>108</v>
      </c>
      <c r="V326" s="11" t="s">
        <v>21</v>
      </c>
      <c r="W326" s="11" t="s">
        <v>1451</v>
      </c>
      <c r="X326" s="11" t="s">
        <v>25</v>
      </c>
      <c r="Y326" s="11" t="s">
        <v>24</v>
      </c>
      <c r="Z326" s="11" t="s">
        <v>1452</v>
      </c>
      <c r="AC326" s="11" t="s">
        <v>111</v>
      </c>
      <c r="AD326" s="11" t="s">
        <v>1359</v>
      </c>
      <c r="AE326" s="11" t="s">
        <v>301</v>
      </c>
      <c r="AL326" s="11">
        <v>1</v>
      </c>
      <c r="AP326" s="11" t="s">
        <v>21</v>
      </c>
      <c r="AQ326" s="11" t="s">
        <v>1395</v>
      </c>
      <c r="AS326" s="11" t="s">
        <v>1450</v>
      </c>
      <c r="AT326" s="11">
        <v>3</v>
      </c>
      <c r="BD326" s="11" t="s">
        <v>1456</v>
      </c>
    </row>
    <row r="327" spans="2:63" x14ac:dyDescent="0.45">
      <c r="B327" s="11" t="s">
        <v>21</v>
      </c>
      <c r="C327" s="11" t="s">
        <v>23</v>
      </c>
      <c r="D327" s="11" t="s">
        <v>24</v>
      </c>
      <c r="E327" s="11" t="s">
        <v>25</v>
      </c>
      <c r="F327" s="11" t="s">
        <v>1467</v>
      </c>
      <c r="G327" s="11" t="s">
        <v>1468</v>
      </c>
      <c r="H327" s="11" t="s">
        <v>21</v>
      </c>
      <c r="I327" s="11" t="s">
        <v>881</v>
      </c>
      <c r="J327" s="11" t="s">
        <v>882</v>
      </c>
      <c r="K327" s="11">
        <v>1</v>
      </c>
      <c r="L327" s="11" t="s">
        <v>1469</v>
      </c>
      <c r="M327" s="11" t="s">
        <v>884</v>
      </c>
      <c r="Q327" s="11" t="s">
        <v>105</v>
      </c>
      <c r="R327" s="11" t="s">
        <v>106</v>
      </c>
      <c r="S327" s="11" t="s">
        <v>1584</v>
      </c>
      <c r="T327" s="11" t="s">
        <v>107</v>
      </c>
      <c r="U327" s="11" t="s">
        <v>108</v>
      </c>
      <c r="V327" s="11" t="s">
        <v>21</v>
      </c>
      <c r="W327" s="11" t="s">
        <v>1451</v>
      </c>
      <c r="X327" s="11" t="s">
        <v>25</v>
      </c>
      <c r="Y327" s="11" t="s">
        <v>24</v>
      </c>
      <c r="Z327" s="11" t="s">
        <v>1452</v>
      </c>
      <c r="AC327" s="11" t="s">
        <v>111</v>
      </c>
      <c r="AD327" s="11" t="s">
        <v>1359</v>
      </c>
      <c r="AE327" s="11" t="s">
        <v>301</v>
      </c>
      <c r="AL327" s="11">
        <v>1</v>
      </c>
      <c r="AP327" s="11" t="s">
        <v>21</v>
      </c>
      <c r="AQ327" s="11" t="s">
        <v>1395</v>
      </c>
      <c r="AS327" s="11" t="s">
        <v>1450</v>
      </c>
      <c r="AT327" s="11">
        <v>3</v>
      </c>
    </row>
    <row r="328" spans="2:63" x14ac:dyDescent="0.45">
      <c r="B328" s="11" t="s">
        <v>21</v>
      </c>
      <c r="C328" s="11" t="s">
        <v>23</v>
      </c>
      <c r="D328" s="11" t="s">
        <v>24</v>
      </c>
      <c r="E328" s="11" t="s">
        <v>25</v>
      </c>
      <c r="F328" s="11" t="s">
        <v>1470</v>
      </c>
      <c r="G328" s="11" t="s">
        <v>1471</v>
      </c>
      <c r="H328" s="11" t="s">
        <v>21</v>
      </c>
      <c r="I328" s="11" t="s">
        <v>1182</v>
      </c>
      <c r="J328" s="11" t="s">
        <v>179</v>
      </c>
      <c r="K328" s="11">
        <v>1</v>
      </c>
      <c r="L328" s="11" t="s">
        <v>1472</v>
      </c>
      <c r="M328" s="11" t="s">
        <v>1184</v>
      </c>
      <c r="Q328" s="11" t="s">
        <v>105</v>
      </c>
      <c r="R328" s="11" t="s">
        <v>106</v>
      </c>
      <c r="S328" s="11" t="s">
        <v>1584</v>
      </c>
      <c r="T328" s="11" t="s">
        <v>107</v>
      </c>
      <c r="U328" s="11" t="s">
        <v>108</v>
      </c>
      <c r="V328" s="11" t="s">
        <v>21</v>
      </c>
      <c r="W328" s="11" t="s">
        <v>1451</v>
      </c>
      <c r="X328" s="11" t="s">
        <v>25</v>
      </c>
      <c r="Y328" s="11" t="s">
        <v>24</v>
      </c>
      <c r="Z328" s="11" t="s">
        <v>1452</v>
      </c>
      <c r="AC328" s="11" t="s">
        <v>111</v>
      </c>
      <c r="AD328" s="11" t="s">
        <v>1359</v>
      </c>
      <c r="AE328" s="11" t="s">
        <v>352</v>
      </c>
      <c r="AL328" s="11">
        <v>1</v>
      </c>
    </row>
    <row r="329" spans="2:63" x14ac:dyDescent="0.45">
      <c r="B329" s="11" t="s">
        <v>21</v>
      </c>
      <c r="C329" s="11" t="s">
        <v>23</v>
      </c>
      <c r="D329" s="11" t="s">
        <v>24</v>
      </c>
      <c r="E329" s="11" t="s">
        <v>25</v>
      </c>
      <c r="F329" s="11" t="s">
        <v>1473</v>
      </c>
      <c r="G329" s="11" t="s">
        <v>1474</v>
      </c>
      <c r="H329" s="11" t="s">
        <v>21</v>
      </c>
      <c r="I329" s="11" t="s">
        <v>1421</v>
      </c>
      <c r="J329" s="11" t="s">
        <v>1213</v>
      </c>
      <c r="K329" s="11">
        <v>1</v>
      </c>
      <c r="L329" s="11" t="s">
        <v>1475</v>
      </c>
      <c r="M329" s="11" t="s">
        <v>1422</v>
      </c>
      <c r="Q329" s="11" t="s">
        <v>105</v>
      </c>
      <c r="R329" s="11" t="s">
        <v>106</v>
      </c>
      <c r="S329" s="11" t="s">
        <v>1584</v>
      </c>
      <c r="T329" s="11" t="s">
        <v>107</v>
      </c>
      <c r="U329" s="11" t="s">
        <v>108</v>
      </c>
      <c r="V329" s="11" t="s">
        <v>21</v>
      </c>
      <c r="W329" s="11" t="s">
        <v>1451</v>
      </c>
      <c r="X329" s="11" t="s">
        <v>25</v>
      </c>
      <c r="Y329" s="11" t="s">
        <v>24</v>
      </c>
      <c r="Z329" s="11" t="s">
        <v>1452</v>
      </c>
      <c r="AC329" s="11" t="s">
        <v>111</v>
      </c>
      <c r="AD329" s="11" t="s">
        <v>1359</v>
      </c>
      <c r="AE329" s="11" t="s">
        <v>1275</v>
      </c>
      <c r="AL329" s="11">
        <v>1</v>
      </c>
    </row>
    <row r="330" spans="2:63" x14ac:dyDescent="0.45">
      <c r="B330" s="11" t="s">
        <v>21</v>
      </c>
      <c r="C330" s="11" t="s">
        <v>23</v>
      </c>
      <c r="D330" s="11" t="s">
        <v>24</v>
      </c>
      <c r="E330" s="11" t="s">
        <v>25</v>
      </c>
      <c r="F330" s="11" t="s">
        <v>1476</v>
      </c>
      <c r="G330" s="11" t="s">
        <v>1477</v>
      </c>
      <c r="H330" s="11" t="s">
        <v>21</v>
      </c>
      <c r="I330" s="11" t="s">
        <v>1478</v>
      </c>
      <c r="J330" s="11" t="s">
        <v>452</v>
      </c>
      <c r="K330" s="11">
        <v>1</v>
      </c>
      <c r="L330" s="11" t="s">
        <v>1479</v>
      </c>
      <c r="M330" s="11" t="s">
        <v>1480</v>
      </c>
      <c r="Q330" s="11" t="s">
        <v>105</v>
      </c>
      <c r="R330" s="11" t="s">
        <v>106</v>
      </c>
      <c r="S330" s="11" t="s">
        <v>1584</v>
      </c>
      <c r="T330" s="11" t="s">
        <v>107</v>
      </c>
      <c r="U330" s="11" t="s">
        <v>108</v>
      </c>
      <c r="V330" s="11" t="s">
        <v>21</v>
      </c>
      <c r="W330" s="11" t="s">
        <v>1451</v>
      </c>
      <c r="X330" s="11" t="s">
        <v>25</v>
      </c>
      <c r="Y330" s="11" t="s">
        <v>24</v>
      </c>
      <c r="Z330" s="11" t="s">
        <v>1452</v>
      </c>
      <c r="AC330" s="11" t="s">
        <v>111</v>
      </c>
      <c r="AD330" s="11" t="s">
        <v>1359</v>
      </c>
      <c r="AE330" s="11" t="s">
        <v>352</v>
      </c>
      <c r="AL330" s="11">
        <v>1</v>
      </c>
      <c r="AU330" s="11">
        <v>1</v>
      </c>
      <c r="AZ330" s="11">
        <v>1</v>
      </c>
      <c r="BB330" s="11">
        <v>6</v>
      </c>
      <c r="BC330" s="11" t="s">
        <v>1479</v>
      </c>
    </row>
    <row r="331" spans="2:63" x14ac:dyDescent="0.45">
      <c r="B331" s="11" t="s">
        <v>21</v>
      </c>
      <c r="C331" s="11" t="s">
        <v>23</v>
      </c>
      <c r="D331" s="11" t="s">
        <v>24</v>
      </c>
      <c r="E331" s="11" t="s">
        <v>25</v>
      </c>
      <c r="F331" s="11" t="s">
        <v>1481</v>
      </c>
      <c r="G331" s="11" t="s">
        <v>1482</v>
      </c>
      <c r="H331" s="11" t="s">
        <v>21</v>
      </c>
      <c r="I331" s="11" t="s">
        <v>1483</v>
      </c>
      <c r="J331" s="11" t="s">
        <v>103</v>
      </c>
      <c r="K331" s="11">
        <v>1</v>
      </c>
      <c r="L331" s="11" t="s">
        <v>1484</v>
      </c>
      <c r="M331" s="11" t="s">
        <v>1485</v>
      </c>
      <c r="Q331" s="11" t="s">
        <v>105</v>
      </c>
      <c r="R331" s="11" t="s">
        <v>106</v>
      </c>
      <c r="S331" s="11" t="s">
        <v>1584</v>
      </c>
      <c r="T331" s="11" t="s">
        <v>107</v>
      </c>
      <c r="U331" s="11" t="s">
        <v>108</v>
      </c>
      <c r="V331" s="11" t="s">
        <v>21</v>
      </c>
      <c r="W331" s="11" t="s">
        <v>1451</v>
      </c>
      <c r="X331" s="11" t="s">
        <v>25</v>
      </c>
      <c r="Y331" s="11" t="s">
        <v>24</v>
      </c>
      <c r="Z331" s="11" t="s">
        <v>1452</v>
      </c>
      <c r="AC331" s="11" t="s">
        <v>111</v>
      </c>
      <c r="AD331" s="11" t="s">
        <v>1359</v>
      </c>
      <c r="AE331" s="11" t="s">
        <v>352</v>
      </c>
      <c r="AL331" s="11">
        <v>1</v>
      </c>
      <c r="AP331" s="11" t="s">
        <v>21</v>
      </c>
      <c r="AQ331" s="11" t="s">
        <v>1486</v>
      </c>
      <c r="AS331" s="11" t="s">
        <v>1484</v>
      </c>
      <c r="AT331" s="11">
        <v>1</v>
      </c>
    </row>
    <row r="332" spans="2:63" x14ac:dyDescent="0.45">
      <c r="B332" s="11" t="s">
        <v>21</v>
      </c>
      <c r="C332" s="11" t="s">
        <v>23</v>
      </c>
      <c r="D332" s="11" t="s">
        <v>24</v>
      </c>
      <c r="E332" s="11" t="s">
        <v>25</v>
      </c>
      <c r="F332" s="11" t="s">
        <v>1487</v>
      </c>
      <c r="G332" s="11" t="s">
        <v>1488</v>
      </c>
      <c r="H332" s="11" t="s">
        <v>21</v>
      </c>
      <c r="I332" s="11" t="s">
        <v>1182</v>
      </c>
      <c r="J332" s="11" t="s">
        <v>179</v>
      </c>
      <c r="K332" s="11">
        <v>2</v>
      </c>
      <c r="L332" s="11" t="s">
        <v>1489</v>
      </c>
      <c r="M332" s="11" t="s">
        <v>1184</v>
      </c>
      <c r="Q332" s="11" t="s">
        <v>105</v>
      </c>
      <c r="R332" s="11" t="s">
        <v>106</v>
      </c>
      <c r="S332" s="11" t="s">
        <v>1584</v>
      </c>
      <c r="T332" s="11" t="s">
        <v>107</v>
      </c>
      <c r="U332" s="11" t="s">
        <v>108</v>
      </c>
      <c r="V332" s="11" t="s">
        <v>21</v>
      </c>
      <c r="W332" s="11" t="s">
        <v>1451</v>
      </c>
      <c r="X332" s="11" t="s">
        <v>25</v>
      </c>
      <c r="Y332" s="11" t="s">
        <v>24</v>
      </c>
      <c r="Z332" s="11" t="s">
        <v>1452</v>
      </c>
      <c r="AC332" s="11" t="s">
        <v>111</v>
      </c>
      <c r="AD332" s="11" t="s">
        <v>1359</v>
      </c>
      <c r="AE332" s="11" t="s">
        <v>356</v>
      </c>
      <c r="AL332" s="11">
        <v>1</v>
      </c>
    </row>
    <row r="333" spans="2:63" x14ac:dyDescent="0.45">
      <c r="B333" s="11" t="s">
        <v>21</v>
      </c>
      <c r="C333" s="11" t="s">
        <v>23</v>
      </c>
      <c r="D333" s="11" t="s">
        <v>24</v>
      </c>
      <c r="E333" s="11" t="s">
        <v>25</v>
      </c>
      <c r="F333" s="11" t="s">
        <v>1490</v>
      </c>
      <c r="G333" s="11" t="s">
        <v>1491</v>
      </c>
      <c r="H333" s="11" t="s">
        <v>21</v>
      </c>
      <c r="I333" s="11" t="s">
        <v>1434</v>
      </c>
      <c r="J333" s="11" t="s">
        <v>1435</v>
      </c>
      <c r="K333" s="11">
        <v>1</v>
      </c>
      <c r="L333" s="11" t="s">
        <v>1492</v>
      </c>
      <c r="M333" s="11" t="s">
        <v>1437</v>
      </c>
      <c r="Q333" s="11" t="s">
        <v>105</v>
      </c>
      <c r="R333" s="11" t="s">
        <v>106</v>
      </c>
      <c r="S333" s="11" t="s">
        <v>1584</v>
      </c>
      <c r="T333" s="11" t="s">
        <v>107</v>
      </c>
      <c r="U333" s="11" t="s">
        <v>108</v>
      </c>
      <c r="V333" s="11" t="s">
        <v>21</v>
      </c>
      <c r="W333" s="11" t="s">
        <v>1451</v>
      </c>
      <c r="X333" s="11" t="s">
        <v>25</v>
      </c>
      <c r="Y333" s="11" t="s">
        <v>24</v>
      </c>
      <c r="Z333" s="11" t="s">
        <v>1452</v>
      </c>
      <c r="AC333" s="11" t="s">
        <v>111</v>
      </c>
      <c r="AD333" s="11" t="s">
        <v>1359</v>
      </c>
      <c r="AE333" s="11" t="s">
        <v>356</v>
      </c>
      <c r="AL333" s="11">
        <v>1</v>
      </c>
    </row>
    <row r="334" spans="2:63" x14ac:dyDescent="0.45">
      <c r="B334" s="11" t="s">
        <v>21</v>
      </c>
      <c r="C334" s="11" t="s">
        <v>23</v>
      </c>
      <c r="D334" s="11" t="s">
        <v>24</v>
      </c>
      <c r="E334" s="11" t="s">
        <v>25</v>
      </c>
      <c r="F334" s="11" t="s">
        <v>1493</v>
      </c>
      <c r="G334" s="11" t="s">
        <v>1494</v>
      </c>
      <c r="H334" s="11" t="s">
        <v>21</v>
      </c>
      <c r="I334" s="11" t="s">
        <v>1421</v>
      </c>
      <c r="J334" s="11" t="s">
        <v>1213</v>
      </c>
      <c r="K334" s="11">
        <v>2</v>
      </c>
      <c r="L334" s="11" t="s">
        <v>1495</v>
      </c>
      <c r="M334" s="11" t="s">
        <v>1422</v>
      </c>
      <c r="Q334" s="11" t="s">
        <v>105</v>
      </c>
      <c r="R334" s="11" t="s">
        <v>106</v>
      </c>
      <c r="S334" s="11" t="s">
        <v>1584</v>
      </c>
      <c r="T334" s="11" t="s">
        <v>107</v>
      </c>
      <c r="U334" s="11" t="s">
        <v>108</v>
      </c>
      <c r="V334" s="11" t="s">
        <v>21</v>
      </c>
      <c r="W334" s="11" t="s">
        <v>1451</v>
      </c>
      <c r="X334" s="11" t="s">
        <v>25</v>
      </c>
      <c r="Y334" s="11" t="s">
        <v>24</v>
      </c>
      <c r="Z334" s="11" t="s">
        <v>1452</v>
      </c>
      <c r="AC334" s="11" t="s">
        <v>111</v>
      </c>
      <c r="AD334" s="11" t="s">
        <v>1359</v>
      </c>
      <c r="AE334" s="11" t="s">
        <v>356</v>
      </c>
      <c r="AL334" s="11">
        <v>1</v>
      </c>
    </row>
    <row r="335" spans="2:63" x14ac:dyDescent="0.45">
      <c r="B335" s="11" t="s">
        <v>21</v>
      </c>
      <c r="C335" s="11" t="s">
        <v>23</v>
      </c>
      <c r="D335" s="11" t="s">
        <v>24</v>
      </c>
      <c r="E335" s="11" t="s">
        <v>25</v>
      </c>
      <c r="F335" s="11" t="s">
        <v>1496</v>
      </c>
      <c r="G335" s="11" t="s">
        <v>1497</v>
      </c>
      <c r="H335" s="11" t="s">
        <v>21</v>
      </c>
      <c r="I335" s="11" t="s">
        <v>1182</v>
      </c>
      <c r="J335" s="11" t="s">
        <v>179</v>
      </c>
      <c r="K335" s="11">
        <v>3</v>
      </c>
      <c r="L335" s="11" t="s">
        <v>1498</v>
      </c>
      <c r="M335" s="11" t="s">
        <v>1184</v>
      </c>
      <c r="Q335" s="11" t="s">
        <v>105</v>
      </c>
      <c r="R335" s="11" t="s">
        <v>106</v>
      </c>
      <c r="S335" s="11" t="s">
        <v>1584</v>
      </c>
      <c r="T335" s="11" t="s">
        <v>107</v>
      </c>
      <c r="U335" s="11" t="s">
        <v>108</v>
      </c>
      <c r="V335" s="11" t="s">
        <v>21</v>
      </c>
      <c r="W335" s="11" t="s">
        <v>1451</v>
      </c>
      <c r="X335" s="11" t="s">
        <v>25</v>
      </c>
      <c r="Y335" s="11" t="s">
        <v>24</v>
      </c>
      <c r="Z335" s="11" t="s">
        <v>1452</v>
      </c>
      <c r="AC335" s="11" t="s">
        <v>111</v>
      </c>
      <c r="AD335" s="11" t="s">
        <v>1359</v>
      </c>
      <c r="AE335" s="11" t="s">
        <v>356</v>
      </c>
      <c r="AL335" s="11">
        <v>1</v>
      </c>
    </row>
    <row r="336" spans="2:63" x14ac:dyDescent="0.45">
      <c r="B336" s="11" t="s">
        <v>21</v>
      </c>
      <c r="C336" s="11" t="s">
        <v>23</v>
      </c>
      <c r="D336" s="11" t="s">
        <v>24</v>
      </c>
      <c r="E336" s="11" t="s">
        <v>25</v>
      </c>
      <c r="F336" s="11" t="s">
        <v>1499</v>
      </c>
      <c r="G336" s="11" t="s">
        <v>1500</v>
      </c>
      <c r="H336" s="11" t="s">
        <v>21</v>
      </c>
      <c r="I336" s="11" t="s">
        <v>368</v>
      </c>
      <c r="J336" s="11" t="s">
        <v>369</v>
      </c>
      <c r="K336" s="11">
        <v>1</v>
      </c>
      <c r="L336" s="11" t="s">
        <v>1501</v>
      </c>
      <c r="M336" s="11" t="s">
        <v>371</v>
      </c>
      <c r="Q336" s="11" t="s">
        <v>105</v>
      </c>
      <c r="R336" s="11" t="s">
        <v>106</v>
      </c>
      <c r="S336" s="11" t="s">
        <v>1584</v>
      </c>
      <c r="T336" s="11" t="s">
        <v>107</v>
      </c>
      <c r="U336" s="11" t="s">
        <v>108</v>
      </c>
      <c r="V336" s="11" t="s">
        <v>21</v>
      </c>
      <c r="W336" s="11" t="s">
        <v>1451</v>
      </c>
      <c r="X336" s="11" t="s">
        <v>25</v>
      </c>
      <c r="Y336" s="11" t="s">
        <v>24</v>
      </c>
      <c r="Z336" s="11" t="s">
        <v>1452</v>
      </c>
      <c r="AC336" s="11" t="s">
        <v>111</v>
      </c>
      <c r="AD336" s="11" t="s">
        <v>1359</v>
      </c>
      <c r="AE336" s="11" t="s">
        <v>356</v>
      </c>
      <c r="AL336" s="11">
        <v>1</v>
      </c>
      <c r="AP336" s="11" t="s">
        <v>21</v>
      </c>
      <c r="AR336" s="11" t="s">
        <v>1447</v>
      </c>
      <c r="AS336" s="11" t="s">
        <v>1501</v>
      </c>
      <c r="AT336" s="11">
        <v>2</v>
      </c>
    </row>
    <row r="337" spans="2:53" x14ac:dyDescent="0.45">
      <c r="B337" s="11" t="s">
        <v>21</v>
      </c>
      <c r="C337" s="11" t="s">
        <v>23</v>
      </c>
      <c r="D337" s="11" t="s">
        <v>24</v>
      </c>
      <c r="E337" s="11" t="s">
        <v>25</v>
      </c>
      <c r="F337" s="11" t="s">
        <v>1502</v>
      </c>
      <c r="G337" s="11" t="s">
        <v>1503</v>
      </c>
      <c r="H337" s="11" t="s">
        <v>21</v>
      </c>
      <c r="I337" s="11" t="s">
        <v>1504</v>
      </c>
      <c r="J337" s="11" t="s">
        <v>277</v>
      </c>
      <c r="K337" s="11">
        <v>1</v>
      </c>
      <c r="L337" s="11" t="s">
        <v>1505</v>
      </c>
      <c r="M337" s="11" t="s">
        <v>1506</v>
      </c>
      <c r="Q337" s="11" t="s">
        <v>105</v>
      </c>
      <c r="R337" s="11" t="s">
        <v>106</v>
      </c>
      <c r="S337" s="11" t="s">
        <v>1584</v>
      </c>
      <c r="T337" s="11" t="s">
        <v>107</v>
      </c>
      <c r="U337" s="11" t="s">
        <v>108</v>
      </c>
      <c r="V337" s="11" t="s">
        <v>21</v>
      </c>
      <c r="W337" s="11" t="s">
        <v>1507</v>
      </c>
      <c r="X337" s="11" t="s">
        <v>24</v>
      </c>
      <c r="Y337" s="11" t="s">
        <v>24</v>
      </c>
      <c r="Z337" s="11" t="s">
        <v>1508</v>
      </c>
      <c r="AC337" s="11" t="s">
        <v>111</v>
      </c>
      <c r="AD337" s="11" t="s">
        <v>1394</v>
      </c>
      <c r="AE337" s="11" t="s">
        <v>356</v>
      </c>
      <c r="AL337" s="11">
        <v>1</v>
      </c>
    </row>
    <row r="338" spans="2:53" x14ac:dyDescent="0.45">
      <c r="B338" s="11" t="s">
        <v>21</v>
      </c>
      <c r="C338" s="11" t="s">
        <v>23</v>
      </c>
      <c r="D338" s="11" t="s">
        <v>24</v>
      </c>
      <c r="E338" s="11" t="s">
        <v>25</v>
      </c>
      <c r="F338" s="11" t="s">
        <v>1509</v>
      </c>
      <c r="G338" s="11" t="s">
        <v>1510</v>
      </c>
      <c r="H338" s="11" t="s">
        <v>21</v>
      </c>
      <c r="I338" s="11" t="s">
        <v>1511</v>
      </c>
      <c r="J338" s="11" t="s">
        <v>277</v>
      </c>
      <c r="K338" s="11">
        <v>1</v>
      </c>
      <c r="L338" s="11" t="s">
        <v>1512</v>
      </c>
      <c r="M338" s="11" t="s">
        <v>1513</v>
      </c>
      <c r="Q338" s="11" t="s">
        <v>105</v>
      </c>
      <c r="R338" s="11" t="s">
        <v>106</v>
      </c>
      <c r="S338" s="11" t="s">
        <v>1584</v>
      </c>
      <c r="T338" s="11" t="s">
        <v>107</v>
      </c>
      <c r="U338" s="11" t="s">
        <v>108</v>
      </c>
      <c r="V338" s="11" t="s">
        <v>21</v>
      </c>
      <c r="W338" s="11" t="s">
        <v>1507</v>
      </c>
      <c r="X338" s="11" t="s">
        <v>24</v>
      </c>
      <c r="Y338" s="11" t="s">
        <v>24</v>
      </c>
      <c r="Z338" s="11" t="s">
        <v>1508</v>
      </c>
      <c r="AC338" s="11" t="s">
        <v>111</v>
      </c>
      <c r="AD338" s="11" t="s">
        <v>1394</v>
      </c>
      <c r="AE338" s="11" t="s">
        <v>356</v>
      </c>
      <c r="AL338" s="11">
        <v>1</v>
      </c>
    </row>
    <row r="339" spans="2:53" x14ac:dyDescent="0.45">
      <c r="B339" s="11" t="s">
        <v>21</v>
      </c>
      <c r="C339" s="11" t="s">
        <v>23</v>
      </c>
      <c r="D339" s="11" t="s">
        <v>24</v>
      </c>
      <c r="E339" s="11" t="s">
        <v>25</v>
      </c>
      <c r="F339" s="11" t="s">
        <v>1514</v>
      </c>
      <c r="G339" s="11" t="s">
        <v>1515</v>
      </c>
      <c r="H339" s="11" t="s">
        <v>21</v>
      </c>
      <c r="I339" s="11" t="s">
        <v>1182</v>
      </c>
      <c r="J339" s="11" t="s">
        <v>179</v>
      </c>
      <c r="K339" s="11">
        <v>1</v>
      </c>
      <c r="L339" s="11" t="s">
        <v>1516</v>
      </c>
      <c r="M339" s="11" t="s">
        <v>1184</v>
      </c>
      <c r="Q339" s="11" t="s">
        <v>105</v>
      </c>
      <c r="R339" s="11" t="s">
        <v>106</v>
      </c>
      <c r="S339" s="11" t="s">
        <v>1584</v>
      </c>
      <c r="T339" s="11" t="s">
        <v>107</v>
      </c>
      <c r="U339" s="11" t="s">
        <v>108</v>
      </c>
      <c r="V339" s="11" t="s">
        <v>21</v>
      </c>
      <c r="W339" s="11" t="s">
        <v>1507</v>
      </c>
      <c r="X339" s="11" t="s">
        <v>24</v>
      </c>
      <c r="Y339" s="11" t="s">
        <v>24</v>
      </c>
      <c r="Z339" s="11" t="s">
        <v>1508</v>
      </c>
      <c r="AC339" s="11" t="s">
        <v>111</v>
      </c>
      <c r="AD339" s="11" t="s">
        <v>1394</v>
      </c>
      <c r="AE339" s="11" t="s">
        <v>356</v>
      </c>
      <c r="AL339" s="11">
        <v>1</v>
      </c>
    </row>
    <row r="340" spans="2:53" x14ac:dyDescent="0.45">
      <c r="B340" s="11" t="s">
        <v>21</v>
      </c>
      <c r="C340" s="11" t="s">
        <v>23</v>
      </c>
      <c r="D340" s="11" t="s">
        <v>24</v>
      </c>
      <c r="E340" s="11" t="s">
        <v>25</v>
      </c>
      <c r="F340" s="11" t="s">
        <v>1517</v>
      </c>
      <c r="G340" s="11" t="s">
        <v>1518</v>
      </c>
      <c r="H340" s="11" t="s">
        <v>21</v>
      </c>
      <c r="I340" s="11" t="s">
        <v>368</v>
      </c>
      <c r="J340" s="11" t="s">
        <v>369</v>
      </c>
      <c r="K340" s="11">
        <v>1</v>
      </c>
      <c r="L340" s="11" t="s">
        <v>1519</v>
      </c>
      <c r="M340" s="11" t="s">
        <v>371</v>
      </c>
      <c r="Q340" s="11" t="s">
        <v>105</v>
      </c>
      <c r="R340" s="11" t="s">
        <v>106</v>
      </c>
      <c r="S340" s="11" t="s">
        <v>1584</v>
      </c>
      <c r="T340" s="11" t="s">
        <v>107</v>
      </c>
      <c r="U340" s="11" t="s">
        <v>108</v>
      </c>
      <c r="V340" s="11" t="s">
        <v>21</v>
      </c>
      <c r="W340" s="11" t="s">
        <v>1507</v>
      </c>
      <c r="X340" s="11" t="s">
        <v>24</v>
      </c>
      <c r="Y340" s="11" t="s">
        <v>24</v>
      </c>
      <c r="Z340" s="11" t="s">
        <v>1508</v>
      </c>
      <c r="AC340" s="11" t="s">
        <v>111</v>
      </c>
      <c r="AD340" s="11" t="s">
        <v>1394</v>
      </c>
      <c r="AE340" s="11" t="s">
        <v>356</v>
      </c>
      <c r="AL340" s="11">
        <v>1</v>
      </c>
      <c r="AP340" s="11" t="s">
        <v>21</v>
      </c>
      <c r="AQ340" s="11" t="s">
        <v>1520</v>
      </c>
      <c r="AS340" s="11" t="s">
        <v>1519</v>
      </c>
      <c r="AT340" s="11">
        <v>2</v>
      </c>
    </row>
    <row r="341" spans="2:53" x14ac:dyDescent="0.45">
      <c r="B341" s="11" t="s">
        <v>21</v>
      </c>
      <c r="C341" s="11" t="s">
        <v>23</v>
      </c>
      <c r="D341" s="11" t="s">
        <v>24</v>
      </c>
      <c r="E341" s="11" t="s">
        <v>25</v>
      </c>
      <c r="F341" s="11" t="s">
        <v>1521</v>
      </c>
      <c r="G341" s="11" t="s">
        <v>1522</v>
      </c>
      <c r="H341" s="11" t="s">
        <v>21</v>
      </c>
      <c r="I341" s="11" t="s">
        <v>1523</v>
      </c>
      <c r="J341" s="11" t="s">
        <v>165</v>
      </c>
      <c r="K341" s="11">
        <v>1</v>
      </c>
      <c r="L341" s="11" t="s">
        <v>1524</v>
      </c>
      <c r="M341" s="11" t="s">
        <v>1525</v>
      </c>
      <c r="Q341" s="11" t="s">
        <v>105</v>
      </c>
      <c r="R341" s="11" t="s">
        <v>106</v>
      </c>
      <c r="S341" s="11" t="s">
        <v>1584</v>
      </c>
      <c r="T341" s="11" t="s">
        <v>107</v>
      </c>
      <c r="U341" s="11" t="s">
        <v>108</v>
      </c>
      <c r="V341" s="11" t="s">
        <v>21</v>
      </c>
      <c r="W341" s="11" t="s">
        <v>1526</v>
      </c>
      <c r="X341" s="11" t="s">
        <v>24</v>
      </c>
      <c r="Y341" s="11" t="s">
        <v>24</v>
      </c>
      <c r="Z341" s="11" t="s">
        <v>1527</v>
      </c>
      <c r="AC341" s="11" t="s">
        <v>111</v>
      </c>
      <c r="AD341" s="11" t="s">
        <v>1394</v>
      </c>
      <c r="AE341" s="11" t="s">
        <v>352</v>
      </c>
      <c r="AL341" s="11">
        <v>1</v>
      </c>
    </row>
    <row r="342" spans="2:53" x14ac:dyDescent="0.45">
      <c r="B342" s="11" t="s">
        <v>21</v>
      </c>
      <c r="C342" s="11" t="s">
        <v>23</v>
      </c>
      <c r="D342" s="11" t="s">
        <v>24</v>
      </c>
      <c r="E342" s="11" t="s">
        <v>25</v>
      </c>
      <c r="F342" s="11" t="s">
        <v>1528</v>
      </c>
      <c r="G342" s="11" t="s">
        <v>1529</v>
      </c>
      <c r="H342" s="11" t="s">
        <v>21</v>
      </c>
      <c r="I342" s="11" t="s">
        <v>1530</v>
      </c>
      <c r="J342" s="11" t="s">
        <v>1531</v>
      </c>
      <c r="K342" s="11">
        <v>1</v>
      </c>
      <c r="L342" s="11" t="s">
        <v>1532</v>
      </c>
      <c r="M342" s="11" t="s">
        <v>1533</v>
      </c>
      <c r="Q342" s="11" t="s">
        <v>105</v>
      </c>
      <c r="R342" s="11" t="s">
        <v>106</v>
      </c>
      <c r="S342" s="11" t="s">
        <v>1584</v>
      </c>
      <c r="T342" s="11" t="s">
        <v>107</v>
      </c>
      <c r="U342" s="11" t="s">
        <v>108</v>
      </c>
      <c r="V342" s="11" t="s">
        <v>21</v>
      </c>
      <c r="W342" s="11" t="s">
        <v>1534</v>
      </c>
      <c r="X342" s="11" t="s">
        <v>24</v>
      </c>
      <c r="Y342" s="11" t="s">
        <v>24</v>
      </c>
      <c r="Z342" s="11" t="s">
        <v>1535</v>
      </c>
      <c r="AC342" s="11" t="s">
        <v>111</v>
      </c>
      <c r="AD342" s="11" t="s">
        <v>1394</v>
      </c>
      <c r="AE342" s="11" t="s">
        <v>1536</v>
      </c>
      <c r="AL342" s="11">
        <v>1</v>
      </c>
      <c r="BA342" s="11">
        <v>1</v>
      </c>
    </row>
    <row r="343" spans="2:53" x14ac:dyDescent="0.45">
      <c r="B343" s="11" t="s">
        <v>21</v>
      </c>
      <c r="C343" s="11" t="s">
        <v>23</v>
      </c>
      <c r="D343" s="11" t="s">
        <v>24</v>
      </c>
      <c r="E343" s="11" t="s">
        <v>25</v>
      </c>
      <c r="F343" s="11" t="s">
        <v>1537</v>
      </c>
      <c r="G343" s="11" t="s">
        <v>1538</v>
      </c>
      <c r="H343" s="11" t="s">
        <v>21</v>
      </c>
      <c r="I343" s="11" t="s">
        <v>1539</v>
      </c>
      <c r="J343" s="11" t="s">
        <v>422</v>
      </c>
      <c r="K343" s="11">
        <v>1</v>
      </c>
      <c r="L343" s="11" t="s">
        <v>1540</v>
      </c>
      <c r="M343" s="11" t="s">
        <v>1541</v>
      </c>
      <c r="Q343" s="11" t="s">
        <v>105</v>
      </c>
      <c r="R343" s="11" t="s">
        <v>106</v>
      </c>
      <c r="S343" s="11" t="s">
        <v>1584</v>
      </c>
      <c r="T343" s="11" t="s">
        <v>107</v>
      </c>
      <c r="U343" s="11" t="s">
        <v>108</v>
      </c>
      <c r="V343" s="11" t="s">
        <v>21</v>
      </c>
      <c r="W343" s="11" t="s">
        <v>1534</v>
      </c>
      <c r="X343" s="11" t="s">
        <v>24</v>
      </c>
      <c r="Y343" s="11" t="s">
        <v>24</v>
      </c>
      <c r="Z343" s="11" t="s">
        <v>1535</v>
      </c>
      <c r="AC343" s="11" t="s">
        <v>111</v>
      </c>
      <c r="AD343" s="11" t="s">
        <v>1394</v>
      </c>
      <c r="AE343" s="11" t="s">
        <v>1536</v>
      </c>
      <c r="AL343" s="11">
        <v>1</v>
      </c>
      <c r="BA343" s="11">
        <v>1</v>
      </c>
    </row>
    <row r="344" spans="2:53" x14ac:dyDescent="0.45">
      <c r="B344" s="11" t="s">
        <v>21</v>
      </c>
      <c r="C344" s="11" t="s">
        <v>23</v>
      </c>
      <c r="D344" s="11" t="s">
        <v>24</v>
      </c>
      <c r="E344" s="11" t="s">
        <v>25</v>
      </c>
      <c r="F344" s="11" t="s">
        <v>1542</v>
      </c>
      <c r="G344" s="11" t="s">
        <v>1543</v>
      </c>
      <c r="H344" s="11" t="s">
        <v>21</v>
      </c>
      <c r="I344" s="11" t="s">
        <v>1544</v>
      </c>
      <c r="J344" s="11" t="s">
        <v>1545</v>
      </c>
      <c r="K344" s="11">
        <v>1</v>
      </c>
      <c r="L344" s="11" t="s">
        <v>1546</v>
      </c>
      <c r="M344" s="11" t="s">
        <v>1547</v>
      </c>
      <c r="Q344" s="11" t="s">
        <v>105</v>
      </c>
      <c r="R344" s="11" t="s">
        <v>106</v>
      </c>
      <c r="S344" s="11" t="s">
        <v>1584</v>
      </c>
      <c r="T344" s="11" t="s">
        <v>107</v>
      </c>
      <c r="U344" s="11" t="s">
        <v>108</v>
      </c>
      <c r="V344" s="11" t="s">
        <v>21</v>
      </c>
      <c r="W344" s="11" t="s">
        <v>1534</v>
      </c>
      <c r="X344" s="11" t="s">
        <v>24</v>
      </c>
      <c r="Y344" s="11" t="s">
        <v>24</v>
      </c>
      <c r="Z344" s="11" t="s">
        <v>1535</v>
      </c>
      <c r="AC344" s="11" t="s">
        <v>111</v>
      </c>
      <c r="AD344" s="11" t="s">
        <v>1394</v>
      </c>
      <c r="AE344" s="11" t="s">
        <v>1536</v>
      </c>
      <c r="AL344" s="11">
        <v>1</v>
      </c>
      <c r="BA344" s="11">
        <v>1</v>
      </c>
    </row>
    <row r="345" spans="2:53" x14ac:dyDescent="0.45">
      <c r="B345" s="11" t="s">
        <v>21</v>
      </c>
      <c r="C345" s="11" t="s">
        <v>23</v>
      </c>
      <c r="D345" s="11" t="s">
        <v>24</v>
      </c>
      <c r="E345" s="11" t="s">
        <v>25</v>
      </c>
      <c r="F345" s="11" t="s">
        <v>1548</v>
      </c>
      <c r="G345" s="11" t="s">
        <v>1549</v>
      </c>
      <c r="H345" s="11" t="s">
        <v>21</v>
      </c>
      <c r="I345" s="11">
        <v>799</v>
      </c>
      <c r="J345" s="11" t="s">
        <v>292</v>
      </c>
      <c r="K345" s="11">
        <v>1</v>
      </c>
      <c r="L345" s="11">
        <v>799</v>
      </c>
      <c r="M345" s="11" t="s">
        <v>1550</v>
      </c>
      <c r="Q345" s="11" t="s">
        <v>105</v>
      </c>
      <c r="R345" s="11" t="s">
        <v>106</v>
      </c>
      <c r="S345" s="11" t="s">
        <v>1584</v>
      </c>
      <c r="T345" s="11" t="s">
        <v>107</v>
      </c>
      <c r="U345" s="11" t="s">
        <v>108</v>
      </c>
      <c r="V345" s="11" t="s">
        <v>21</v>
      </c>
      <c r="W345" s="11" t="s">
        <v>1551</v>
      </c>
      <c r="X345" s="11" t="s">
        <v>24</v>
      </c>
      <c r="Y345" s="11" t="s">
        <v>24</v>
      </c>
      <c r="Z345" s="11" t="s">
        <v>1552</v>
      </c>
      <c r="AB345" s="11" t="s">
        <v>286</v>
      </c>
      <c r="AC345" s="11" t="s">
        <v>111</v>
      </c>
      <c r="AD345" s="11" t="s">
        <v>1553</v>
      </c>
      <c r="AE345" s="11" t="s">
        <v>1554</v>
      </c>
      <c r="AL345" s="11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24958-7210-48EA-BC1E-40BB02191914}">
  <sheetPr codeName="Sheet3"/>
  <dimension ref="A1:Y20"/>
  <sheetViews>
    <sheetView tabSelected="1" zoomScale="80" zoomScaleNormal="80" workbookViewId="0">
      <selection activeCell="H5" sqref="H5"/>
    </sheetView>
  </sheetViews>
  <sheetFormatPr defaultRowHeight="15" x14ac:dyDescent="0.45"/>
  <cols>
    <col min="1" max="1" width="24" style="1" bestFit="1" customWidth="1"/>
    <col min="2" max="2" width="24.69921875" style="1" bestFit="1" customWidth="1"/>
    <col min="3" max="17" width="8.796875" style="1"/>
    <col min="18" max="18" width="8.69921875" style="1" customWidth="1"/>
    <col min="19" max="16384" width="8.796875" style="1"/>
  </cols>
  <sheetData>
    <row r="1" spans="1:25" x14ac:dyDescent="0.45">
      <c r="A1" s="1" t="s">
        <v>1555</v>
      </c>
      <c r="B1" s="1" t="s">
        <v>48</v>
      </c>
      <c r="F1" s="1" t="s">
        <v>1585</v>
      </c>
      <c r="G1" s="1" t="str">
        <f>ADDRESS(MATCH($F$1,xTRIm!$A:$A,0),1,4)</f>
        <v>A9</v>
      </c>
      <c r="H1" s="1" t="s">
        <v>1593</v>
      </c>
      <c r="I1" s="1" t="str" cm="1">
        <f t="array" aca="1" ref="I1" ca="1">ADDRESS(MATCH($F$1,xTRIm!$A:$A,0)-(ROW(INDIRECT($G$1))-1),1,4)</f>
        <v>A1</v>
      </c>
      <c r="J1" s="1" t="str">
        <f ca="1">SUBSTITUTE(ADDRESS(1,MATCH($F$1,INDIRECT("xTRIm"&amp;"!"&amp;$G$1):INDIRECT("xTRIm"&amp;"!"&amp;$S$1),0),4),"1","")</f>
        <v>A</v>
      </c>
      <c r="K1" s="1" t="s">
        <v>1592</v>
      </c>
      <c r="L1" s="1" t="str" cm="1">
        <f t="array" aca="1" ref="L1" ca="1">"("&amp;ROW(INDIRECT("xTRIM"&amp;"!"&amp;$G$1))&amp;", "&amp;COLUMN(INDIRECT("xTRIm"&amp;"!"&amp;$G$1))&amp;")"</f>
        <v>(9, 1)</v>
      </c>
      <c r="M1" s="1" t="s">
        <v>1587</v>
      </c>
      <c r="N1" s="1" cm="1">
        <f t="array" aca="1" ref="N1" ca="1">ROW(INDIRECT("xTRIM"&amp;"!"&amp;$G$1))</f>
        <v>9</v>
      </c>
      <c r="O1" s="1" t="s">
        <v>1588</v>
      </c>
      <c r="P1" s="1" cm="1">
        <f t="array" aca="1" ref="P1" ca="1">COLUMN(INDIRECT("xTRIm"&amp;"!"&amp;$G$1))</f>
        <v>1</v>
      </c>
      <c r="Q1" s="1" t="s">
        <v>1590</v>
      </c>
      <c r="R1" s="1" t="s">
        <v>1591</v>
      </c>
      <c r="S1" s="1" t="str">
        <f ca="1">$R$1&amp;$N$1</f>
        <v>XFD9</v>
      </c>
      <c r="U1" s="1" t="str">
        <f>SUBSTITUTE(ADDRESS(1,MATCH($F$1,xTRIm!$9:$9,0),4),"1","")</f>
        <v>A</v>
      </c>
    </row>
    <row r="2" spans="1:25" x14ac:dyDescent="0.45">
      <c r="A2" s="1" t="s">
        <v>1557</v>
      </c>
      <c r="B2" s="1" t="s">
        <v>49</v>
      </c>
      <c r="F2" s="1" t="s">
        <v>1586</v>
      </c>
      <c r="G2" s="1" t="str">
        <f ca="1">ADDRESS(MATCH($F$1,xTRIm!$A:$A,0),MATCH($F$2,INDIRECT("xTRIm"&amp;"!"&amp;$G$1):INDIRECT("xTRIm"&amp;"!"&amp;$S$1),0),4)</f>
        <v>G9</v>
      </c>
      <c r="H2" s="1" t="s">
        <v>1593</v>
      </c>
      <c r="I2" s="1" t="str">
        <f ca="1">ADDRESS(1,MATCH($F$2,INDIRECT("xTRIm"&amp;"!"&amp;$G$1):INDIRECT("xTRIm"&amp;"!"&amp;$S$1),0),4)</f>
        <v>G1</v>
      </c>
      <c r="J2" s="12" t="str">
        <f ca="1">SUBSTITUTE(ADDRESS(1,MATCH($F$2,INDIRECT("xTRIm"&amp;"!"&amp;$G$1):INDIRECT("xTRIm"&amp;"!"&amp;$S$1),0),4),"1","")</f>
        <v>G</v>
      </c>
      <c r="K2" s="1" t="s">
        <v>1592</v>
      </c>
      <c r="L2" s="1" t="str" cm="1">
        <f t="array" aca="1" ref="L2" ca="1">"("&amp;ROW(INDIRECT("xTRIM"&amp;"!"&amp;$G$2))&amp;", "&amp;COLUMN(INDIRECT("xTRIm"&amp;"!"&amp;$G$2))&amp;")"</f>
        <v>(9, 7)</v>
      </c>
      <c r="M2" s="1" t="s">
        <v>1587</v>
      </c>
      <c r="N2" s="1" cm="1">
        <f t="array" aca="1" ref="N2" ca="1">ROW(INDIRECT("xTRIM"&amp;"!"&amp;$G$2))</f>
        <v>9</v>
      </c>
      <c r="O2" s="1" t="s">
        <v>1588</v>
      </c>
      <c r="P2" s="1" cm="1">
        <f t="array" aca="1" ref="P2" ca="1">COLUMN(INDIRECT("xTRIm"&amp;"!"&amp;$G$2))</f>
        <v>7</v>
      </c>
      <c r="Q2" s="1" t="s">
        <v>1590</v>
      </c>
      <c r="R2" s="1">
        <v>16384</v>
      </c>
      <c r="S2" s="1" t="str">
        <f ca="1">"("&amp;$R$2&amp;", "&amp;$P$1&amp;")"</f>
        <v>(16384, 1)</v>
      </c>
      <c r="U2" s="1" t="str">
        <f>SUBSTITUTE(ADDRESS(1,MATCH($F$2,xTRIm!$9:$9,0),4),"1","")</f>
        <v>G</v>
      </c>
    </row>
    <row r="3" spans="1:25" x14ac:dyDescent="0.45">
      <c r="A3" s="1" t="s">
        <v>1559</v>
      </c>
      <c r="B3" s="1" t="s">
        <v>50</v>
      </c>
      <c r="F3" s="1" t="s">
        <v>1595</v>
      </c>
      <c r="G3" s="1">
        <f ca="1">MATCH("",INDIRECT("xTRIm"&amp;"!"&amp;$I$2):INDIRECT("xTRIm"&amp;"!"&amp;$S$3),-1)</f>
        <v>345</v>
      </c>
      <c r="H3" s="1" t="s">
        <v>1597</v>
      </c>
      <c r="I3" s="1">
        <f>MATCH("",xTRIm!$G:$G,-1)</f>
        <v>345</v>
      </c>
      <c r="J3" s="1">
        <f ca="1">MATCH("",INDIRECT("xTRIm"&amp;"!"&amp;$I$2):INDIRECT("xTRIm"&amp;"!"&amp;$G$2),-1)</f>
        <v>9</v>
      </c>
      <c r="K3" s="1">
        <f ca="1">COUNTA(INDIRECT("xTRIm"&amp;"!"&amp;$I$2):INDIRECT("xTRIm"&amp;"!"&amp;$S$3))</f>
        <v>340</v>
      </c>
      <c r="L3" s="12"/>
      <c r="Q3" s="1" t="s">
        <v>1596</v>
      </c>
      <c r="R3" s="1">
        <v>1048576</v>
      </c>
      <c r="S3" s="1" t="str">
        <f ca="1">$J$2&amp;$R$3</f>
        <v>G1048576</v>
      </c>
    </row>
    <row r="4" spans="1:25" x14ac:dyDescent="0.45">
      <c r="A4" s="1" t="s">
        <v>1562</v>
      </c>
      <c r="B4" s="1" t="s">
        <v>60</v>
      </c>
      <c r="F4" s="13" t="s">
        <v>1589</v>
      </c>
      <c r="G4" s="14">
        <f ca="1">MATCH("",INDIRECT("xTRIm"&amp;"!"&amp;$G$1):INDIRECT("xTRIm"&amp;"!"&amp;$S$1),-1)</f>
        <v>63</v>
      </c>
      <c r="K4" s="1">
        <f ca="1">COUNTA(INDIRECT("xTRIm"&amp;"!"&amp;$G$1):INDIRECT("xTRIm"&amp;"!"&amp;$S$1))</f>
        <v>63</v>
      </c>
      <c r="Q4" s="1" t="s">
        <v>1596</v>
      </c>
      <c r="R4" s="1">
        <v>1048576</v>
      </c>
      <c r="S4" s="1" t="str">
        <f ca="1">"("&amp;$R$4&amp;", "&amp;$P$2&amp;")"</f>
        <v>(1048576, 7)</v>
      </c>
    </row>
    <row r="5" spans="1:25" x14ac:dyDescent="0.45">
      <c r="A5" s="1" t="s">
        <v>1561</v>
      </c>
      <c r="B5" s="1" t="s">
        <v>28</v>
      </c>
      <c r="F5" s="13" t="s">
        <v>1594</v>
      </c>
      <c r="G5" s="14">
        <f ca="1">COUNTA(INDIRECT("xTRIm"&amp;"!"&amp;$I$2):INDIRECT("xTRIm"&amp;"!"&amp;$S$3))-COUNTA(INDIRECT("xTRIm"&amp;"!"&amp;$I$2):INDIRECT("xTRIm"&amp;"!"&amp;$G$2))</f>
        <v>336</v>
      </c>
      <c r="K5" s="1">
        <f ca="1">$K$3-COUNTA(INDIRECT("xTRIm"&amp;"!"&amp;$I$2):INDIRECT("xTRIm"&amp;"!"&amp;$G$2))</f>
        <v>336</v>
      </c>
    </row>
    <row r="6" spans="1:25" x14ac:dyDescent="0.45">
      <c r="A6" s="1" t="s">
        <v>1572</v>
      </c>
      <c r="B6" s="1" t="s">
        <v>55</v>
      </c>
    </row>
    <row r="7" spans="1:25" x14ac:dyDescent="0.45">
      <c r="A7" s="1" t="s">
        <v>1573</v>
      </c>
      <c r="B7" s="1" t="s">
        <v>1577</v>
      </c>
    </row>
    <row r="8" spans="1:25" x14ac:dyDescent="0.45">
      <c r="A8" s="1" t="s">
        <v>1574</v>
      </c>
      <c r="B8" s="1" t="s">
        <v>26</v>
      </c>
    </row>
    <row r="9" spans="1:25" x14ac:dyDescent="0.45">
      <c r="A9" s="1" t="s">
        <v>1575</v>
      </c>
      <c r="B9" s="1" t="s">
        <v>57</v>
      </c>
    </row>
    <row r="10" spans="1:25" x14ac:dyDescent="0.45">
      <c r="A10" s="1" t="s">
        <v>1576</v>
      </c>
      <c r="B10" s="1" t="s">
        <v>58</v>
      </c>
    </row>
    <row r="11" spans="1:25" x14ac:dyDescent="0.45">
      <c r="A11" s="1" t="s">
        <v>1566</v>
      </c>
      <c r="B11" s="1" t="s">
        <v>97</v>
      </c>
    </row>
    <row r="12" spans="1:25" x14ac:dyDescent="0.45">
      <c r="A12" s="1" t="s">
        <v>1570</v>
      </c>
      <c r="B12" s="1" t="s">
        <v>98</v>
      </c>
      <c r="R12" s="1">
        <f ca="1">MATCH("",INDIRECT("xTRIm"&amp;"!"&amp;$I$2):INDIRECT("xTRIm"&amp;"!"&amp;$G$2),-1)</f>
        <v>9</v>
      </c>
      <c r="S12" s="1">
        <f>COUNTA(xTRIm!$G:$G)</f>
        <v>340</v>
      </c>
      <c r="V12" s="1" t="str" cm="1">
        <f t="array" aca="1" ref="V12" ca="1">INDIRECT("G1")</f>
        <v>A9</v>
      </c>
    </row>
    <row r="13" spans="1:25" x14ac:dyDescent="0.45">
      <c r="A13" s="1" t="s">
        <v>1564</v>
      </c>
      <c r="B13" s="1" t="s">
        <v>99</v>
      </c>
      <c r="S13" s="1">
        <f ca="1">COUNTA(INDIRECT("xTRIm"&amp;"!"&amp;$G$1):INDIRECT("xTRIm"&amp;"!"&amp;$S$1))</f>
        <v>63</v>
      </c>
      <c r="V13" s="1" t="str" cm="1">
        <f t="array" aca="1" ref="V13" ca="1">INDIRECT("G2")</f>
        <v>G9</v>
      </c>
    </row>
    <row r="14" spans="1:25" x14ac:dyDescent="0.45">
      <c r="A14" s="1" t="s">
        <v>1568</v>
      </c>
      <c r="B14" s="1" t="s">
        <v>100</v>
      </c>
      <c r="V14" s="1" cm="1">
        <f t="array" aca="1" ref="V14" ca="1">INDIRECT("N1")</f>
        <v>9</v>
      </c>
      <c r="W14" s="1" t="str" cm="1">
        <f t="array" aca="1" ref="W14" ca="1">INDIRECT(G1)</f>
        <v>Equipment No.</v>
      </c>
      <c r="X14" s="1" cm="1">
        <f t="array" aca="1" ref="X14" ca="1">ROW(INDIRECT(G1))</f>
        <v>9</v>
      </c>
    </row>
    <row r="15" spans="1:25" x14ac:dyDescent="0.45">
      <c r="A15" s="1" t="s">
        <v>1578</v>
      </c>
      <c r="B15" s="1" t="s">
        <v>69</v>
      </c>
      <c r="V15" s="1" cm="1">
        <f t="array" aca="1" ref="V15" ca="1">INDIRECT("N2")</f>
        <v>9</v>
      </c>
      <c r="W15" s="1" t="str" cm="1">
        <f t="array" aca="1" ref="W15" ca="1">INDIRECT("G1")</f>
        <v>A9</v>
      </c>
      <c r="X15" s="1" cm="1">
        <f t="array" aca="1" ref="X15" ca="1">ROW(INDIRECT("G1"))</f>
        <v>1</v>
      </c>
      <c r="Y15" s="1">
        <f>ROW(A9)</f>
        <v>9</v>
      </c>
    </row>
    <row r="17" spans="21:25" x14ac:dyDescent="0.45">
      <c r="V17" s="1" t="str" cm="1">
        <f t="array" aca="1" ref="V17" ca="1">INDIRECT("xTRIm"&amp;"!"&amp;ADDRESS(N2,P2,4))</f>
        <v>フロー連番</v>
      </c>
    </row>
    <row r="18" spans="21:25" x14ac:dyDescent="0.45">
      <c r="V18" s="1">
        <f ca="1">COUNTA(INDIRECT("xTRIm"&amp;"!"&amp;G1):INDIRECT("xTRIm"&amp;"!"&amp;S1))</f>
        <v>63</v>
      </c>
    </row>
    <row r="19" spans="21:25" x14ac:dyDescent="0.45">
      <c r="U19" s="1" t="s">
        <v>1590</v>
      </c>
      <c r="V19" s="1">
        <v>16384</v>
      </c>
      <c r="W19" s="1" t="str">
        <f>ADDRESS(MATCH($F$1,xTRIm!$A:$A,0),1,4)</f>
        <v>A9</v>
      </c>
      <c r="X19" s="1" t="str" cm="1">
        <f t="array" aca="1" ref="X19" ca="1">INDIRECT("S1")</f>
        <v>XFD9</v>
      </c>
    </row>
    <row r="20" spans="21:25" x14ac:dyDescent="0.45">
      <c r="Y20" s="1">
        <f>COUNTA(9:9)</f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xxx</vt:lpstr>
      <vt:lpstr>xTRIm</vt:lpstr>
      <vt:lpstr>Parameter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Ueno Yasumasa/上野 康正(MELCO/北伊丹 技開セ)</dc:creator>
  <cp:lastModifiedBy>Ueno Yasumasa/上野 康正(MELCO/北伊丹 技開セ)</cp:lastModifiedBy>
  <dcterms:created xsi:type="dcterms:W3CDTF">2024-04-24T00:33:21Z</dcterms:created>
  <dcterms:modified xsi:type="dcterms:W3CDTF">2024-05-13T09:04:14Z</dcterms:modified>
</cp:coreProperties>
</file>
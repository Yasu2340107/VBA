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q26871\Documents\05. Document\"/>
    </mc:Choice>
  </mc:AlternateContent>
  <xr:revisionPtr revIDLastSave="0" documentId="13_ncr:1_{C49A5EB6-0B2D-4AA7-B20C-67E656358546}" xr6:coauthVersionLast="47" xr6:coauthVersionMax="47" xr10:uidLastSave="{00000000-0000-0000-0000-000000000000}"/>
  <bookViews>
    <workbookView xWindow="0" yWindow="0" windowWidth="18514" windowHeight="11606" xr2:uid="{00000000-000D-0000-FFFF-FFFF00000000}"/>
  </bookViews>
  <sheets>
    <sheet name="List" sheetId="3" r:id="rId1"/>
    <sheet name="Data" sheetId="1" r:id="rId2"/>
    <sheet name="Sum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436" i="1" l="1"/>
  <c r="AQ436" i="1" s="1"/>
  <c r="AP435" i="1"/>
  <c r="AQ435" i="1" s="1"/>
  <c r="AP434" i="1"/>
  <c r="AQ434" i="1" s="1"/>
  <c r="AP433" i="1"/>
  <c r="AQ433" i="1" s="1"/>
  <c r="AP432" i="1"/>
  <c r="AQ432" i="1" s="1"/>
  <c r="AP431" i="1"/>
  <c r="AQ431" i="1" s="1"/>
  <c r="AP430" i="1"/>
  <c r="AQ430" i="1" s="1"/>
  <c r="AP429" i="1"/>
  <c r="AQ429" i="1" s="1"/>
  <c r="AP428" i="1"/>
  <c r="AQ428" i="1" s="1"/>
  <c r="AP427" i="1"/>
  <c r="AQ427" i="1" s="1"/>
  <c r="AP426" i="1"/>
  <c r="AQ426" i="1" s="1"/>
  <c r="AP425" i="1"/>
  <c r="AQ425" i="1" s="1"/>
  <c r="AP424" i="1"/>
  <c r="AQ424" i="1" s="1"/>
  <c r="AP423" i="1"/>
  <c r="AQ423" i="1" s="1"/>
  <c r="AP422" i="1"/>
  <c r="AQ422" i="1" s="1"/>
  <c r="AP421" i="1"/>
  <c r="AQ421" i="1" s="1"/>
  <c r="AP420" i="1"/>
  <c r="AQ420" i="1" s="1"/>
  <c r="AP419" i="1"/>
  <c r="AQ419" i="1" s="1"/>
  <c r="AP418" i="1"/>
  <c r="AQ418" i="1" s="1"/>
  <c r="AP417" i="1"/>
  <c r="AQ417" i="1" s="1"/>
  <c r="AP416" i="1"/>
  <c r="AQ416" i="1" s="1"/>
  <c r="AP415" i="1"/>
  <c r="AQ415" i="1" s="1"/>
  <c r="AP414" i="1"/>
  <c r="AQ414" i="1" s="1"/>
  <c r="AP413" i="1"/>
  <c r="AQ413" i="1" s="1"/>
  <c r="AP412" i="1"/>
  <c r="AQ412" i="1" s="1"/>
  <c r="AP411" i="1"/>
  <c r="AQ411" i="1" s="1"/>
  <c r="AP410" i="1"/>
  <c r="AQ410" i="1" s="1"/>
  <c r="AP409" i="1"/>
  <c r="AQ409" i="1" s="1"/>
  <c r="AP408" i="1"/>
  <c r="AQ408" i="1" s="1"/>
  <c r="AP407" i="1"/>
  <c r="AQ407" i="1" s="1"/>
  <c r="AP406" i="1"/>
  <c r="AQ406" i="1" s="1"/>
  <c r="AP405" i="1"/>
  <c r="AQ405" i="1" s="1"/>
  <c r="AP404" i="1"/>
  <c r="AQ404" i="1" s="1"/>
  <c r="AP403" i="1"/>
  <c r="AQ403" i="1" s="1"/>
  <c r="AP402" i="1"/>
  <c r="AQ402" i="1" s="1"/>
  <c r="AP401" i="1"/>
  <c r="AQ401" i="1" s="1"/>
  <c r="AP400" i="1"/>
  <c r="AQ400" i="1" s="1"/>
  <c r="AP399" i="1"/>
  <c r="AQ399" i="1" s="1"/>
  <c r="AP398" i="1"/>
  <c r="AQ398" i="1" s="1"/>
  <c r="AP397" i="1"/>
  <c r="AQ397" i="1" s="1"/>
  <c r="AP396" i="1"/>
  <c r="AQ396" i="1" s="1"/>
  <c r="AP395" i="1"/>
  <c r="AQ395" i="1" s="1"/>
  <c r="AP394" i="1"/>
  <c r="AQ394" i="1" s="1"/>
  <c r="AP393" i="1"/>
  <c r="AQ393" i="1" s="1"/>
  <c r="AP392" i="1"/>
  <c r="AQ392" i="1" s="1"/>
  <c r="AP391" i="1"/>
  <c r="AQ391" i="1" s="1"/>
  <c r="AP390" i="1"/>
  <c r="AQ390" i="1" s="1"/>
  <c r="AP389" i="1"/>
  <c r="AQ389" i="1" s="1"/>
  <c r="AP388" i="1"/>
  <c r="AQ388" i="1" s="1"/>
  <c r="AP387" i="1"/>
  <c r="AQ387" i="1" s="1"/>
  <c r="AP386" i="1"/>
  <c r="AQ386" i="1" s="1"/>
  <c r="AP385" i="1"/>
  <c r="AQ385" i="1" s="1"/>
  <c r="AP384" i="1"/>
  <c r="AQ384" i="1" s="1"/>
  <c r="AP383" i="1"/>
  <c r="AQ383" i="1" s="1"/>
  <c r="AP382" i="1"/>
  <c r="AQ382" i="1" s="1"/>
  <c r="AP381" i="1"/>
  <c r="AQ381" i="1" s="1"/>
  <c r="AP380" i="1"/>
  <c r="AQ380" i="1" s="1"/>
  <c r="AP379" i="1"/>
  <c r="AQ379" i="1" s="1"/>
  <c r="AP378" i="1"/>
  <c r="AQ378" i="1" s="1"/>
  <c r="AP377" i="1"/>
  <c r="AQ377" i="1" s="1"/>
  <c r="AP376" i="1"/>
  <c r="AQ376" i="1" s="1"/>
  <c r="AP375" i="1"/>
  <c r="AQ375" i="1" s="1"/>
  <c r="AP374" i="1"/>
  <c r="AQ374" i="1" s="1"/>
  <c r="AP373" i="1"/>
  <c r="AQ373" i="1" s="1"/>
  <c r="AP372" i="1"/>
  <c r="AQ372" i="1" s="1"/>
  <c r="AP371" i="1"/>
  <c r="AQ371" i="1" s="1"/>
  <c r="AP370" i="1"/>
  <c r="AQ370" i="1" s="1"/>
  <c r="AP369" i="1"/>
  <c r="AQ369" i="1" s="1"/>
  <c r="AP368" i="1"/>
  <c r="AQ368" i="1" s="1"/>
  <c r="AP367" i="1"/>
  <c r="AQ367" i="1" s="1"/>
  <c r="AP366" i="1"/>
  <c r="AQ366" i="1" s="1"/>
  <c r="AP365" i="1"/>
  <c r="AQ365" i="1" s="1"/>
  <c r="AP364" i="1"/>
  <c r="AQ364" i="1" s="1"/>
  <c r="AP363" i="1"/>
  <c r="AQ363" i="1" s="1"/>
  <c r="AP362" i="1"/>
  <c r="AQ362" i="1" s="1"/>
  <c r="AP361" i="1"/>
  <c r="AQ361" i="1" s="1"/>
  <c r="AP360" i="1"/>
  <c r="AQ360" i="1" s="1"/>
  <c r="AP359" i="1"/>
  <c r="AQ359" i="1" s="1"/>
  <c r="AP358" i="1"/>
  <c r="AQ358" i="1" s="1"/>
  <c r="AP357" i="1"/>
  <c r="AQ357" i="1" s="1"/>
  <c r="AP356" i="1"/>
  <c r="AQ356" i="1" s="1"/>
  <c r="AP355" i="1"/>
  <c r="AQ355" i="1" s="1"/>
  <c r="AP354" i="1"/>
  <c r="AQ354" i="1" s="1"/>
  <c r="AP353" i="1"/>
  <c r="AQ353" i="1" s="1"/>
  <c r="AP352" i="1"/>
  <c r="AQ352" i="1" s="1"/>
  <c r="AP351" i="1"/>
  <c r="AQ351" i="1" s="1"/>
  <c r="AP350" i="1"/>
  <c r="AQ350" i="1" s="1"/>
  <c r="AP349" i="1"/>
  <c r="AQ349" i="1" s="1"/>
  <c r="AP348" i="1"/>
  <c r="AQ348" i="1" s="1"/>
  <c r="AP347" i="1"/>
  <c r="AQ347" i="1" s="1"/>
  <c r="AP346" i="1"/>
  <c r="AQ346" i="1" s="1"/>
  <c r="AP345" i="1"/>
  <c r="AQ345" i="1" s="1"/>
  <c r="AP344" i="1"/>
  <c r="AQ344" i="1" s="1"/>
  <c r="AP343" i="1"/>
  <c r="AQ343" i="1" s="1"/>
  <c r="AP342" i="1"/>
  <c r="AQ342" i="1" s="1"/>
  <c r="AP341" i="1"/>
  <c r="AQ341" i="1" s="1"/>
  <c r="AP340" i="1"/>
  <c r="AQ340" i="1" s="1"/>
  <c r="AP339" i="1"/>
  <c r="AQ339" i="1" s="1"/>
  <c r="AP338" i="1"/>
  <c r="AQ338" i="1" s="1"/>
  <c r="AP337" i="1"/>
  <c r="AQ337" i="1" s="1"/>
  <c r="AP336" i="1"/>
  <c r="AQ336" i="1" s="1"/>
  <c r="AP335" i="1"/>
  <c r="AQ335" i="1" s="1"/>
  <c r="AP334" i="1"/>
  <c r="AQ334" i="1" s="1"/>
  <c r="AP333" i="1"/>
  <c r="AQ333" i="1" s="1"/>
  <c r="AP332" i="1"/>
  <c r="AQ332" i="1" s="1"/>
  <c r="AP331" i="1"/>
  <c r="AQ331" i="1" s="1"/>
  <c r="AP330" i="1"/>
  <c r="AQ330" i="1" s="1"/>
  <c r="AP329" i="1"/>
  <c r="AQ329" i="1" s="1"/>
  <c r="AP328" i="1"/>
  <c r="AQ328" i="1" s="1"/>
  <c r="AP327" i="1"/>
  <c r="AQ327" i="1" s="1"/>
  <c r="AP326" i="1"/>
  <c r="AQ326" i="1" s="1"/>
  <c r="AP325" i="1"/>
  <c r="AQ325" i="1" s="1"/>
  <c r="AP324" i="1"/>
  <c r="AQ324" i="1" s="1"/>
  <c r="AP323" i="1"/>
  <c r="AQ323" i="1" s="1"/>
  <c r="AP322" i="1"/>
  <c r="AQ322" i="1" s="1"/>
  <c r="AP321" i="1"/>
  <c r="AQ321" i="1" s="1"/>
  <c r="AP320" i="1"/>
  <c r="AQ320" i="1" s="1"/>
  <c r="AP319" i="1"/>
  <c r="AQ319" i="1" s="1"/>
  <c r="AP318" i="1"/>
  <c r="AQ318" i="1" s="1"/>
  <c r="AP317" i="1"/>
  <c r="AQ317" i="1" s="1"/>
  <c r="AP316" i="1"/>
  <c r="AQ316" i="1" s="1"/>
  <c r="AP315" i="1"/>
  <c r="AQ315" i="1" s="1"/>
  <c r="AP314" i="1"/>
  <c r="AQ314" i="1" s="1"/>
  <c r="AP313" i="1"/>
  <c r="AQ313" i="1" s="1"/>
  <c r="AP312" i="1"/>
  <c r="AQ312" i="1" s="1"/>
  <c r="AP311" i="1"/>
  <c r="AQ311" i="1" s="1"/>
  <c r="AP310" i="1"/>
  <c r="AQ310" i="1" s="1"/>
  <c r="AP309" i="1"/>
  <c r="AQ309" i="1" s="1"/>
  <c r="AP308" i="1"/>
  <c r="AQ308" i="1" s="1"/>
  <c r="AP307" i="1"/>
  <c r="AQ307" i="1" s="1"/>
  <c r="AP306" i="1"/>
  <c r="AQ306" i="1" s="1"/>
  <c r="AP305" i="1"/>
  <c r="AQ305" i="1" s="1"/>
  <c r="AP304" i="1"/>
  <c r="AQ304" i="1" s="1"/>
  <c r="AP303" i="1"/>
  <c r="AQ303" i="1" s="1"/>
  <c r="AP302" i="1"/>
  <c r="AQ302" i="1" s="1"/>
  <c r="AP301" i="1"/>
  <c r="AQ301" i="1" s="1"/>
  <c r="AP300" i="1"/>
  <c r="AQ300" i="1" s="1"/>
  <c r="AP299" i="1"/>
  <c r="AQ299" i="1" s="1"/>
  <c r="AP298" i="1"/>
  <c r="AQ298" i="1" s="1"/>
  <c r="AP297" i="1"/>
  <c r="AQ297" i="1" s="1"/>
  <c r="AP296" i="1"/>
  <c r="AQ296" i="1" s="1"/>
  <c r="AP295" i="1"/>
  <c r="AQ295" i="1" s="1"/>
  <c r="AP294" i="1"/>
  <c r="AQ294" i="1" s="1"/>
  <c r="AP293" i="1"/>
  <c r="AQ293" i="1" s="1"/>
  <c r="AP292" i="1"/>
  <c r="AQ292" i="1" s="1"/>
  <c r="AP291" i="1"/>
  <c r="AQ291" i="1" s="1"/>
  <c r="AP290" i="1"/>
  <c r="AQ290" i="1" s="1"/>
  <c r="AP289" i="1"/>
  <c r="AQ289" i="1" s="1"/>
  <c r="AP288" i="1"/>
  <c r="AQ288" i="1" s="1"/>
  <c r="AP287" i="1"/>
  <c r="AQ287" i="1" s="1"/>
  <c r="AP286" i="1"/>
  <c r="AQ286" i="1" s="1"/>
  <c r="AP285" i="1"/>
  <c r="AQ285" i="1" s="1"/>
  <c r="AP284" i="1"/>
  <c r="AQ284" i="1" s="1"/>
  <c r="AP283" i="1"/>
  <c r="AQ283" i="1" s="1"/>
  <c r="AP282" i="1"/>
  <c r="AQ282" i="1" s="1"/>
  <c r="AP281" i="1"/>
  <c r="AQ281" i="1" s="1"/>
  <c r="AP280" i="1"/>
  <c r="AQ280" i="1" s="1"/>
  <c r="AP279" i="1"/>
  <c r="AQ279" i="1" s="1"/>
  <c r="AP278" i="1"/>
  <c r="AQ278" i="1" s="1"/>
  <c r="AP277" i="1"/>
  <c r="AQ277" i="1" s="1"/>
  <c r="AP276" i="1"/>
  <c r="AQ276" i="1" s="1"/>
  <c r="AP275" i="1"/>
  <c r="AQ275" i="1" s="1"/>
  <c r="AP274" i="1"/>
  <c r="AQ274" i="1" s="1"/>
  <c r="AP273" i="1"/>
  <c r="AQ273" i="1" s="1"/>
  <c r="AP272" i="1"/>
  <c r="AQ272" i="1" s="1"/>
  <c r="AP271" i="1"/>
  <c r="AQ271" i="1" s="1"/>
  <c r="AP270" i="1"/>
  <c r="AQ270" i="1" s="1"/>
  <c r="AP269" i="1"/>
  <c r="AQ269" i="1" s="1"/>
  <c r="AP268" i="1"/>
  <c r="AQ268" i="1" s="1"/>
  <c r="AP267" i="1"/>
  <c r="AQ267" i="1" s="1"/>
  <c r="AP266" i="1"/>
  <c r="AQ266" i="1" s="1"/>
  <c r="AP265" i="1"/>
  <c r="AQ265" i="1" s="1"/>
  <c r="AP264" i="1"/>
  <c r="AQ264" i="1" s="1"/>
  <c r="AP263" i="1"/>
  <c r="AQ263" i="1" s="1"/>
  <c r="AP262" i="1"/>
  <c r="AQ262" i="1" s="1"/>
  <c r="AP261" i="1"/>
  <c r="AQ261" i="1" s="1"/>
  <c r="AP260" i="1"/>
  <c r="AQ260" i="1" s="1"/>
  <c r="AP259" i="1"/>
  <c r="AQ259" i="1" s="1"/>
  <c r="AP258" i="1"/>
  <c r="AQ258" i="1" s="1"/>
  <c r="AP257" i="1"/>
  <c r="AQ257" i="1" s="1"/>
  <c r="AP256" i="1"/>
  <c r="AQ256" i="1" s="1"/>
  <c r="AP255" i="1"/>
  <c r="AQ255" i="1" s="1"/>
  <c r="AP254" i="1"/>
  <c r="AQ254" i="1" s="1"/>
  <c r="AP253" i="1"/>
  <c r="AQ253" i="1" s="1"/>
  <c r="AP252" i="1"/>
  <c r="AQ252" i="1" s="1"/>
  <c r="AP251" i="1"/>
  <c r="AQ251" i="1" s="1"/>
  <c r="AP250" i="1"/>
  <c r="AQ250" i="1" s="1"/>
  <c r="AP249" i="1"/>
  <c r="AQ249" i="1" s="1"/>
  <c r="AP248" i="1"/>
  <c r="AQ248" i="1" s="1"/>
  <c r="AP247" i="1"/>
  <c r="AQ247" i="1" s="1"/>
  <c r="AP246" i="1"/>
  <c r="AQ246" i="1" s="1"/>
  <c r="AP245" i="1"/>
  <c r="AQ245" i="1" s="1"/>
  <c r="AP244" i="1"/>
  <c r="AQ244" i="1" s="1"/>
  <c r="AP243" i="1"/>
  <c r="AQ243" i="1" s="1"/>
  <c r="AP242" i="1"/>
  <c r="AQ242" i="1" s="1"/>
  <c r="AP241" i="1"/>
  <c r="AQ241" i="1" s="1"/>
  <c r="AP240" i="1"/>
  <c r="AQ240" i="1" s="1"/>
  <c r="AP239" i="1"/>
  <c r="AQ239" i="1" s="1"/>
  <c r="AP238" i="1"/>
  <c r="AQ238" i="1" s="1"/>
  <c r="AP237" i="1"/>
  <c r="AQ237" i="1" s="1"/>
  <c r="AP236" i="1"/>
  <c r="AQ236" i="1" s="1"/>
  <c r="AP235" i="1"/>
  <c r="AQ235" i="1" s="1"/>
  <c r="AP234" i="1"/>
  <c r="AQ234" i="1" s="1"/>
  <c r="AP233" i="1"/>
  <c r="AQ233" i="1" s="1"/>
  <c r="AP232" i="1"/>
  <c r="AQ232" i="1" s="1"/>
  <c r="AP231" i="1"/>
  <c r="AQ231" i="1" s="1"/>
  <c r="AP230" i="1"/>
  <c r="AQ230" i="1" s="1"/>
  <c r="AP229" i="1"/>
  <c r="AQ229" i="1" s="1"/>
  <c r="AP228" i="1"/>
  <c r="AQ228" i="1" s="1"/>
  <c r="AP227" i="1"/>
  <c r="AQ227" i="1" s="1"/>
  <c r="AP226" i="1"/>
  <c r="AQ226" i="1" s="1"/>
  <c r="AP225" i="1"/>
  <c r="AQ225" i="1" s="1"/>
  <c r="AP224" i="1"/>
  <c r="AQ224" i="1" s="1"/>
  <c r="AP223" i="1"/>
  <c r="AQ223" i="1" s="1"/>
  <c r="AP222" i="1"/>
  <c r="AQ222" i="1" s="1"/>
  <c r="AP221" i="1"/>
  <c r="AQ221" i="1" s="1"/>
  <c r="AP220" i="1"/>
  <c r="AQ220" i="1" s="1"/>
  <c r="AP219" i="1"/>
  <c r="AQ219" i="1" s="1"/>
  <c r="AP218" i="1"/>
  <c r="AQ218" i="1" s="1"/>
  <c r="AP217" i="1"/>
  <c r="AQ217" i="1" s="1"/>
  <c r="AP216" i="1"/>
  <c r="AQ216" i="1" s="1"/>
  <c r="AP215" i="1"/>
  <c r="AQ215" i="1" s="1"/>
  <c r="AP214" i="1"/>
  <c r="AQ214" i="1" s="1"/>
  <c r="AP213" i="1"/>
  <c r="AQ213" i="1" s="1"/>
  <c r="AP212" i="1"/>
  <c r="AQ212" i="1" s="1"/>
  <c r="AP211" i="1"/>
  <c r="AQ211" i="1" s="1"/>
  <c r="AP210" i="1"/>
  <c r="AQ210" i="1" s="1"/>
  <c r="AP209" i="1"/>
  <c r="AQ209" i="1" s="1"/>
  <c r="AP208" i="1"/>
  <c r="AQ208" i="1" s="1"/>
  <c r="AP207" i="1"/>
  <c r="AQ207" i="1" s="1"/>
  <c r="AP206" i="1"/>
  <c r="AQ206" i="1" s="1"/>
  <c r="AP205" i="1"/>
  <c r="AQ205" i="1" s="1"/>
  <c r="AP204" i="1"/>
  <c r="AQ204" i="1" s="1"/>
  <c r="AP203" i="1"/>
  <c r="AQ203" i="1" s="1"/>
  <c r="AP202" i="1"/>
  <c r="AQ202" i="1" s="1"/>
  <c r="AP201" i="1"/>
  <c r="AQ201" i="1" s="1"/>
  <c r="AP200" i="1"/>
  <c r="AQ200" i="1" s="1"/>
  <c r="AP199" i="1"/>
  <c r="AQ199" i="1" s="1"/>
  <c r="AP198" i="1"/>
  <c r="AQ198" i="1" s="1"/>
  <c r="AP197" i="1"/>
  <c r="AQ197" i="1" s="1"/>
  <c r="AP196" i="1"/>
  <c r="AQ196" i="1" s="1"/>
  <c r="AP195" i="1"/>
  <c r="AQ195" i="1" s="1"/>
  <c r="AP194" i="1"/>
  <c r="AQ194" i="1" s="1"/>
  <c r="AP193" i="1"/>
  <c r="AQ193" i="1" s="1"/>
  <c r="AP192" i="1"/>
  <c r="AQ192" i="1" s="1"/>
  <c r="AP191" i="1"/>
  <c r="AQ191" i="1" s="1"/>
  <c r="AP190" i="1"/>
  <c r="AQ190" i="1" s="1"/>
  <c r="AP189" i="1"/>
  <c r="AQ189" i="1" s="1"/>
  <c r="AP188" i="1"/>
  <c r="AQ188" i="1" s="1"/>
  <c r="AP187" i="1"/>
  <c r="AQ187" i="1" s="1"/>
  <c r="AP186" i="1"/>
  <c r="AQ186" i="1" s="1"/>
  <c r="AP185" i="1"/>
  <c r="AQ185" i="1" s="1"/>
  <c r="AP184" i="1"/>
  <c r="AQ184" i="1" s="1"/>
  <c r="AP183" i="1"/>
  <c r="AQ183" i="1" s="1"/>
  <c r="AP182" i="1"/>
  <c r="AQ182" i="1" s="1"/>
  <c r="AP181" i="1"/>
  <c r="AQ181" i="1" s="1"/>
  <c r="AP180" i="1"/>
  <c r="AQ180" i="1" s="1"/>
  <c r="AP179" i="1"/>
  <c r="AQ179" i="1" s="1"/>
  <c r="AP178" i="1"/>
  <c r="AQ178" i="1" s="1"/>
  <c r="AP177" i="1"/>
  <c r="AQ177" i="1" s="1"/>
  <c r="AP176" i="1"/>
  <c r="AQ176" i="1" s="1"/>
  <c r="AP175" i="1"/>
  <c r="AQ175" i="1" s="1"/>
  <c r="AP174" i="1"/>
  <c r="AQ174" i="1" s="1"/>
  <c r="AP173" i="1"/>
  <c r="AQ173" i="1" s="1"/>
  <c r="AP172" i="1"/>
  <c r="AQ172" i="1" s="1"/>
  <c r="AP171" i="1"/>
  <c r="AQ171" i="1" s="1"/>
  <c r="AP170" i="1"/>
  <c r="AQ170" i="1" s="1"/>
  <c r="AP169" i="1"/>
  <c r="AQ169" i="1" s="1"/>
  <c r="AP168" i="1"/>
  <c r="AQ168" i="1" s="1"/>
  <c r="AP167" i="1"/>
  <c r="AQ167" i="1" s="1"/>
  <c r="AP166" i="1"/>
  <c r="AQ166" i="1" s="1"/>
  <c r="AP165" i="1"/>
  <c r="AQ165" i="1" s="1"/>
  <c r="AP164" i="1"/>
  <c r="AQ164" i="1" s="1"/>
  <c r="AP163" i="1"/>
  <c r="AQ163" i="1" s="1"/>
  <c r="AP162" i="1"/>
  <c r="AQ162" i="1" s="1"/>
  <c r="AP161" i="1"/>
  <c r="AQ161" i="1" s="1"/>
  <c r="AP160" i="1"/>
  <c r="AQ160" i="1" s="1"/>
  <c r="AP159" i="1"/>
  <c r="AQ159" i="1" s="1"/>
  <c r="AP158" i="1"/>
  <c r="AQ158" i="1" s="1"/>
  <c r="AP157" i="1"/>
  <c r="AQ157" i="1" s="1"/>
  <c r="AP156" i="1"/>
  <c r="AQ156" i="1" s="1"/>
  <c r="AP155" i="1"/>
  <c r="AQ155" i="1" s="1"/>
  <c r="AP154" i="1"/>
  <c r="AQ154" i="1" s="1"/>
  <c r="AP153" i="1"/>
  <c r="AQ153" i="1" s="1"/>
  <c r="AP152" i="1"/>
  <c r="AQ152" i="1" s="1"/>
  <c r="AP151" i="1"/>
  <c r="AQ151" i="1" s="1"/>
  <c r="AP150" i="1"/>
  <c r="AQ150" i="1" s="1"/>
  <c r="AP149" i="1"/>
  <c r="AQ149" i="1" s="1"/>
  <c r="AP148" i="1"/>
  <c r="AQ148" i="1" s="1"/>
  <c r="AP147" i="1"/>
  <c r="AQ147" i="1" s="1"/>
  <c r="AP146" i="1"/>
  <c r="AQ146" i="1" s="1"/>
  <c r="AP145" i="1"/>
  <c r="AQ145" i="1" s="1"/>
  <c r="AP144" i="1"/>
  <c r="AQ144" i="1" s="1"/>
  <c r="AP143" i="1"/>
  <c r="AQ143" i="1" s="1"/>
  <c r="AP142" i="1"/>
  <c r="AQ142" i="1" s="1"/>
  <c r="AP141" i="1"/>
  <c r="AQ141" i="1" s="1"/>
  <c r="AP140" i="1"/>
  <c r="AQ140" i="1" s="1"/>
  <c r="AP139" i="1"/>
  <c r="AQ139" i="1" s="1"/>
  <c r="AP138" i="1"/>
  <c r="AQ138" i="1" s="1"/>
  <c r="AP137" i="1"/>
  <c r="AQ137" i="1" s="1"/>
  <c r="AP136" i="1"/>
  <c r="AQ136" i="1" s="1"/>
  <c r="AP135" i="1"/>
  <c r="AQ135" i="1" s="1"/>
  <c r="AP134" i="1"/>
  <c r="AQ134" i="1" s="1"/>
  <c r="AP133" i="1"/>
  <c r="AQ133" i="1" s="1"/>
  <c r="AP132" i="1"/>
  <c r="AQ132" i="1" s="1"/>
  <c r="AP131" i="1"/>
  <c r="AQ131" i="1" s="1"/>
  <c r="AP130" i="1"/>
  <c r="AQ130" i="1" s="1"/>
  <c r="AP129" i="1"/>
  <c r="AQ129" i="1" s="1"/>
  <c r="AP128" i="1"/>
  <c r="AQ128" i="1" s="1"/>
  <c r="AP127" i="1"/>
  <c r="AQ127" i="1" s="1"/>
  <c r="AP126" i="1"/>
  <c r="AQ126" i="1" s="1"/>
  <c r="AP125" i="1"/>
  <c r="AQ125" i="1" s="1"/>
  <c r="AP124" i="1"/>
  <c r="AQ124" i="1" s="1"/>
  <c r="AP115" i="1"/>
  <c r="AQ115" i="1" s="1"/>
  <c r="AP114" i="1"/>
  <c r="AQ114" i="1" s="1"/>
  <c r="AP113" i="1"/>
  <c r="AQ113" i="1" s="1"/>
  <c r="AP112" i="1"/>
  <c r="AQ112" i="1" s="1"/>
  <c r="AP111" i="1"/>
  <c r="AQ111" i="1" s="1"/>
  <c r="AP110" i="1"/>
  <c r="AQ110" i="1" s="1"/>
  <c r="AP109" i="1"/>
  <c r="AQ109" i="1" s="1"/>
  <c r="AP108" i="1"/>
  <c r="AQ108" i="1" s="1"/>
  <c r="AP107" i="1"/>
  <c r="AQ107" i="1" s="1"/>
  <c r="AP106" i="1"/>
  <c r="AQ106" i="1" s="1"/>
  <c r="AP105" i="1"/>
  <c r="AQ105" i="1" s="1"/>
  <c r="AP104" i="1"/>
  <c r="AQ104" i="1" s="1"/>
  <c r="AP103" i="1"/>
  <c r="AQ103" i="1" s="1"/>
  <c r="AP102" i="1"/>
  <c r="AQ102" i="1" s="1"/>
  <c r="AP101" i="1"/>
  <c r="AQ101" i="1" s="1"/>
  <c r="AP100" i="1"/>
  <c r="AQ100" i="1" s="1"/>
  <c r="AP99" i="1"/>
  <c r="AQ99" i="1" s="1"/>
  <c r="AP98" i="1"/>
  <c r="AQ98" i="1" s="1"/>
  <c r="AP97" i="1"/>
  <c r="AQ97" i="1" s="1"/>
  <c r="AP96" i="1"/>
  <c r="AQ96" i="1" s="1"/>
  <c r="AP95" i="1"/>
  <c r="AQ95" i="1" s="1"/>
  <c r="AP94" i="1"/>
  <c r="AQ94" i="1" s="1"/>
  <c r="AP93" i="1"/>
  <c r="AQ93" i="1" s="1"/>
  <c r="AP92" i="1"/>
  <c r="AQ92" i="1" s="1"/>
  <c r="AP91" i="1"/>
  <c r="AQ91" i="1" s="1"/>
  <c r="AP90" i="1"/>
  <c r="AQ90" i="1" s="1"/>
  <c r="AP89" i="1"/>
  <c r="AQ89" i="1" s="1"/>
  <c r="AP88" i="1"/>
  <c r="AQ88" i="1" s="1"/>
  <c r="AP87" i="1"/>
  <c r="AQ87" i="1" s="1"/>
  <c r="AP86" i="1"/>
  <c r="AQ86" i="1" s="1"/>
  <c r="AP85" i="1"/>
  <c r="AQ85" i="1" s="1"/>
  <c r="AP84" i="1"/>
  <c r="AQ84" i="1" s="1"/>
  <c r="AP83" i="1"/>
  <c r="AQ83" i="1" s="1"/>
  <c r="AP82" i="1"/>
  <c r="AQ82" i="1" s="1"/>
  <c r="AP81" i="1"/>
  <c r="AQ81" i="1" s="1"/>
  <c r="AP80" i="1"/>
  <c r="AQ80" i="1" s="1"/>
  <c r="AP79" i="1"/>
  <c r="AQ79" i="1" s="1"/>
  <c r="AP78" i="1"/>
  <c r="AQ78" i="1" s="1"/>
  <c r="AP77" i="1"/>
  <c r="AQ77" i="1" s="1"/>
  <c r="AP76" i="1"/>
  <c r="AQ76" i="1" s="1"/>
  <c r="AP75" i="1"/>
  <c r="AQ75" i="1" s="1"/>
  <c r="AP74" i="1"/>
  <c r="AQ74" i="1" s="1"/>
  <c r="AP73" i="1"/>
  <c r="AQ73" i="1" s="1"/>
  <c r="AP72" i="1"/>
  <c r="AQ72" i="1" s="1"/>
  <c r="AP71" i="1"/>
  <c r="AQ71" i="1" s="1"/>
  <c r="AP70" i="1"/>
  <c r="AQ70" i="1" s="1"/>
  <c r="AP69" i="1"/>
  <c r="AQ69" i="1" s="1"/>
  <c r="AP68" i="1"/>
  <c r="AQ68" i="1" s="1"/>
  <c r="AP67" i="1"/>
  <c r="AQ67" i="1" s="1"/>
  <c r="AP66" i="1"/>
  <c r="AQ66" i="1" s="1"/>
  <c r="AP65" i="1"/>
  <c r="AQ65" i="1" s="1"/>
  <c r="AP64" i="1"/>
  <c r="AQ64" i="1" s="1"/>
  <c r="AP63" i="1"/>
  <c r="AQ63" i="1" s="1"/>
  <c r="AP62" i="1"/>
  <c r="AQ62" i="1" s="1"/>
  <c r="AP61" i="1"/>
  <c r="AQ61" i="1" s="1"/>
  <c r="AP60" i="1"/>
  <c r="AQ60" i="1" s="1"/>
  <c r="AP59" i="1"/>
  <c r="AQ59" i="1" s="1"/>
  <c r="AP58" i="1"/>
  <c r="AQ58" i="1" s="1"/>
  <c r="AP57" i="1"/>
  <c r="AQ57" i="1" s="1"/>
  <c r="AP56" i="1"/>
  <c r="AQ56" i="1" s="1"/>
  <c r="AP55" i="1"/>
  <c r="AQ55" i="1" s="1"/>
  <c r="AP54" i="1"/>
  <c r="AQ54" i="1" s="1"/>
  <c r="AP53" i="1"/>
  <c r="AQ53" i="1" s="1"/>
  <c r="AP52" i="1"/>
  <c r="AQ52" i="1" s="1"/>
  <c r="AP51" i="1"/>
  <c r="AQ51" i="1" s="1"/>
  <c r="AP50" i="1"/>
  <c r="AQ50" i="1" s="1"/>
  <c r="AP49" i="1"/>
  <c r="AQ49" i="1" s="1"/>
  <c r="AP48" i="1"/>
  <c r="AQ48" i="1" s="1"/>
  <c r="AP47" i="1"/>
  <c r="AQ47" i="1" s="1"/>
  <c r="AP46" i="1"/>
  <c r="AQ46" i="1" s="1"/>
  <c r="AP45" i="1"/>
  <c r="AQ45" i="1" s="1"/>
  <c r="AP44" i="1"/>
  <c r="AQ44" i="1" s="1"/>
  <c r="AP43" i="1"/>
  <c r="AQ43" i="1" s="1"/>
  <c r="AP42" i="1"/>
  <c r="AQ42" i="1" s="1"/>
  <c r="AP41" i="1"/>
  <c r="AQ41" i="1" s="1"/>
  <c r="AP40" i="1"/>
  <c r="AQ40" i="1" s="1"/>
  <c r="AP39" i="1"/>
  <c r="AQ39" i="1" s="1"/>
  <c r="AP38" i="1"/>
  <c r="AQ38" i="1" s="1"/>
  <c r="AP37" i="1"/>
  <c r="AQ37" i="1" s="1"/>
  <c r="AP36" i="1"/>
  <c r="AQ36" i="1" s="1"/>
  <c r="AP35" i="1"/>
  <c r="AQ35" i="1" s="1"/>
  <c r="AP34" i="1"/>
  <c r="AQ34" i="1" s="1"/>
  <c r="AP33" i="1"/>
  <c r="AQ33" i="1" s="1"/>
  <c r="AP32" i="1"/>
  <c r="AQ32" i="1" s="1"/>
  <c r="AP31" i="1"/>
  <c r="AQ31" i="1" s="1"/>
  <c r="AP30" i="1"/>
  <c r="AQ30" i="1" s="1"/>
  <c r="AP29" i="1"/>
  <c r="AQ29" i="1" s="1"/>
  <c r="AP28" i="1"/>
  <c r="AQ28" i="1" s="1"/>
  <c r="AP27" i="1"/>
  <c r="AQ27" i="1" s="1"/>
  <c r="AP26" i="1"/>
  <c r="AQ26" i="1" s="1"/>
  <c r="AP25" i="1"/>
  <c r="AQ25" i="1" s="1"/>
  <c r="AP24" i="1"/>
  <c r="AQ24" i="1" s="1"/>
  <c r="AP23" i="1"/>
  <c r="AQ23" i="1" s="1"/>
  <c r="AP22" i="1"/>
  <c r="AQ22" i="1" s="1"/>
  <c r="AP21" i="1"/>
  <c r="AQ21" i="1" s="1"/>
  <c r="AP20" i="1"/>
  <c r="AQ20" i="1" s="1"/>
  <c r="AP19" i="1"/>
  <c r="AQ19" i="1" s="1"/>
  <c r="AL436" i="1"/>
  <c r="AM436" i="1" s="1"/>
  <c r="AL435" i="1"/>
  <c r="AM435" i="1" s="1"/>
  <c r="AL434" i="1"/>
  <c r="AM434" i="1" s="1"/>
  <c r="AL433" i="1"/>
  <c r="AM433" i="1" s="1"/>
  <c r="AL432" i="1"/>
  <c r="AM432" i="1" s="1"/>
  <c r="AL431" i="1"/>
  <c r="AM431" i="1" s="1"/>
  <c r="AL430" i="1"/>
  <c r="AM430" i="1" s="1"/>
  <c r="AL429" i="1"/>
  <c r="AM429" i="1" s="1"/>
  <c r="AL428" i="1"/>
  <c r="AM428" i="1" s="1"/>
  <c r="AL427" i="1"/>
  <c r="AM427" i="1" s="1"/>
  <c r="AL426" i="1"/>
  <c r="AM426" i="1" s="1"/>
  <c r="AL425" i="1"/>
  <c r="AM425" i="1" s="1"/>
  <c r="AL424" i="1"/>
  <c r="AM424" i="1" s="1"/>
  <c r="AL423" i="1"/>
  <c r="AM423" i="1" s="1"/>
  <c r="AL422" i="1"/>
  <c r="AM422" i="1" s="1"/>
  <c r="AL421" i="1"/>
  <c r="AM421" i="1" s="1"/>
  <c r="AL420" i="1"/>
  <c r="AM420" i="1" s="1"/>
  <c r="AL419" i="1"/>
  <c r="AM419" i="1" s="1"/>
  <c r="AL418" i="1"/>
  <c r="AM418" i="1" s="1"/>
  <c r="AL417" i="1"/>
  <c r="AM417" i="1" s="1"/>
  <c r="AL416" i="1"/>
  <c r="AM416" i="1" s="1"/>
  <c r="AL415" i="1"/>
  <c r="AM415" i="1" s="1"/>
  <c r="AL414" i="1"/>
  <c r="AM414" i="1" s="1"/>
  <c r="AL413" i="1"/>
  <c r="AM413" i="1" s="1"/>
  <c r="AL412" i="1"/>
  <c r="AM412" i="1" s="1"/>
  <c r="AL411" i="1"/>
  <c r="AM411" i="1" s="1"/>
  <c r="AL410" i="1"/>
  <c r="AM410" i="1" s="1"/>
  <c r="AL409" i="1"/>
  <c r="AM409" i="1" s="1"/>
  <c r="AL408" i="1"/>
  <c r="AM408" i="1" s="1"/>
  <c r="AL407" i="1"/>
  <c r="AM407" i="1" s="1"/>
  <c r="AL406" i="1"/>
  <c r="AM406" i="1" s="1"/>
  <c r="AL405" i="1"/>
  <c r="AM405" i="1" s="1"/>
  <c r="AL404" i="1"/>
  <c r="AM404" i="1" s="1"/>
  <c r="AL403" i="1"/>
  <c r="AM403" i="1" s="1"/>
  <c r="AL402" i="1"/>
  <c r="AM402" i="1" s="1"/>
  <c r="AL401" i="1"/>
  <c r="AM401" i="1" s="1"/>
  <c r="AL400" i="1"/>
  <c r="AM400" i="1" s="1"/>
  <c r="AL399" i="1"/>
  <c r="AM399" i="1" s="1"/>
  <c r="AL398" i="1"/>
  <c r="AM398" i="1" s="1"/>
  <c r="AL397" i="1"/>
  <c r="AM397" i="1" s="1"/>
  <c r="AL396" i="1"/>
  <c r="AM396" i="1" s="1"/>
  <c r="AL395" i="1"/>
  <c r="AM395" i="1" s="1"/>
  <c r="AL394" i="1"/>
  <c r="AM394" i="1" s="1"/>
  <c r="AL393" i="1"/>
  <c r="AM393" i="1" s="1"/>
  <c r="AL392" i="1"/>
  <c r="AM392" i="1" s="1"/>
  <c r="AL391" i="1"/>
  <c r="AM391" i="1" s="1"/>
  <c r="AL390" i="1"/>
  <c r="AM390" i="1" s="1"/>
  <c r="AL389" i="1"/>
  <c r="AM389" i="1" s="1"/>
  <c r="AL388" i="1"/>
  <c r="AM388" i="1" s="1"/>
  <c r="AL387" i="1"/>
  <c r="AM387" i="1" s="1"/>
  <c r="AL386" i="1"/>
  <c r="AM386" i="1" s="1"/>
  <c r="AL385" i="1"/>
  <c r="AM385" i="1" s="1"/>
  <c r="AL384" i="1"/>
  <c r="AM384" i="1" s="1"/>
  <c r="AL383" i="1"/>
  <c r="AM383" i="1" s="1"/>
  <c r="AL382" i="1"/>
  <c r="AM382" i="1" s="1"/>
  <c r="AL381" i="1"/>
  <c r="AM381" i="1" s="1"/>
  <c r="AL380" i="1"/>
  <c r="AM380" i="1" s="1"/>
  <c r="AL379" i="1"/>
  <c r="AM379" i="1" s="1"/>
  <c r="AL378" i="1"/>
  <c r="AM378" i="1" s="1"/>
  <c r="AL377" i="1"/>
  <c r="AM377" i="1" s="1"/>
  <c r="AL376" i="1"/>
  <c r="AM376" i="1" s="1"/>
  <c r="AL375" i="1"/>
  <c r="AM375" i="1" s="1"/>
  <c r="AL374" i="1"/>
  <c r="AM374" i="1" s="1"/>
  <c r="AL373" i="1"/>
  <c r="AM373" i="1" s="1"/>
  <c r="AL372" i="1"/>
  <c r="AM372" i="1" s="1"/>
  <c r="AL371" i="1"/>
  <c r="AM371" i="1" s="1"/>
  <c r="AL370" i="1"/>
  <c r="AM370" i="1" s="1"/>
  <c r="AL369" i="1"/>
  <c r="AM369" i="1" s="1"/>
  <c r="AL368" i="1"/>
  <c r="AM368" i="1" s="1"/>
  <c r="AL367" i="1"/>
  <c r="AM367" i="1" s="1"/>
  <c r="AL366" i="1"/>
  <c r="AM366" i="1" s="1"/>
  <c r="AL365" i="1"/>
  <c r="AM365" i="1" s="1"/>
  <c r="AL364" i="1"/>
  <c r="AM364" i="1" s="1"/>
  <c r="AL363" i="1"/>
  <c r="AM363" i="1" s="1"/>
  <c r="AL362" i="1"/>
  <c r="AM362" i="1" s="1"/>
  <c r="AL361" i="1"/>
  <c r="AM361" i="1" s="1"/>
  <c r="AL360" i="1"/>
  <c r="AM360" i="1" s="1"/>
  <c r="AL359" i="1"/>
  <c r="AM359" i="1" s="1"/>
  <c r="AL358" i="1"/>
  <c r="AM358" i="1" s="1"/>
  <c r="AL357" i="1"/>
  <c r="AM357" i="1" s="1"/>
  <c r="AL356" i="1"/>
  <c r="AM356" i="1" s="1"/>
  <c r="AL355" i="1"/>
  <c r="AM355" i="1" s="1"/>
  <c r="AL354" i="1"/>
  <c r="AM354" i="1" s="1"/>
  <c r="AL353" i="1"/>
  <c r="AM353" i="1" s="1"/>
  <c r="AL352" i="1"/>
  <c r="AM352" i="1" s="1"/>
  <c r="AL351" i="1"/>
  <c r="AM351" i="1" s="1"/>
  <c r="AL350" i="1"/>
  <c r="AM350" i="1" s="1"/>
  <c r="AL349" i="1"/>
  <c r="AM349" i="1" s="1"/>
  <c r="AL348" i="1"/>
  <c r="AM348" i="1" s="1"/>
  <c r="AL347" i="1"/>
  <c r="AM347" i="1" s="1"/>
  <c r="AL346" i="1"/>
  <c r="AM346" i="1" s="1"/>
  <c r="AL345" i="1"/>
  <c r="AM345" i="1" s="1"/>
  <c r="AL344" i="1"/>
  <c r="AM344" i="1" s="1"/>
  <c r="AL343" i="1"/>
  <c r="AM343" i="1" s="1"/>
  <c r="AL342" i="1"/>
  <c r="AM342" i="1" s="1"/>
  <c r="AL341" i="1"/>
  <c r="AM341" i="1" s="1"/>
  <c r="AL340" i="1"/>
  <c r="AM340" i="1" s="1"/>
  <c r="AL339" i="1"/>
  <c r="AM339" i="1" s="1"/>
  <c r="AL338" i="1"/>
  <c r="AM338" i="1" s="1"/>
  <c r="AL337" i="1"/>
  <c r="AM337" i="1" s="1"/>
  <c r="AL336" i="1"/>
  <c r="AM336" i="1" s="1"/>
  <c r="AL335" i="1"/>
  <c r="AM335" i="1" s="1"/>
  <c r="AL334" i="1"/>
  <c r="AM334" i="1" s="1"/>
  <c r="AL333" i="1"/>
  <c r="AM333" i="1" s="1"/>
  <c r="AL332" i="1"/>
  <c r="AM332" i="1" s="1"/>
  <c r="AL331" i="1"/>
  <c r="AM331" i="1" s="1"/>
  <c r="AL330" i="1"/>
  <c r="AM330" i="1" s="1"/>
  <c r="AL329" i="1"/>
  <c r="AM329" i="1" s="1"/>
  <c r="AL328" i="1"/>
  <c r="AM328" i="1" s="1"/>
  <c r="AL327" i="1"/>
  <c r="AM327" i="1" s="1"/>
  <c r="AL326" i="1"/>
  <c r="AM326" i="1" s="1"/>
  <c r="AL325" i="1"/>
  <c r="AM325" i="1" s="1"/>
  <c r="AL324" i="1"/>
  <c r="AM324" i="1" s="1"/>
  <c r="AL323" i="1"/>
  <c r="AM323" i="1" s="1"/>
  <c r="AL322" i="1"/>
  <c r="AM322" i="1" s="1"/>
  <c r="AL321" i="1"/>
  <c r="AM321" i="1" s="1"/>
  <c r="AL320" i="1"/>
  <c r="AM320" i="1" s="1"/>
  <c r="AL319" i="1"/>
  <c r="AM319" i="1" s="1"/>
  <c r="AL318" i="1"/>
  <c r="AM318" i="1" s="1"/>
  <c r="AL317" i="1"/>
  <c r="AM317" i="1" s="1"/>
  <c r="AL316" i="1"/>
  <c r="AM316" i="1" s="1"/>
  <c r="AL315" i="1"/>
  <c r="AM315" i="1" s="1"/>
  <c r="AL314" i="1"/>
  <c r="AM314" i="1" s="1"/>
  <c r="AL313" i="1"/>
  <c r="AM313" i="1" s="1"/>
  <c r="AL312" i="1"/>
  <c r="AM312" i="1" s="1"/>
  <c r="AL311" i="1"/>
  <c r="AM311" i="1" s="1"/>
  <c r="AL310" i="1"/>
  <c r="AM310" i="1" s="1"/>
  <c r="AL309" i="1"/>
  <c r="AM309" i="1" s="1"/>
  <c r="AL308" i="1"/>
  <c r="AM308" i="1" s="1"/>
  <c r="AL307" i="1"/>
  <c r="AM307" i="1" s="1"/>
  <c r="AL306" i="1"/>
  <c r="AM306" i="1" s="1"/>
  <c r="AL305" i="1"/>
  <c r="AM305" i="1" s="1"/>
  <c r="AL304" i="1"/>
  <c r="AM304" i="1" s="1"/>
  <c r="AL303" i="1"/>
  <c r="AM303" i="1" s="1"/>
  <c r="AL302" i="1"/>
  <c r="AM302" i="1" s="1"/>
  <c r="AL301" i="1"/>
  <c r="AM301" i="1" s="1"/>
  <c r="AL300" i="1"/>
  <c r="AM300" i="1" s="1"/>
  <c r="AL299" i="1"/>
  <c r="AM299" i="1" s="1"/>
  <c r="AL298" i="1"/>
  <c r="AM298" i="1" s="1"/>
  <c r="AL297" i="1"/>
  <c r="AM297" i="1" s="1"/>
  <c r="AL296" i="1"/>
  <c r="AM296" i="1" s="1"/>
  <c r="AL295" i="1"/>
  <c r="AM295" i="1" s="1"/>
  <c r="AL294" i="1"/>
  <c r="AM294" i="1" s="1"/>
  <c r="AL293" i="1"/>
  <c r="AM293" i="1" s="1"/>
  <c r="AL292" i="1"/>
  <c r="AM292" i="1" s="1"/>
  <c r="AL291" i="1"/>
  <c r="AM291" i="1" s="1"/>
  <c r="AL290" i="1"/>
  <c r="AM290" i="1" s="1"/>
  <c r="AL289" i="1"/>
  <c r="AM289" i="1" s="1"/>
  <c r="AL288" i="1"/>
  <c r="AM288" i="1" s="1"/>
  <c r="AL287" i="1"/>
  <c r="AM287" i="1" s="1"/>
  <c r="AL286" i="1"/>
  <c r="AM286" i="1" s="1"/>
  <c r="AL285" i="1"/>
  <c r="AM285" i="1" s="1"/>
  <c r="AL284" i="1"/>
  <c r="AM284" i="1" s="1"/>
  <c r="AL283" i="1"/>
  <c r="AM283" i="1" s="1"/>
  <c r="AL282" i="1"/>
  <c r="AM282" i="1" s="1"/>
  <c r="AL281" i="1"/>
  <c r="AM281" i="1" s="1"/>
  <c r="AL280" i="1"/>
  <c r="AM280" i="1" s="1"/>
  <c r="AL279" i="1"/>
  <c r="AM279" i="1" s="1"/>
  <c r="AL278" i="1"/>
  <c r="AM278" i="1" s="1"/>
  <c r="AL277" i="1"/>
  <c r="AM277" i="1" s="1"/>
  <c r="AL276" i="1"/>
  <c r="AM276" i="1" s="1"/>
  <c r="AL275" i="1"/>
  <c r="AM275" i="1" s="1"/>
  <c r="AL274" i="1"/>
  <c r="AM274" i="1" s="1"/>
  <c r="AL273" i="1"/>
  <c r="AM273" i="1" s="1"/>
  <c r="AL272" i="1"/>
  <c r="AM272" i="1" s="1"/>
  <c r="AL271" i="1"/>
  <c r="AM271" i="1" s="1"/>
  <c r="AL270" i="1"/>
  <c r="AM270" i="1" s="1"/>
  <c r="AL269" i="1"/>
  <c r="AM269" i="1" s="1"/>
  <c r="AL268" i="1"/>
  <c r="AM268" i="1" s="1"/>
  <c r="AL267" i="1"/>
  <c r="AM267" i="1" s="1"/>
  <c r="AL266" i="1"/>
  <c r="AM266" i="1" s="1"/>
  <c r="AL265" i="1"/>
  <c r="AM265" i="1" s="1"/>
  <c r="AL264" i="1"/>
  <c r="AM264" i="1" s="1"/>
  <c r="AL263" i="1"/>
  <c r="AM263" i="1" s="1"/>
  <c r="AL262" i="1"/>
  <c r="AM262" i="1" s="1"/>
  <c r="AL261" i="1"/>
  <c r="AM261" i="1" s="1"/>
  <c r="AL260" i="1"/>
  <c r="AM260" i="1" s="1"/>
  <c r="AL259" i="1"/>
  <c r="AM259" i="1" s="1"/>
  <c r="AL258" i="1"/>
  <c r="AM258" i="1" s="1"/>
  <c r="AL257" i="1"/>
  <c r="AM257" i="1" s="1"/>
  <c r="AL256" i="1"/>
  <c r="AM256" i="1" s="1"/>
  <c r="AL255" i="1"/>
  <c r="AM255" i="1" s="1"/>
  <c r="AL254" i="1"/>
  <c r="AM254" i="1" s="1"/>
  <c r="AL253" i="1"/>
  <c r="AM253" i="1" s="1"/>
  <c r="AL252" i="1"/>
  <c r="AM252" i="1" s="1"/>
  <c r="AL251" i="1"/>
  <c r="AM251" i="1" s="1"/>
  <c r="AL250" i="1"/>
  <c r="AM250" i="1" s="1"/>
  <c r="AL249" i="1"/>
  <c r="AM249" i="1" s="1"/>
  <c r="AL248" i="1"/>
  <c r="AM248" i="1" s="1"/>
  <c r="AL247" i="1"/>
  <c r="AM247" i="1" s="1"/>
  <c r="AL246" i="1"/>
  <c r="AM246" i="1" s="1"/>
  <c r="AL245" i="1"/>
  <c r="AM245" i="1" s="1"/>
  <c r="AL244" i="1"/>
  <c r="AM244" i="1" s="1"/>
  <c r="AL243" i="1"/>
  <c r="AM243" i="1" s="1"/>
  <c r="AL242" i="1"/>
  <c r="AM242" i="1" s="1"/>
  <c r="AL241" i="1"/>
  <c r="AM241" i="1" s="1"/>
  <c r="AL240" i="1"/>
  <c r="AM240" i="1" s="1"/>
  <c r="AL239" i="1"/>
  <c r="AM239" i="1" s="1"/>
  <c r="AL238" i="1"/>
  <c r="AM238" i="1" s="1"/>
  <c r="AL237" i="1"/>
  <c r="AM237" i="1" s="1"/>
  <c r="AL236" i="1"/>
  <c r="AM236" i="1" s="1"/>
  <c r="AL235" i="1"/>
  <c r="AM235" i="1" s="1"/>
  <c r="AL234" i="1"/>
  <c r="AM234" i="1" s="1"/>
  <c r="AL233" i="1"/>
  <c r="AM233" i="1" s="1"/>
  <c r="AL232" i="1"/>
  <c r="AM232" i="1" s="1"/>
  <c r="AL231" i="1"/>
  <c r="AM231" i="1" s="1"/>
  <c r="AL230" i="1"/>
  <c r="AM230" i="1" s="1"/>
  <c r="AL229" i="1"/>
  <c r="AM229" i="1" s="1"/>
  <c r="AL228" i="1"/>
  <c r="AM228" i="1" s="1"/>
  <c r="AL227" i="1"/>
  <c r="AM227" i="1" s="1"/>
  <c r="AL226" i="1"/>
  <c r="AM226" i="1" s="1"/>
  <c r="AL225" i="1"/>
  <c r="AM225" i="1" s="1"/>
  <c r="AL224" i="1"/>
  <c r="AM224" i="1" s="1"/>
  <c r="AL223" i="1"/>
  <c r="AM223" i="1" s="1"/>
  <c r="AL222" i="1"/>
  <c r="AM222" i="1" s="1"/>
  <c r="AL221" i="1"/>
  <c r="AM221" i="1" s="1"/>
  <c r="AL220" i="1"/>
  <c r="AM220" i="1" s="1"/>
  <c r="AL219" i="1"/>
  <c r="AM219" i="1" s="1"/>
  <c r="AL218" i="1"/>
  <c r="AM218" i="1" s="1"/>
  <c r="AL217" i="1"/>
  <c r="AM217" i="1" s="1"/>
  <c r="AL216" i="1"/>
  <c r="AM216" i="1" s="1"/>
  <c r="AL215" i="1"/>
  <c r="AM215" i="1" s="1"/>
  <c r="AL214" i="1"/>
  <c r="AM214" i="1" s="1"/>
  <c r="AL213" i="1"/>
  <c r="AM213" i="1" s="1"/>
  <c r="AL212" i="1"/>
  <c r="AM212" i="1" s="1"/>
  <c r="AL211" i="1"/>
  <c r="AM211" i="1" s="1"/>
  <c r="AL210" i="1"/>
  <c r="AM210" i="1" s="1"/>
  <c r="AL209" i="1"/>
  <c r="AM209" i="1" s="1"/>
  <c r="AL208" i="1"/>
  <c r="AM208" i="1" s="1"/>
  <c r="AL207" i="1"/>
  <c r="AM207" i="1" s="1"/>
  <c r="AL206" i="1"/>
  <c r="AM206" i="1" s="1"/>
  <c r="AL205" i="1"/>
  <c r="AM205" i="1" s="1"/>
  <c r="AL204" i="1"/>
  <c r="AM204" i="1" s="1"/>
  <c r="AL203" i="1"/>
  <c r="AM203" i="1" s="1"/>
  <c r="AL202" i="1"/>
  <c r="AM202" i="1" s="1"/>
  <c r="AL201" i="1"/>
  <c r="AM201" i="1" s="1"/>
  <c r="AL200" i="1"/>
  <c r="AM200" i="1" s="1"/>
  <c r="AL199" i="1"/>
  <c r="AM199" i="1" s="1"/>
  <c r="AL198" i="1"/>
  <c r="AM198" i="1" s="1"/>
  <c r="AL197" i="1"/>
  <c r="AM197" i="1" s="1"/>
  <c r="AL196" i="1"/>
  <c r="AM196" i="1" s="1"/>
  <c r="AL195" i="1"/>
  <c r="AM195" i="1" s="1"/>
  <c r="AL194" i="1"/>
  <c r="AM194" i="1" s="1"/>
  <c r="AL193" i="1"/>
  <c r="AM193" i="1" s="1"/>
  <c r="AL192" i="1"/>
  <c r="AM192" i="1" s="1"/>
  <c r="AL191" i="1"/>
  <c r="AM191" i="1" s="1"/>
  <c r="AL190" i="1"/>
  <c r="AM190" i="1" s="1"/>
  <c r="AL189" i="1"/>
  <c r="AM189" i="1" s="1"/>
  <c r="AL188" i="1"/>
  <c r="AM188" i="1" s="1"/>
  <c r="AL187" i="1"/>
  <c r="AM187" i="1" s="1"/>
  <c r="AL186" i="1"/>
  <c r="AM186" i="1" s="1"/>
  <c r="AL185" i="1"/>
  <c r="AM185" i="1" s="1"/>
  <c r="AL184" i="1"/>
  <c r="AM184" i="1" s="1"/>
  <c r="AL183" i="1"/>
  <c r="AM183" i="1" s="1"/>
  <c r="AL182" i="1"/>
  <c r="AM182" i="1" s="1"/>
  <c r="AL181" i="1"/>
  <c r="AM181" i="1" s="1"/>
  <c r="AL180" i="1"/>
  <c r="AM180" i="1" s="1"/>
  <c r="AL179" i="1"/>
  <c r="AM179" i="1" s="1"/>
  <c r="AL178" i="1"/>
  <c r="AM178" i="1" s="1"/>
  <c r="AL177" i="1"/>
  <c r="AM177" i="1" s="1"/>
  <c r="AL176" i="1"/>
  <c r="AM176" i="1" s="1"/>
  <c r="AL175" i="1"/>
  <c r="AM175" i="1" s="1"/>
  <c r="AL174" i="1"/>
  <c r="AM174" i="1" s="1"/>
  <c r="AL173" i="1"/>
  <c r="AM173" i="1" s="1"/>
  <c r="AL172" i="1"/>
  <c r="AM172" i="1" s="1"/>
  <c r="AL171" i="1"/>
  <c r="AM171" i="1" s="1"/>
  <c r="AL170" i="1"/>
  <c r="AM170" i="1" s="1"/>
  <c r="AL169" i="1"/>
  <c r="AM169" i="1" s="1"/>
  <c r="AL168" i="1"/>
  <c r="AM168" i="1" s="1"/>
  <c r="AL167" i="1"/>
  <c r="AM167" i="1" s="1"/>
  <c r="AL166" i="1"/>
  <c r="AM166" i="1" s="1"/>
  <c r="AL165" i="1"/>
  <c r="AM165" i="1" s="1"/>
  <c r="AL164" i="1"/>
  <c r="AM164" i="1" s="1"/>
  <c r="AL163" i="1"/>
  <c r="AM163" i="1" s="1"/>
  <c r="AL162" i="1"/>
  <c r="AM162" i="1" s="1"/>
  <c r="AL161" i="1"/>
  <c r="AM161" i="1" s="1"/>
  <c r="AL160" i="1"/>
  <c r="AM160" i="1" s="1"/>
  <c r="AL159" i="1"/>
  <c r="AM159" i="1" s="1"/>
  <c r="AL158" i="1"/>
  <c r="AM158" i="1" s="1"/>
  <c r="AL157" i="1"/>
  <c r="AM157" i="1" s="1"/>
  <c r="AL156" i="1"/>
  <c r="AM156" i="1" s="1"/>
  <c r="AL155" i="1"/>
  <c r="AM155" i="1" s="1"/>
  <c r="AL154" i="1"/>
  <c r="AM154" i="1" s="1"/>
  <c r="AL153" i="1"/>
  <c r="AM153" i="1" s="1"/>
  <c r="AL152" i="1"/>
  <c r="AM152" i="1" s="1"/>
  <c r="AL151" i="1"/>
  <c r="AM151" i="1" s="1"/>
  <c r="AL150" i="1"/>
  <c r="AM150" i="1" s="1"/>
  <c r="AL149" i="1"/>
  <c r="AM149" i="1" s="1"/>
  <c r="AL148" i="1"/>
  <c r="AM148" i="1" s="1"/>
  <c r="AL147" i="1"/>
  <c r="AM147" i="1" s="1"/>
  <c r="AL146" i="1"/>
  <c r="AM146" i="1" s="1"/>
  <c r="AL145" i="1"/>
  <c r="AM145" i="1" s="1"/>
  <c r="AL144" i="1"/>
  <c r="AM144" i="1" s="1"/>
  <c r="AL143" i="1"/>
  <c r="AM143" i="1" s="1"/>
  <c r="AL142" i="1"/>
  <c r="AM142" i="1" s="1"/>
  <c r="AL141" i="1"/>
  <c r="AM141" i="1" s="1"/>
  <c r="AL140" i="1"/>
  <c r="AM140" i="1" s="1"/>
  <c r="AL139" i="1"/>
  <c r="AM139" i="1" s="1"/>
  <c r="AL138" i="1"/>
  <c r="AM138" i="1" s="1"/>
  <c r="AL137" i="1"/>
  <c r="AM137" i="1" s="1"/>
  <c r="AL136" i="1"/>
  <c r="AM136" i="1" s="1"/>
  <c r="AL135" i="1"/>
  <c r="AM135" i="1" s="1"/>
  <c r="AL134" i="1"/>
  <c r="AM134" i="1" s="1"/>
  <c r="AL133" i="1"/>
  <c r="AM133" i="1" s="1"/>
  <c r="AL132" i="1"/>
  <c r="AM132" i="1" s="1"/>
  <c r="AL131" i="1"/>
  <c r="AM131" i="1" s="1"/>
  <c r="AL130" i="1"/>
  <c r="AM130" i="1" s="1"/>
  <c r="AL129" i="1"/>
  <c r="AM129" i="1" s="1"/>
  <c r="AL128" i="1"/>
  <c r="AM128" i="1" s="1"/>
  <c r="AL127" i="1"/>
  <c r="AM127" i="1" s="1"/>
  <c r="AL126" i="1"/>
  <c r="AM126" i="1" s="1"/>
  <c r="AL125" i="1"/>
  <c r="AM125" i="1" s="1"/>
  <c r="AL124" i="1"/>
  <c r="AM124" i="1" s="1"/>
  <c r="AL115" i="1"/>
  <c r="AM115" i="1" s="1"/>
  <c r="AL114" i="1"/>
  <c r="AM114" i="1" s="1"/>
  <c r="AL113" i="1"/>
  <c r="AM113" i="1" s="1"/>
  <c r="AL112" i="1"/>
  <c r="AM112" i="1" s="1"/>
  <c r="AL111" i="1"/>
  <c r="AM111" i="1" s="1"/>
  <c r="AL110" i="1"/>
  <c r="AM110" i="1" s="1"/>
  <c r="AL109" i="1"/>
  <c r="AM109" i="1" s="1"/>
  <c r="AL108" i="1"/>
  <c r="AM108" i="1" s="1"/>
  <c r="AL107" i="1"/>
  <c r="AM107" i="1" s="1"/>
  <c r="AL106" i="1"/>
  <c r="AM106" i="1" s="1"/>
  <c r="AL105" i="1"/>
  <c r="AM105" i="1" s="1"/>
  <c r="AL104" i="1"/>
  <c r="AM104" i="1" s="1"/>
  <c r="AL103" i="1"/>
  <c r="AM103" i="1" s="1"/>
  <c r="AL102" i="1"/>
  <c r="AM102" i="1" s="1"/>
  <c r="AL101" i="1"/>
  <c r="AM101" i="1" s="1"/>
  <c r="AL100" i="1"/>
  <c r="AM100" i="1" s="1"/>
  <c r="AL99" i="1"/>
  <c r="AM99" i="1" s="1"/>
  <c r="AL98" i="1"/>
  <c r="AM98" i="1" s="1"/>
  <c r="AL97" i="1"/>
  <c r="AM97" i="1" s="1"/>
  <c r="AL96" i="1"/>
  <c r="AM96" i="1" s="1"/>
  <c r="AL95" i="1"/>
  <c r="AM95" i="1" s="1"/>
  <c r="AL94" i="1"/>
  <c r="AM94" i="1" s="1"/>
  <c r="AL93" i="1"/>
  <c r="AM93" i="1" s="1"/>
  <c r="AL92" i="1"/>
  <c r="AM92" i="1" s="1"/>
  <c r="AL91" i="1"/>
  <c r="AM91" i="1" s="1"/>
  <c r="AL90" i="1"/>
  <c r="AM90" i="1" s="1"/>
  <c r="AL89" i="1"/>
  <c r="AM89" i="1" s="1"/>
  <c r="AL88" i="1"/>
  <c r="AM88" i="1" s="1"/>
  <c r="AL87" i="1"/>
  <c r="AM87" i="1" s="1"/>
  <c r="AL86" i="1"/>
  <c r="AM86" i="1" s="1"/>
  <c r="AL85" i="1"/>
  <c r="AM85" i="1" s="1"/>
  <c r="AL84" i="1"/>
  <c r="AM84" i="1" s="1"/>
  <c r="AL83" i="1"/>
  <c r="AM83" i="1" s="1"/>
  <c r="AL82" i="1"/>
  <c r="AM82" i="1" s="1"/>
  <c r="AL81" i="1"/>
  <c r="AM81" i="1" s="1"/>
  <c r="AL80" i="1"/>
  <c r="AM80" i="1" s="1"/>
  <c r="AL79" i="1"/>
  <c r="AM79" i="1" s="1"/>
  <c r="AL78" i="1"/>
  <c r="AM78" i="1" s="1"/>
  <c r="AL77" i="1"/>
  <c r="AM77" i="1" s="1"/>
  <c r="AL76" i="1"/>
  <c r="AM76" i="1" s="1"/>
  <c r="AL75" i="1"/>
  <c r="AM75" i="1" s="1"/>
  <c r="AL74" i="1"/>
  <c r="AM74" i="1" s="1"/>
  <c r="AL73" i="1"/>
  <c r="AM73" i="1" s="1"/>
  <c r="AL72" i="1"/>
  <c r="AM72" i="1" s="1"/>
  <c r="AL71" i="1"/>
  <c r="AM71" i="1" s="1"/>
  <c r="AL70" i="1"/>
  <c r="AM70" i="1" s="1"/>
  <c r="AL69" i="1"/>
  <c r="AM69" i="1" s="1"/>
  <c r="AL68" i="1"/>
  <c r="AL67" i="1"/>
  <c r="AM67" i="1" s="1"/>
  <c r="AL66" i="1"/>
  <c r="AM66" i="1" s="1"/>
  <c r="AL65" i="1"/>
  <c r="AM65" i="1" s="1"/>
  <c r="AL64" i="1"/>
  <c r="AM64" i="1" s="1"/>
  <c r="AL63" i="1"/>
  <c r="AM63" i="1" s="1"/>
  <c r="AL62" i="1"/>
  <c r="AM62" i="1" s="1"/>
  <c r="AL61" i="1"/>
  <c r="AM61" i="1" s="1"/>
  <c r="AL60" i="1"/>
  <c r="AM60" i="1" s="1"/>
  <c r="AL59" i="1"/>
  <c r="AM59" i="1" s="1"/>
  <c r="AL58" i="1"/>
  <c r="AM58" i="1" s="1"/>
  <c r="AL57" i="1"/>
  <c r="AM57" i="1" s="1"/>
  <c r="AL56" i="1"/>
  <c r="AM56" i="1" s="1"/>
  <c r="AL55" i="1"/>
  <c r="AM55" i="1" s="1"/>
  <c r="AL54" i="1"/>
  <c r="AM54" i="1" s="1"/>
  <c r="AL53" i="1"/>
  <c r="AM53" i="1" s="1"/>
  <c r="AL52" i="1"/>
  <c r="AM52" i="1" s="1"/>
  <c r="AL51" i="1"/>
  <c r="AM51" i="1" s="1"/>
  <c r="AL50" i="1"/>
  <c r="AM50" i="1" s="1"/>
  <c r="AL49" i="1"/>
  <c r="AM49" i="1" s="1"/>
  <c r="AL48" i="1"/>
  <c r="AM48" i="1" s="1"/>
  <c r="AL47" i="1"/>
  <c r="AM47" i="1" s="1"/>
  <c r="AL46" i="1"/>
  <c r="AM46" i="1" s="1"/>
  <c r="AL45" i="1"/>
  <c r="AM45" i="1" s="1"/>
  <c r="AL44" i="1"/>
  <c r="AM44" i="1" s="1"/>
  <c r="AL43" i="1"/>
  <c r="AM43" i="1" s="1"/>
  <c r="AL42" i="1"/>
  <c r="AM42" i="1" s="1"/>
  <c r="AL41" i="1"/>
  <c r="AM41" i="1" s="1"/>
  <c r="AL40" i="1"/>
  <c r="AM40" i="1" s="1"/>
  <c r="AL39" i="1"/>
  <c r="AM39" i="1" s="1"/>
  <c r="AL38" i="1"/>
  <c r="AM38" i="1" s="1"/>
  <c r="AL37" i="1"/>
  <c r="AM37" i="1" s="1"/>
  <c r="AL36" i="1"/>
  <c r="AM36" i="1" s="1"/>
  <c r="AL35" i="1"/>
  <c r="AM35" i="1" s="1"/>
  <c r="AL34" i="1"/>
  <c r="AM34" i="1" s="1"/>
  <c r="AL33" i="1"/>
  <c r="AM33" i="1" s="1"/>
  <c r="AL32" i="1"/>
  <c r="AM32" i="1" s="1"/>
  <c r="AL31" i="1"/>
  <c r="AM31" i="1" s="1"/>
  <c r="AL30" i="1"/>
  <c r="AM30" i="1" s="1"/>
  <c r="AL29" i="1"/>
  <c r="AM29" i="1" s="1"/>
  <c r="AL28" i="1"/>
  <c r="AM28" i="1" s="1"/>
  <c r="AL27" i="1"/>
  <c r="AM27" i="1" s="1"/>
  <c r="AL26" i="1"/>
  <c r="AM26" i="1" s="1"/>
  <c r="AL25" i="1"/>
  <c r="AM25" i="1" s="1"/>
  <c r="AL24" i="1"/>
  <c r="AM24" i="1" s="1"/>
  <c r="AL23" i="1"/>
  <c r="AM23" i="1" s="1"/>
  <c r="AL22" i="1"/>
  <c r="AM22" i="1" s="1"/>
  <c r="AL21" i="1"/>
  <c r="AL20" i="1"/>
  <c r="AM20" i="1" s="1"/>
  <c r="AL19" i="1"/>
  <c r="AM19" i="1" s="1"/>
  <c r="AH436" i="1"/>
  <c r="AI436" i="1" s="1"/>
  <c r="AH435" i="1"/>
  <c r="AI435" i="1" s="1"/>
  <c r="AH434" i="1"/>
  <c r="AI434" i="1" s="1"/>
  <c r="AH433" i="1"/>
  <c r="AI433" i="1" s="1"/>
  <c r="AH432" i="1"/>
  <c r="AI432" i="1" s="1"/>
  <c r="AH431" i="1"/>
  <c r="AI431" i="1" s="1"/>
  <c r="AH430" i="1"/>
  <c r="AI430" i="1" s="1"/>
  <c r="AH429" i="1"/>
  <c r="AI429" i="1" s="1"/>
  <c r="AH428" i="1"/>
  <c r="AI428" i="1" s="1"/>
  <c r="AH427" i="1"/>
  <c r="AI427" i="1" s="1"/>
  <c r="AH426" i="1"/>
  <c r="AI426" i="1" s="1"/>
  <c r="AH425" i="1"/>
  <c r="AI425" i="1" s="1"/>
  <c r="AH424" i="1"/>
  <c r="AI424" i="1" s="1"/>
  <c r="AH423" i="1"/>
  <c r="AI423" i="1" s="1"/>
  <c r="AH422" i="1"/>
  <c r="AI422" i="1" s="1"/>
  <c r="AH421" i="1"/>
  <c r="AI421" i="1" s="1"/>
  <c r="AH420" i="1"/>
  <c r="AI420" i="1" s="1"/>
  <c r="AH419" i="1"/>
  <c r="AI419" i="1" s="1"/>
  <c r="AH418" i="1"/>
  <c r="AI418" i="1" s="1"/>
  <c r="AH417" i="1"/>
  <c r="AI417" i="1" s="1"/>
  <c r="AH416" i="1"/>
  <c r="AI416" i="1" s="1"/>
  <c r="AH415" i="1"/>
  <c r="AI415" i="1" s="1"/>
  <c r="AH414" i="1"/>
  <c r="AI414" i="1" s="1"/>
  <c r="AH413" i="1"/>
  <c r="AI413" i="1" s="1"/>
  <c r="AH412" i="1"/>
  <c r="AI412" i="1" s="1"/>
  <c r="AH411" i="1"/>
  <c r="AI411" i="1" s="1"/>
  <c r="AH410" i="1"/>
  <c r="AI410" i="1" s="1"/>
  <c r="AH409" i="1"/>
  <c r="AI409" i="1" s="1"/>
  <c r="AH408" i="1"/>
  <c r="AI408" i="1" s="1"/>
  <c r="AH407" i="1"/>
  <c r="AI407" i="1" s="1"/>
  <c r="AH406" i="1"/>
  <c r="AI406" i="1" s="1"/>
  <c r="AH405" i="1"/>
  <c r="AI405" i="1" s="1"/>
  <c r="AH404" i="1"/>
  <c r="AI404" i="1" s="1"/>
  <c r="AH403" i="1"/>
  <c r="AI403" i="1" s="1"/>
  <c r="AH402" i="1"/>
  <c r="AI402" i="1" s="1"/>
  <c r="AH401" i="1"/>
  <c r="AI401" i="1" s="1"/>
  <c r="AH400" i="1"/>
  <c r="AI400" i="1" s="1"/>
  <c r="AH399" i="1"/>
  <c r="AI399" i="1" s="1"/>
  <c r="AH398" i="1"/>
  <c r="AI398" i="1" s="1"/>
  <c r="AH397" i="1"/>
  <c r="AI397" i="1" s="1"/>
  <c r="AH396" i="1"/>
  <c r="AI396" i="1" s="1"/>
  <c r="AH395" i="1"/>
  <c r="AI395" i="1" s="1"/>
  <c r="AH394" i="1"/>
  <c r="AI394" i="1" s="1"/>
  <c r="AH393" i="1"/>
  <c r="AI393" i="1" s="1"/>
  <c r="AH392" i="1"/>
  <c r="AI392" i="1" s="1"/>
  <c r="AH391" i="1"/>
  <c r="AI391" i="1" s="1"/>
  <c r="AH390" i="1"/>
  <c r="AI390" i="1" s="1"/>
  <c r="AH389" i="1"/>
  <c r="AI389" i="1" s="1"/>
  <c r="AH388" i="1"/>
  <c r="AI388" i="1" s="1"/>
  <c r="AH387" i="1"/>
  <c r="AI387" i="1" s="1"/>
  <c r="AH386" i="1"/>
  <c r="AI386" i="1" s="1"/>
  <c r="AH385" i="1"/>
  <c r="AI385" i="1" s="1"/>
  <c r="AH384" i="1"/>
  <c r="AI384" i="1" s="1"/>
  <c r="AH383" i="1"/>
  <c r="AI383" i="1" s="1"/>
  <c r="AH382" i="1"/>
  <c r="AI382" i="1" s="1"/>
  <c r="AH381" i="1"/>
  <c r="AI381" i="1" s="1"/>
  <c r="AH380" i="1"/>
  <c r="AI380" i="1" s="1"/>
  <c r="AH379" i="1"/>
  <c r="AI379" i="1" s="1"/>
  <c r="AH378" i="1"/>
  <c r="AI378" i="1" s="1"/>
  <c r="AH377" i="1"/>
  <c r="AI377" i="1" s="1"/>
  <c r="AH376" i="1"/>
  <c r="AI376" i="1" s="1"/>
  <c r="AH375" i="1"/>
  <c r="AI375" i="1" s="1"/>
  <c r="AH374" i="1"/>
  <c r="AI374" i="1" s="1"/>
  <c r="AH373" i="1"/>
  <c r="AI373" i="1" s="1"/>
  <c r="AH372" i="1"/>
  <c r="AI372" i="1" s="1"/>
  <c r="AH371" i="1"/>
  <c r="AI371" i="1" s="1"/>
  <c r="AH370" i="1"/>
  <c r="AI370" i="1" s="1"/>
  <c r="AH369" i="1"/>
  <c r="AI369" i="1" s="1"/>
  <c r="AH368" i="1"/>
  <c r="AI368" i="1" s="1"/>
  <c r="AH367" i="1"/>
  <c r="AI367" i="1" s="1"/>
  <c r="AH366" i="1"/>
  <c r="AI366" i="1" s="1"/>
  <c r="AH365" i="1"/>
  <c r="AI365" i="1" s="1"/>
  <c r="AH364" i="1"/>
  <c r="AI364" i="1" s="1"/>
  <c r="AH363" i="1"/>
  <c r="AI363" i="1" s="1"/>
  <c r="AH362" i="1"/>
  <c r="AI362" i="1" s="1"/>
  <c r="AH361" i="1"/>
  <c r="AI361" i="1" s="1"/>
  <c r="AH360" i="1"/>
  <c r="AI360" i="1" s="1"/>
  <c r="AH359" i="1"/>
  <c r="AI359" i="1" s="1"/>
  <c r="AH358" i="1"/>
  <c r="AI358" i="1" s="1"/>
  <c r="AH357" i="1"/>
  <c r="AI357" i="1" s="1"/>
  <c r="AH356" i="1"/>
  <c r="AI356" i="1" s="1"/>
  <c r="AH355" i="1"/>
  <c r="AI355" i="1" s="1"/>
  <c r="AH354" i="1"/>
  <c r="AI354" i="1" s="1"/>
  <c r="AH353" i="1"/>
  <c r="AI353" i="1" s="1"/>
  <c r="AH352" i="1"/>
  <c r="AI352" i="1" s="1"/>
  <c r="AH351" i="1"/>
  <c r="AI351" i="1" s="1"/>
  <c r="AH350" i="1"/>
  <c r="AI350" i="1" s="1"/>
  <c r="AH349" i="1"/>
  <c r="AI349" i="1" s="1"/>
  <c r="AH348" i="1"/>
  <c r="AI348" i="1" s="1"/>
  <c r="AH347" i="1"/>
  <c r="AI347" i="1" s="1"/>
  <c r="AH346" i="1"/>
  <c r="AI346" i="1" s="1"/>
  <c r="AH345" i="1"/>
  <c r="AI345" i="1" s="1"/>
  <c r="AH344" i="1"/>
  <c r="AI344" i="1" s="1"/>
  <c r="AH343" i="1"/>
  <c r="AI343" i="1" s="1"/>
  <c r="AH342" i="1"/>
  <c r="AI342" i="1" s="1"/>
  <c r="AH341" i="1"/>
  <c r="AI341" i="1" s="1"/>
  <c r="AH340" i="1"/>
  <c r="AI340" i="1" s="1"/>
  <c r="AH339" i="1"/>
  <c r="AI339" i="1" s="1"/>
  <c r="AH338" i="1"/>
  <c r="AI338" i="1" s="1"/>
  <c r="AH337" i="1"/>
  <c r="AI337" i="1" s="1"/>
  <c r="AH336" i="1"/>
  <c r="AI336" i="1" s="1"/>
  <c r="AH335" i="1"/>
  <c r="AI335" i="1" s="1"/>
  <c r="AH334" i="1"/>
  <c r="AI334" i="1" s="1"/>
  <c r="AH333" i="1"/>
  <c r="AI333" i="1" s="1"/>
  <c r="AH332" i="1"/>
  <c r="AI332" i="1" s="1"/>
  <c r="AH331" i="1"/>
  <c r="AI331" i="1" s="1"/>
  <c r="AH330" i="1"/>
  <c r="AI330" i="1" s="1"/>
  <c r="AH329" i="1"/>
  <c r="AI329" i="1" s="1"/>
  <c r="AH328" i="1"/>
  <c r="AI328" i="1" s="1"/>
  <c r="AH327" i="1"/>
  <c r="AI327" i="1" s="1"/>
  <c r="AH326" i="1"/>
  <c r="AI326" i="1" s="1"/>
  <c r="AH325" i="1"/>
  <c r="AI325" i="1" s="1"/>
  <c r="AH324" i="1"/>
  <c r="AI324" i="1" s="1"/>
  <c r="AH323" i="1"/>
  <c r="AI323" i="1" s="1"/>
  <c r="AH322" i="1"/>
  <c r="AI322" i="1" s="1"/>
  <c r="AH321" i="1"/>
  <c r="AI321" i="1" s="1"/>
  <c r="AH320" i="1"/>
  <c r="AI320" i="1" s="1"/>
  <c r="AH319" i="1"/>
  <c r="AI319" i="1" s="1"/>
  <c r="AH318" i="1"/>
  <c r="AI318" i="1" s="1"/>
  <c r="AH317" i="1"/>
  <c r="AI317" i="1" s="1"/>
  <c r="AH316" i="1"/>
  <c r="AI316" i="1" s="1"/>
  <c r="AH315" i="1"/>
  <c r="AI315" i="1" s="1"/>
  <c r="AH314" i="1"/>
  <c r="AI314" i="1" s="1"/>
  <c r="AH313" i="1"/>
  <c r="AI313" i="1" s="1"/>
  <c r="AH312" i="1"/>
  <c r="AI312" i="1" s="1"/>
  <c r="AH311" i="1"/>
  <c r="AI311" i="1" s="1"/>
  <c r="AH310" i="1"/>
  <c r="AI310" i="1" s="1"/>
  <c r="AH309" i="1"/>
  <c r="AI309" i="1" s="1"/>
  <c r="AH308" i="1"/>
  <c r="AI308" i="1" s="1"/>
  <c r="AH307" i="1"/>
  <c r="AI307" i="1" s="1"/>
  <c r="AH306" i="1"/>
  <c r="AI306" i="1" s="1"/>
  <c r="AH305" i="1"/>
  <c r="AI305" i="1" s="1"/>
  <c r="AH304" i="1"/>
  <c r="AI304" i="1" s="1"/>
  <c r="AH303" i="1"/>
  <c r="AI303" i="1" s="1"/>
  <c r="AH302" i="1"/>
  <c r="AI302" i="1" s="1"/>
  <c r="AH301" i="1"/>
  <c r="AI301" i="1" s="1"/>
  <c r="AH300" i="1"/>
  <c r="AI300" i="1" s="1"/>
  <c r="AH299" i="1"/>
  <c r="AI299" i="1" s="1"/>
  <c r="AH298" i="1"/>
  <c r="AI298" i="1" s="1"/>
  <c r="AH297" i="1"/>
  <c r="AI297" i="1" s="1"/>
  <c r="AH296" i="1"/>
  <c r="AI296" i="1" s="1"/>
  <c r="AH295" i="1"/>
  <c r="AI295" i="1" s="1"/>
  <c r="AH294" i="1"/>
  <c r="AI294" i="1" s="1"/>
  <c r="AH293" i="1"/>
  <c r="AI293" i="1" s="1"/>
  <c r="AH292" i="1"/>
  <c r="AI292" i="1" s="1"/>
  <c r="AH291" i="1"/>
  <c r="AI291" i="1" s="1"/>
  <c r="AH290" i="1"/>
  <c r="AI290" i="1" s="1"/>
  <c r="AH289" i="1"/>
  <c r="AI289" i="1" s="1"/>
  <c r="AH288" i="1"/>
  <c r="AI288" i="1" s="1"/>
  <c r="AH287" i="1"/>
  <c r="AI287" i="1" s="1"/>
  <c r="AH286" i="1"/>
  <c r="AI286" i="1" s="1"/>
  <c r="AH285" i="1"/>
  <c r="AI285" i="1" s="1"/>
  <c r="AH284" i="1"/>
  <c r="AI284" i="1" s="1"/>
  <c r="AH283" i="1"/>
  <c r="AI283" i="1" s="1"/>
  <c r="AH282" i="1"/>
  <c r="AI282" i="1" s="1"/>
  <c r="AH281" i="1"/>
  <c r="AI281" i="1" s="1"/>
  <c r="AH280" i="1"/>
  <c r="AI280" i="1" s="1"/>
  <c r="AH279" i="1"/>
  <c r="AI279" i="1" s="1"/>
  <c r="AH278" i="1"/>
  <c r="AI278" i="1" s="1"/>
  <c r="AH277" i="1"/>
  <c r="AI277" i="1" s="1"/>
  <c r="AH276" i="1"/>
  <c r="AI276" i="1" s="1"/>
  <c r="AH275" i="1"/>
  <c r="AI275" i="1" s="1"/>
  <c r="AH274" i="1"/>
  <c r="AI274" i="1" s="1"/>
  <c r="AH273" i="1"/>
  <c r="AI273" i="1" s="1"/>
  <c r="AH272" i="1"/>
  <c r="AI272" i="1" s="1"/>
  <c r="AH271" i="1"/>
  <c r="AI271" i="1" s="1"/>
  <c r="AH270" i="1"/>
  <c r="AI270" i="1" s="1"/>
  <c r="AH269" i="1"/>
  <c r="AI269" i="1" s="1"/>
  <c r="AH268" i="1"/>
  <c r="AI268" i="1" s="1"/>
  <c r="AH267" i="1"/>
  <c r="AI267" i="1" s="1"/>
  <c r="AH266" i="1"/>
  <c r="AI266" i="1" s="1"/>
  <c r="AH265" i="1"/>
  <c r="AI265" i="1" s="1"/>
  <c r="AH264" i="1"/>
  <c r="AI264" i="1" s="1"/>
  <c r="AH263" i="1"/>
  <c r="AI263" i="1" s="1"/>
  <c r="AH262" i="1"/>
  <c r="AI262" i="1" s="1"/>
  <c r="AH261" i="1"/>
  <c r="AI261" i="1" s="1"/>
  <c r="AH260" i="1"/>
  <c r="AI260" i="1" s="1"/>
  <c r="AH259" i="1"/>
  <c r="AI259" i="1" s="1"/>
  <c r="AH258" i="1"/>
  <c r="AI258" i="1" s="1"/>
  <c r="AH257" i="1"/>
  <c r="AI257" i="1" s="1"/>
  <c r="AH256" i="1"/>
  <c r="AI256" i="1" s="1"/>
  <c r="AH255" i="1"/>
  <c r="AI255" i="1" s="1"/>
  <c r="AH254" i="1"/>
  <c r="AI254" i="1" s="1"/>
  <c r="AH253" i="1"/>
  <c r="AI253" i="1" s="1"/>
  <c r="AH252" i="1"/>
  <c r="AI252" i="1" s="1"/>
  <c r="AH251" i="1"/>
  <c r="AI251" i="1" s="1"/>
  <c r="AH250" i="1"/>
  <c r="AI250" i="1" s="1"/>
  <c r="AH249" i="1"/>
  <c r="AI249" i="1" s="1"/>
  <c r="AH248" i="1"/>
  <c r="AI248" i="1" s="1"/>
  <c r="AH247" i="1"/>
  <c r="AI247" i="1" s="1"/>
  <c r="AH246" i="1"/>
  <c r="AI246" i="1" s="1"/>
  <c r="AH245" i="1"/>
  <c r="AI245" i="1" s="1"/>
  <c r="AH244" i="1"/>
  <c r="AI244" i="1" s="1"/>
  <c r="AH243" i="1"/>
  <c r="AI243" i="1" s="1"/>
  <c r="AH242" i="1"/>
  <c r="AI242" i="1" s="1"/>
  <c r="AH241" i="1"/>
  <c r="AI241" i="1" s="1"/>
  <c r="AH240" i="1"/>
  <c r="AI240" i="1" s="1"/>
  <c r="AH239" i="1"/>
  <c r="AI239" i="1" s="1"/>
  <c r="AH238" i="1"/>
  <c r="AI238" i="1" s="1"/>
  <c r="AH237" i="1"/>
  <c r="AI237" i="1" s="1"/>
  <c r="AH236" i="1"/>
  <c r="AI236" i="1" s="1"/>
  <c r="AH235" i="1"/>
  <c r="AI235" i="1" s="1"/>
  <c r="AH234" i="1"/>
  <c r="AI234" i="1" s="1"/>
  <c r="AH233" i="1"/>
  <c r="AI233" i="1" s="1"/>
  <c r="AH232" i="1"/>
  <c r="AI232" i="1" s="1"/>
  <c r="AH231" i="1"/>
  <c r="AI231" i="1" s="1"/>
  <c r="AH230" i="1"/>
  <c r="AI230" i="1" s="1"/>
  <c r="AH229" i="1"/>
  <c r="AI229" i="1" s="1"/>
  <c r="AH228" i="1"/>
  <c r="AI228" i="1" s="1"/>
  <c r="AH227" i="1"/>
  <c r="AI227" i="1" s="1"/>
  <c r="AH226" i="1"/>
  <c r="AI226" i="1" s="1"/>
  <c r="AH225" i="1"/>
  <c r="AI225" i="1" s="1"/>
  <c r="AH224" i="1"/>
  <c r="AI224" i="1" s="1"/>
  <c r="AH223" i="1"/>
  <c r="AI223" i="1" s="1"/>
  <c r="AH222" i="1"/>
  <c r="AI222" i="1" s="1"/>
  <c r="AH221" i="1"/>
  <c r="AI221" i="1" s="1"/>
  <c r="AH220" i="1"/>
  <c r="AI220" i="1" s="1"/>
  <c r="AH219" i="1"/>
  <c r="AI219" i="1" s="1"/>
  <c r="AH218" i="1"/>
  <c r="AI218" i="1" s="1"/>
  <c r="AH217" i="1"/>
  <c r="AI217" i="1" s="1"/>
  <c r="AH216" i="1"/>
  <c r="AI216" i="1" s="1"/>
  <c r="AH215" i="1"/>
  <c r="AI215" i="1" s="1"/>
  <c r="AH214" i="1"/>
  <c r="AI214" i="1" s="1"/>
  <c r="AH213" i="1"/>
  <c r="AI213" i="1" s="1"/>
  <c r="AH212" i="1"/>
  <c r="AI212" i="1" s="1"/>
  <c r="AH211" i="1"/>
  <c r="AI211" i="1" s="1"/>
  <c r="AH210" i="1"/>
  <c r="AI210" i="1" s="1"/>
  <c r="AH209" i="1"/>
  <c r="AI209" i="1" s="1"/>
  <c r="AH208" i="1"/>
  <c r="AI208" i="1" s="1"/>
  <c r="AH207" i="1"/>
  <c r="AI207" i="1" s="1"/>
  <c r="AH206" i="1"/>
  <c r="AI206" i="1" s="1"/>
  <c r="AH205" i="1"/>
  <c r="AI205" i="1" s="1"/>
  <c r="AH204" i="1"/>
  <c r="AI204" i="1" s="1"/>
  <c r="AH203" i="1"/>
  <c r="AI203" i="1" s="1"/>
  <c r="AH202" i="1"/>
  <c r="AI202" i="1" s="1"/>
  <c r="AH201" i="1"/>
  <c r="AI201" i="1" s="1"/>
  <c r="AH200" i="1"/>
  <c r="AI200" i="1" s="1"/>
  <c r="AH199" i="1"/>
  <c r="AI199" i="1" s="1"/>
  <c r="AH198" i="1"/>
  <c r="AI198" i="1" s="1"/>
  <c r="AH197" i="1"/>
  <c r="AI197" i="1" s="1"/>
  <c r="AH196" i="1"/>
  <c r="AI196" i="1" s="1"/>
  <c r="AH195" i="1"/>
  <c r="AI195" i="1" s="1"/>
  <c r="AH194" i="1"/>
  <c r="AI194" i="1" s="1"/>
  <c r="AH193" i="1"/>
  <c r="AI193" i="1" s="1"/>
  <c r="AH192" i="1"/>
  <c r="AI192" i="1" s="1"/>
  <c r="AH191" i="1"/>
  <c r="AI191" i="1" s="1"/>
  <c r="AH190" i="1"/>
  <c r="AI190" i="1" s="1"/>
  <c r="AH189" i="1"/>
  <c r="AI189" i="1" s="1"/>
  <c r="AH188" i="1"/>
  <c r="AI188" i="1" s="1"/>
  <c r="AH187" i="1"/>
  <c r="AI187" i="1" s="1"/>
  <c r="AH186" i="1"/>
  <c r="AI186" i="1" s="1"/>
  <c r="AH185" i="1"/>
  <c r="AI185" i="1" s="1"/>
  <c r="AH184" i="1"/>
  <c r="AI184" i="1" s="1"/>
  <c r="AH183" i="1"/>
  <c r="AI183" i="1" s="1"/>
  <c r="AH182" i="1"/>
  <c r="AI182" i="1" s="1"/>
  <c r="AH181" i="1"/>
  <c r="AI181" i="1" s="1"/>
  <c r="AH180" i="1"/>
  <c r="AI180" i="1" s="1"/>
  <c r="AH179" i="1"/>
  <c r="AI179" i="1" s="1"/>
  <c r="AH178" i="1"/>
  <c r="AI178" i="1" s="1"/>
  <c r="AH177" i="1"/>
  <c r="AI177" i="1" s="1"/>
  <c r="AH176" i="1"/>
  <c r="AI176" i="1" s="1"/>
  <c r="AH175" i="1"/>
  <c r="AI175" i="1" s="1"/>
  <c r="AH174" i="1"/>
  <c r="AI174" i="1" s="1"/>
  <c r="AH173" i="1"/>
  <c r="AI173" i="1" s="1"/>
  <c r="AH172" i="1"/>
  <c r="AI172" i="1" s="1"/>
  <c r="AH171" i="1"/>
  <c r="AI171" i="1" s="1"/>
  <c r="AH170" i="1"/>
  <c r="AI170" i="1" s="1"/>
  <c r="AH169" i="1"/>
  <c r="AI169" i="1" s="1"/>
  <c r="AH168" i="1"/>
  <c r="AI168" i="1" s="1"/>
  <c r="AH167" i="1"/>
  <c r="AI167" i="1" s="1"/>
  <c r="AH166" i="1"/>
  <c r="AI166" i="1" s="1"/>
  <c r="AH165" i="1"/>
  <c r="AI165" i="1" s="1"/>
  <c r="AH164" i="1"/>
  <c r="AI164" i="1" s="1"/>
  <c r="AH163" i="1"/>
  <c r="AI163" i="1" s="1"/>
  <c r="AH162" i="1"/>
  <c r="AI162" i="1" s="1"/>
  <c r="AH161" i="1"/>
  <c r="AI161" i="1" s="1"/>
  <c r="AH160" i="1"/>
  <c r="AI160" i="1" s="1"/>
  <c r="AH159" i="1"/>
  <c r="AI159" i="1" s="1"/>
  <c r="AH158" i="1"/>
  <c r="AI158" i="1" s="1"/>
  <c r="AH157" i="1"/>
  <c r="AI157" i="1" s="1"/>
  <c r="AH156" i="1"/>
  <c r="AI156" i="1" s="1"/>
  <c r="AH155" i="1"/>
  <c r="AI155" i="1" s="1"/>
  <c r="AH154" i="1"/>
  <c r="AI154" i="1" s="1"/>
  <c r="AH153" i="1"/>
  <c r="AI153" i="1" s="1"/>
  <c r="AH152" i="1"/>
  <c r="AI152" i="1" s="1"/>
  <c r="AH151" i="1"/>
  <c r="AI151" i="1" s="1"/>
  <c r="AH150" i="1"/>
  <c r="AI150" i="1" s="1"/>
  <c r="AH149" i="1"/>
  <c r="AI149" i="1" s="1"/>
  <c r="AH148" i="1"/>
  <c r="AI148" i="1" s="1"/>
  <c r="AH147" i="1"/>
  <c r="AI147" i="1" s="1"/>
  <c r="AH146" i="1"/>
  <c r="AI146" i="1" s="1"/>
  <c r="AH145" i="1"/>
  <c r="AI145" i="1" s="1"/>
  <c r="AH144" i="1"/>
  <c r="AI144" i="1" s="1"/>
  <c r="AH143" i="1"/>
  <c r="AI143" i="1" s="1"/>
  <c r="AH142" i="1"/>
  <c r="AI142" i="1" s="1"/>
  <c r="AH141" i="1"/>
  <c r="AI141" i="1" s="1"/>
  <c r="AH140" i="1"/>
  <c r="AI140" i="1" s="1"/>
  <c r="AH139" i="1"/>
  <c r="AI139" i="1" s="1"/>
  <c r="AH138" i="1"/>
  <c r="AI138" i="1" s="1"/>
  <c r="AH137" i="1"/>
  <c r="AI137" i="1" s="1"/>
  <c r="AH136" i="1"/>
  <c r="AI136" i="1" s="1"/>
  <c r="AH135" i="1"/>
  <c r="AI135" i="1" s="1"/>
  <c r="AH134" i="1"/>
  <c r="AI134" i="1" s="1"/>
  <c r="AH133" i="1"/>
  <c r="AI133" i="1" s="1"/>
  <c r="AH132" i="1"/>
  <c r="AI132" i="1" s="1"/>
  <c r="AH131" i="1"/>
  <c r="AI131" i="1" s="1"/>
  <c r="AH130" i="1"/>
  <c r="AI130" i="1" s="1"/>
  <c r="AH129" i="1"/>
  <c r="AI129" i="1" s="1"/>
  <c r="AH128" i="1"/>
  <c r="AI128" i="1" s="1"/>
  <c r="AH127" i="1"/>
  <c r="AI127" i="1" s="1"/>
  <c r="AH126" i="1"/>
  <c r="AI126" i="1" s="1"/>
  <c r="AH125" i="1"/>
  <c r="AI125" i="1" s="1"/>
  <c r="AH124" i="1"/>
  <c r="AI124" i="1" s="1"/>
  <c r="AH115" i="1"/>
  <c r="AI115" i="1" s="1"/>
  <c r="AH114" i="1"/>
  <c r="AI114" i="1" s="1"/>
  <c r="AH113" i="1"/>
  <c r="AI113" i="1" s="1"/>
  <c r="AH112" i="1"/>
  <c r="AI112" i="1" s="1"/>
  <c r="AH111" i="1"/>
  <c r="AI111" i="1" s="1"/>
  <c r="AH110" i="1"/>
  <c r="AI110" i="1" s="1"/>
  <c r="AH109" i="1"/>
  <c r="AI109" i="1" s="1"/>
  <c r="AH108" i="1"/>
  <c r="AI108" i="1" s="1"/>
  <c r="AH107" i="1"/>
  <c r="AI107" i="1" s="1"/>
  <c r="AH106" i="1"/>
  <c r="AI106" i="1" s="1"/>
  <c r="AH105" i="1"/>
  <c r="AI105" i="1" s="1"/>
  <c r="AH104" i="1"/>
  <c r="AI104" i="1" s="1"/>
  <c r="AH103" i="1"/>
  <c r="AI103" i="1" s="1"/>
  <c r="AH102" i="1"/>
  <c r="AI102" i="1" s="1"/>
  <c r="AH101" i="1"/>
  <c r="AI101" i="1" s="1"/>
  <c r="AH100" i="1"/>
  <c r="AI100" i="1" s="1"/>
  <c r="AH99" i="1"/>
  <c r="AI99" i="1" s="1"/>
  <c r="AH98" i="1"/>
  <c r="AI98" i="1" s="1"/>
  <c r="AH97" i="1"/>
  <c r="AI97" i="1" s="1"/>
  <c r="AH96" i="1"/>
  <c r="AI96" i="1" s="1"/>
  <c r="AH95" i="1"/>
  <c r="AI95" i="1" s="1"/>
  <c r="AH94" i="1"/>
  <c r="AI94" i="1" s="1"/>
  <c r="AH93" i="1"/>
  <c r="AI93" i="1" s="1"/>
  <c r="AH92" i="1"/>
  <c r="AI92" i="1" s="1"/>
  <c r="AH91" i="1"/>
  <c r="AI91" i="1" s="1"/>
  <c r="AH90" i="1"/>
  <c r="AI90" i="1" s="1"/>
  <c r="AH89" i="1"/>
  <c r="AI89" i="1" s="1"/>
  <c r="AH88" i="1"/>
  <c r="AI88" i="1" s="1"/>
  <c r="AH87" i="1"/>
  <c r="AI87" i="1" s="1"/>
  <c r="AH86" i="1"/>
  <c r="AI86" i="1" s="1"/>
  <c r="AH85" i="1"/>
  <c r="AI85" i="1" s="1"/>
  <c r="AH84" i="1"/>
  <c r="AI84" i="1" s="1"/>
  <c r="AH83" i="1"/>
  <c r="AI83" i="1" s="1"/>
  <c r="AH82" i="1"/>
  <c r="AI82" i="1" s="1"/>
  <c r="AH81" i="1"/>
  <c r="AI81" i="1" s="1"/>
  <c r="AH80" i="1"/>
  <c r="AI80" i="1" s="1"/>
  <c r="AH79" i="1"/>
  <c r="AI79" i="1" s="1"/>
  <c r="AH78" i="1"/>
  <c r="AI78" i="1" s="1"/>
  <c r="AH77" i="1"/>
  <c r="AI77" i="1" s="1"/>
  <c r="AH76" i="1"/>
  <c r="AI76" i="1" s="1"/>
  <c r="AH75" i="1"/>
  <c r="AI75" i="1" s="1"/>
  <c r="AH74" i="1"/>
  <c r="AI74" i="1" s="1"/>
  <c r="AH73" i="1"/>
  <c r="AI73" i="1" s="1"/>
  <c r="AH72" i="1"/>
  <c r="AI72" i="1" s="1"/>
  <c r="AH71" i="1"/>
  <c r="AI71" i="1" s="1"/>
  <c r="AH70" i="1"/>
  <c r="AI70" i="1" s="1"/>
  <c r="AH69" i="1"/>
  <c r="AH68" i="1"/>
  <c r="AI68" i="1" s="1"/>
  <c r="AH67" i="1"/>
  <c r="AI67" i="1" s="1"/>
  <c r="AH66" i="1"/>
  <c r="AI66" i="1" s="1"/>
  <c r="AH65" i="1"/>
  <c r="AI65" i="1" s="1"/>
  <c r="AH64" i="1"/>
  <c r="AI64" i="1" s="1"/>
  <c r="AH63" i="1"/>
  <c r="AI63" i="1" s="1"/>
  <c r="AH62" i="1"/>
  <c r="AI62" i="1" s="1"/>
  <c r="AH61" i="1"/>
  <c r="AI61" i="1" s="1"/>
  <c r="AH60" i="1"/>
  <c r="AI60" i="1" s="1"/>
  <c r="AH59" i="1"/>
  <c r="AI59" i="1" s="1"/>
  <c r="AH58" i="1"/>
  <c r="AI58" i="1" s="1"/>
  <c r="AH57" i="1"/>
  <c r="AI57" i="1" s="1"/>
  <c r="AH56" i="1"/>
  <c r="AI56" i="1" s="1"/>
  <c r="AH55" i="1"/>
  <c r="AI55" i="1" s="1"/>
  <c r="AH54" i="1"/>
  <c r="AI54" i="1" s="1"/>
  <c r="AH53" i="1"/>
  <c r="AI53" i="1" s="1"/>
  <c r="AH52" i="1"/>
  <c r="AI52" i="1" s="1"/>
  <c r="AH51" i="1"/>
  <c r="AI51" i="1" s="1"/>
  <c r="AH50" i="1"/>
  <c r="AI50" i="1" s="1"/>
  <c r="AH49" i="1"/>
  <c r="AI49" i="1" s="1"/>
  <c r="AH48" i="1"/>
  <c r="AI48" i="1" s="1"/>
  <c r="AH47" i="1"/>
  <c r="AI47" i="1" s="1"/>
  <c r="AH46" i="1"/>
  <c r="AI46" i="1" s="1"/>
  <c r="AH45" i="1"/>
  <c r="AI45" i="1" s="1"/>
  <c r="AH44" i="1"/>
  <c r="AI44" i="1" s="1"/>
  <c r="AH43" i="1"/>
  <c r="AI43" i="1" s="1"/>
  <c r="AH42" i="1"/>
  <c r="AI42" i="1" s="1"/>
  <c r="AH41" i="1"/>
  <c r="AI41" i="1" s="1"/>
  <c r="AH40" i="1"/>
  <c r="AI40" i="1" s="1"/>
  <c r="AH39" i="1"/>
  <c r="AI39" i="1" s="1"/>
  <c r="AH38" i="1"/>
  <c r="AI38" i="1" s="1"/>
  <c r="AH37" i="1"/>
  <c r="AI37" i="1" s="1"/>
  <c r="AH36" i="1"/>
  <c r="AI36" i="1" s="1"/>
  <c r="AH35" i="1"/>
  <c r="AI35" i="1" s="1"/>
  <c r="AH34" i="1"/>
  <c r="AI34" i="1" s="1"/>
  <c r="AH33" i="1"/>
  <c r="AI33" i="1" s="1"/>
  <c r="AH32" i="1"/>
  <c r="AI32" i="1" s="1"/>
  <c r="AH31" i="1"/>
  <c r="AI31" i="1" s="1"/>
  <c r="AH30" i="1"/>
  <c r="AI30" i="1" s="1"/>
  <c r="AH29" i="1"/>
  <c r="AI29" i="1" s="1"/>
  <c r="AH28" i="1"/>
  <c r="AI28" i="1" s="1"/>
  <c r="AH27" i="1"/>
  <c r="AI27" i="1" s="1"/>
  <c r="AH26" i="1"/>
  <c r="AI26" i="1" s="1"/>
  <c r="AH25" i="1"/>
  <c r="AI25" i="1" s="1"/>
  <c r="AH24" i="1"/>
  <c r="AI24" i="1" s="1"/>
  <c r="AH23" i="1"/>
  <c r="AI23" i="1" s="1"/>
  <c r="AH22" i="1"/>
  <c r="AI22" i="1" s="1"/>
  <c r="AH21" i="1"/>
  <c r="AH20" i="1"/>
  <c r="AI20" i="1" s="1"/>
  <c r="AH19" i="1"/>
  <c r="AI19" i="1" s="1"/>
  <c r="AD436" i="1"/>
  <c r="AE436" i="1" s="1"/>
  <c r="AD435" i="1"/>
  <c r="AE435" i="1" s="1"/>
  <c r="AD434" i="1"/>
  <c r="AE434" i="1" s="1"/>
  <c r="AD433" i="1"/>
  <c r="AE433" i="1" s="1"/>
  <c r="AD432" i="1"/>
  <c r="AE432" i="1" s="1"/>
  <c r="AD431" i="1"/>
  <c r="AE431" i="1" s="1"/>
  <c r="AD430" i="1"/>
  <c r="AE430" i="1" s="1"/>
  <c r="AD429" i="1"/>
  <c r="AE429" i="1" s="1"/>
  <c r="AD428" i="1"/>
  <c r="AE428" i="1" s="1"/>
  <c r="AD427" i="1"/>
  <c r="AE427" i="1" s="1"/>
  <c r="AD426" i="1"/>
  <c r="AE426" i="1" s="1"/>
  <c r="AD425" i="1"/>
  <c r="AE425" i="1" s="1"/>
  <c r="AD424" i="1"/>
  <c r="AE424" i="1" s="1"/>
  <c r="AD423" i="1"/>
  <c r="AE423" i="1" s="1"/>
  <c r="AD422" i="1"/>
  <c r="AE422" i="1" s="1"/>
  <c r="AD421" i="1"/>
  <c r="AE421" i="1" s="1"/>
  <c r="AD420" i="1"/>
  <c r="AE420" i="1" s="1"/>
  <c r="AD419" i="1"/>
  <c r="AE419" i="1" s="1"/>
  <c r="AD418" i="1"/>
  <c r="AE418" i="1" s="1"/>
  <c r="AD417" i="1"/>
  <c r="AE417" i="1" s="1"/>
  <c r="AD416" i="1"/>
  <c r="AE416" i="1" s="1"/>
  <c r="AD415" i="1"/>
  <c r="AE415" i="1" s="1"/>
  <c r="AD414" i="1"/>
  <c r="AE414" i="1" s="1"/>
  <c r="AD413" i="1"/>
  <c r="AE413" i="1" s="1"/>
  <c r="AD412" i="1"/>
  <c r="AE412" i="1" s="1"/>
  <c r="AD411" i="1"/>
  <c r="AE411" i="1" s="1"/>
  <c r="AD410" i="1"/>
  <c r="AE410" i="1" s="1"/>
  <c r="AD409" i="1"/>
  <c r="AE409" i="1" s="1"/>
  <c r="AD408" i="1"/>
  <c r="AE408" i="1" s="1"/>
  <c r="AD407" i="1"/>
  <c r="AE407" i="1" s="1"/>
  <c r="AD406" i="1"/>
  <c r="AE406" i="1" s="1"/>
  <c r="AD405" i="1"/>
  <c r="AE405" i="1" s="1"/>
  <c r="AD404" i="1"/>
  <c r="AE404" i="1" s="1"/>
  <c r="AD403" i="1"/>
  <c r="AE403" i="1" s="1"/>
  <c r="AD402" i="1"/>
  <c r="AE402" i="1" s="1"/>
  <c r="AD401" i="1"/>
  <c r="AE401" i="1" s="1"/>
  <c r="AD400" i="1"/>
  <c r="AE400" i="1" s="1"/>
  <c r="AD399" i="1"/>
  <c r="AE399" i="1" s="1"/>
  <c r="AD398" i="1"/>
  <c r="AE398" i="1" s="1"/>
  <c r="AD397" i="1"/>
  <c r="AE397" i="1" s="1"/>
  <c r="AD396" i="1"/>
  <c r="AE396" i="1" s="1"/>
  <c r="AD395" i="1"/>
  <c r="AE395" i="1" s="1"/>
  <c r="AD394" i="1"/>
  <c r="AE394" i="1" s="1"/>
  <c r="AD393" i="1"/>
  <c r="AE393" i="1" s="1"/>
  <c r="AD392" i="1"/>
  <c r="AE392" i="1" s="1"/>
  <c r="AD391" i="1"/>
  <c r="AE391" i="1" s="1"/>
  <c r="AD390" i="1"/>
  <c r="AE390" i="1" s="1"/>
  <c r="AD389" i="1"/>
  <c r="AE389" i="1" s="1"/>
  <c r="AD388" i="1"/>
  <c r="AE388" i="1" s="1"/>
  <c r="AD387" i="1"/>
  <c r="AE387" i="1" s="1"/>
  <c r="AD386" i="1"/>
  <c r="AE386" i="1" s="1"/>
  <c r="AD385" i="1"/>
  <c r="AE385" i="1" s="1"/>
  <c r="AD384" i="1"/>
  <c r="AE384" i="1" s="1"/>
  <c r="AD383" i="1"/>
  <c r="AE383" i="1" s="1"/>
  <c r="AD382" i="1"/>
  <c r="AE382" i="1" s="1"/>
  <c r="AD381" i="1"/>
  <c r="AE381" i="1" s="1"/>
  <c r="AD380" i="1"/>
  <c r="AE380" i="1" s="1"/>
  <c r="AD379" i="1"/>
  <c r="AE379" i="1" s="1"/>
  <c r="AD378" i="1"/>
  <c r="AE378" i="1" s="1"/>
  <c r="AD377" i="1"/>
  <c r="AE377" i="1" s="1"/>
  <c r="AD376" i="1"/>
  <c r="AE376" i="1" s="1"/>
  <c r="AD375" i="1"/>
  <c r="AE375" i="1" s="1"/>
  <c r="AD374" i="1"/>
  <c r="AE374" i="1" s="1"/>
  <c r="AD373" i="1"/>
  <c r="AE373" i="1" s="1"/>
  <c r="AD372" i="1"/>
  <c r="AE372" i="1" s="1"/>
  <c r="AD371" i="1"/>
  <c r="AE371" i="1" s="1"/>
  <c r="AD370" i="1"/>
  <c r="AE370" i="1" s="1"/>
  <c r="AD369" i="1"/>
  <c r="AE369" i="1" s="1"/>
  <c r="AD368" i="1"/>
  <c r="AE368" i="1" s="1"/>
  <c r="AD367" i="1"/>
  <c r="AE367" i="1" s="1"/>
  <c r="AD366" i="1"/>
  <c r="AE366" i="1" s="1"/>
  <c r="AD365" i="1"/>
  <c r="AE365" i="1" s="1"/>
  <c r="AD364" i="1"/>
  <c r="AE364" i="1" s="1"/>
  <c r="AD363" i="1"/>
  <c r="AE363" i="1" s="1"/>
  <c r="AD362" i="1"/>
  <c r="AE362" i="1" s="1"/>
  <c r="AD361" i="1"/>
  <c r="AE361" i="1" s="1"/>
  <c r="AD360" i="1"/>
  <c r="AE360" i="1" s="1"/>
  <c r="AD359" i="1"/>
  <c r="AE359" i="1" s="1"/>
  <c r="AD358" i="1"/>
  <c r="AE358" i="1" s="1"/>
  <c r="AD357" i="1"/>
  <c r="AE357" i="1" s="1"/>
  <c r="AD356" i="1"/>
  <c r="AE356" i="1" s="1"/>
  <c r="AD355" i="1"/>
  <c r="AE355" i="1" s="1"/>
  <c r="AD354" i="1"/>
  <c r="AE354" i="1" s="1"/>
  <c r="AD353" i="1"/>
  <c r="AE353" i="1" s="1"/>
  <c r="AD352" i="1"/>
  <c r="AE352" i="1" s="1"/>
  <c r="AD351" i="1"/>
  <c r="AE351" i="1" s="1"/>
  <c r="AD350" i="1"/>
  <c r="AE350" i="1" s="1"/>
  <c r="AD349" i="1"/>
  <c r="AE349" i="1" s="1"/>
  <c r="AD348" i="1"/>
  <c r="AE348" i="1" s="1"/>
  <c r="AD347" i="1"/>
  <c r="AE347" i="1" s="1"/>
  <c r="AD346" i="1"/>
  <c r="AE346" i="1" s="1"/>
  <c r="AD345" i="1"/>
  <c r="AE345" i="1" s="1"/>
  <c r="AD344" i="1"/>
  <c r="AE344" i="1" s="1"/>
  <c r="AD343" i="1"/>
  <c r="AE343" i="1" s="1"/>
  <c r="AD342" i="1"/>
  <c r="AE342" i="1" s="1"/>
  <c r="AD341" i="1"/>
  <c r="AE341" i="1" s="1"/>
  <c r="AD340" i="1"/>
  <c r="AE340" i="1" s="1"/>
  <c r="AD339" i="1"/>
  <c r="AE339" i="1" s="1"/>
  <c r="AD338" i="1"/>
  <c r="AE338" i="1" s="1"/>
  <c r="AD337" i="1"/>
  <c r="AE337" i="1" s="1"/>
  <c r="AD336" i="1"/>
  <c r="AE336" i="1" s="1"/>
  <c r="AD335" i="1"/>
  <c r="AE335" i="1" s="1"/>
  <c r="AD334" i="1"/>
  <c r="AE334" i="1" s="1"/>
  <c r="AD333" i="1"/>
  <c r="AE333" i="1" s="1"/>
  <c r="AD332" i="1"/>
  <c r="AE332" i="1" s="1"/>
  <c r="AD331" i="1"/>
  <c r="AE331" i="1" s="1"/>
  <c r="AD330" i="1"/>
  <c r="AE330" i="1" s="1"/>
  <c r="AD329" i="1"/>
  <c r="AE329" i="1" s="1"/>
  <c r="AD328" i="1"/>
  <c r="AE328" i="1" s="1"/>
  <c r="AD327" i="1"/>
  <c r="AE327" i="1" s="1"/>
  <c r="AD326" i="1"/>
  <c r="AE326" i="1" s="1"/>
  <c r="AD325" i="1"/>
  <c r="AE325" i="1" s="1"/>
  <c r="AD324" i="1"/>
  <c r="AE324" i="1" s="1"/>
  <c r="AD323" i="1"/>
  <c r="AE323" i="1" s="1"/>
  <c r="AD322" i="1"/>
  <c r="AE322" i="1" s="1"/>
  <c r="AD321" i="1"/>
  <c r="AE321" i="1" s="1"/>
  <c r="AD320" i="1"/>
  <c r="AE320" i="1" s="1"/>
  <c r="AD319" i="1"/>
  <c r="AE319" i="1" s="1"/>
  <c r="AD318" i="1"/>
  <c r="AE318" i="1" s="1"/>
  <c r="AD317" i="1"/>
  <c r="AE317" i="1" s="1"/>
  <c r="AD316" i="1"/>
  <c r="AE316" i="1" s="1"/>
  <c r="AD315" i="1"/>
  <c r="AE315" i="1" s="1"/>
  <c r="AD314" i="1"/>
  <c r="AE314" i="1" s="1"/>
  <c r="AD313" i="1"/>
  <c r="AE313" i="1" s="1"/>
  <c r="AD312" i="1"/>
  <c r="AE312" i="1" s="1"/>
  <c r="AD311" i="1"/>
  <c r="AE311" i="1" s="1"/>
  <c r="AD310" i="1"/>
  <c r="AE310" i="1" s="1"/>
  <c r="AD309" i="1"/>
  <c r="AE309" i="1" s="1"/>
  <c r="AD308" i="1"/>
  <c r="AE308" i="1" s="1"/>
  <c r="AD307" i="1"/>
  <c r="AE307" i="1" s="1"/>
  <c r="AD306" i="1"/>
  <c r="AE306" i="1" s="1"/>
  <c r="AD305" i="1"/>
  <c r="AE305" i="1" s="1"/>
  <c r="AD304" i="1"/>
  <c r="AE304" i="1" s="1"/>
  <c r="AD303" i="1"/>
  <c r="AE303" i="1" s="1"/>
  <c r="AD302" i="1"/>
  <c r="AE302" i="1" s="1"/>
  <c r="AD301" i="1"/>
  <c r="AE301" i="1" s="1"/>
  <c r="AD300" i="1"/>
  <c r="AE300" i="1" s="1"/>
  <c r="AD299" i="1"/>
  <c r="AE299" i="1" s="1"/>
  <c r="AD298" i="1"/>
  <c r="AE298" i="1" s="1"/>
  <c r="AD297" i="1"/>
  <c r="AE297" i="1" s="1"/>
  <c r="AD296" i="1"/>
  <c r="AE296" i="1" s="1"/>
  <c r="AD295" i="1"/>
  <c r="AE295" i="1" s="1"/>
  <c r="AD294" i="1"/>
  <c r="AE294" i="1" s="1"/>
  <c r="AD293" i="1"/>
  <c r="AE293" i="1" s="1"/>
  <c r="AD292" i="1"/>
  <c r="AE292" i="1" s="1"/>
  <c r="AD291" i="1"/>
  <c r="AE291" i="1" s="1"/>
  <c r="AD290" i="1"/>
  <c r="AE290" i="1" s="1"/>
  <c r="AD289" i="1"/>
  <c r="AE289" i="1" s="1"/>
  <c r="AD288" i="1"/>
  <c r="AE288" i="1" s="1"/>
  <c r="AD287" i="1"/>
  <c r="AE287" i="1" s="1"/>
  <c r="AD286" i="1"/>
  <c r="AE286" i="1" s="1"/>
  <c r="AD285" i="1"/>
  <c r="AE285" i="1" s="1"/>
  <c r="AD284" i="1"/>
  <c r="AE284" i="1" s="1"/>
  <c r="AD283" i="1"/>
  <c r="AE283" i="1" s="1"/>
  <c r="AD282" i="1"/>
  <c r="AE282" i="1" s="1"/>
  <c r="AD281" i="1"/>
  <c r="AE281" i="1" s="1"/>
  <c r="AD280" i="1"/>
  <c r="AE280" i="1" s="1"/>
  <c r="AD279" i="1"/>
  <c r="AE279" i="1" s="1"/>
  <c r="AD278" i="1"/>
  <c r="AE278" i="1" s="1"/>
  <c r="AD277" i="1"/>
  <c r="AE277" i="1" s="1"/>
  <c r="AD276" i="1"/>
  <c r="AE276" i="1" s="1"/>
  <c r="AD275" i="1"/>
  <c r="AE275" i="1" s="1"/>
  <c r="AD274" i="1"/>
  <c r="AE274" i="1" s="1"/>
  <c r="AD273" i="1"/>
  <c r="AE273" i="1" s="1"/>
  <c r="AD272" i="1"/>
  <c r="AE272" i="1" s="1"/>
  <c r="AD271" i="1"/>
  <c r="AE271" i="1" s="1"/>
  <c r="AD270" i="1"/>
  <c r="AE270" i="1" s="1"/>
  <c r="AD269" i="1"/>
  <c r="AE269" i="1" s="1"/>
  <c r="AD268" i="1"/>
  <c r="AE268" i="1" s="1"/>
  <c r="AD267" i="1"/>
  <c r="AE267" i="1" s="1"/>
  <c r="AD266" i="1"/>
  <c r="AE266" i="1" s="1"/>
  <c r="AD265" i="1"/>
  <c r="AE265" i="1" s="1"/>
  <c r="AD264" i="1"/>
  <c r="AE264" i="1" s="1"/>
  <c r="AD263" i="1"/>
  <c r="AE263" i="1" s="1"/>
  <c r="AD262" i="1"/>
  <c r="AE262" i="1" s="1"/>
  <c r="AD261" i="1"/>
  <c r="AE261" i="1" s="1"/>
  <c r="AD260" i="1"/>
  <c r="AE260" i="1" s="1"/>
  <c r="AD259" i="1"/>
  <c r="AE259" i="1" s="1"/>
  <c r="AD258" i="1"/>
  <c r="AE258" i="1" s="1"/>
  <c r="AD257" i="1"/>
  <c r="AE257" i="1" s="1"/>
  <c r="AD256" i="1"/>
  <c r="AE256" i="1" s="1"/>
  <c r="AD255" i="1"/>
  <c r="AE255" i="1" s="1"/>
  <c r="AD254" i="1"/>
  <c r="AE254" i="1" s="1"/>
  <c r="AD253" i="1"/>
  <c r="AE253" i="1" s="1"/>
  <c r="AD252" i="1"/>
  <c r="AE252" i="1" s="1"/>
  <c r="AD251" i="1"/>
  <c r="AE251" i="1" s="1"/>
  <c r="AD250" i="1"/>
  <c r="AE250" i="1" s="1"/>
  <c r="AD249" i="1"/>
  <c r="AE249" i="1" s="1"/>
  <c r="AD248" i="1"/>
  <c r="AE248" i="1" s="1"/>
  <c r="AD247" i="1"/>
  <c r="AE247" i="1" s="1"/>
  <c r="AD246" i="1"/>
  <c r="AE246" i="1" s="1"/>
  <c r="AD245" i="1"/>
  <c r="AE245" i="1" s="1"/>
  <c r="AD244" i="1"/>
  <c r="AE244" i="1" s="1"/>
  <c r="AD243" i="1"/>
  <c r="AE243" i="1" s="1"/>
  <c r="AD242" i="1"/>
  <c r="AE242" i="1" s="1"/>
  <c r="AD241" i="1"/>
  <c r="AE241" i="1" s="1"/>
  <c r="AD240" i="1"/>
  <c r="AE240" i="1" s="1"/>
  <c r="AD239" i="1"/>
  <c r="AE239" i="1" s="1"/>
  <c r="AD238" i="1"/>
  <c r="AE238" i="1" s="1"/>
  <c r="AD237" i="1"/>
  <c r="AE237" i="1" s="1"/>
  <c r="AD236" i="1"/>
  <c r="AE236" i="1" s="1"/>
  <c r="AD235" i="1"/>
  <c r="AE235" i="1" s="1"/>
  <c r="AD234" i="1"/>
  <c r="AE234" i="1" s="1"/>
  <c r="AD233" i="1"/>
  <c r="AE233" i="1" s="1"/>
  <c r="AD232" i="1"/>
  <c r="AE232" i="1" s="1"/>
  <c r="AD231" i="1"/>
  <c r="AE231" i="1" s="1"/>
  <c r="AD230" i="1"/>
  <c r="AE230" i="1" s="1"/>
  <c r="AD229" i="1"/>
  <c r="AE229" i="1" s="1"/>
  <c r="AD228" i="1"/>
  <c r="AE228" i="1" s="1"/>
  <c r="AD227" i="1"/>
  <c r="AE227" i="1" s="1"/>
  <c r="AD226" i="1"/>
  <c r="AE226" i="1" s="1"/>
  <c r="AD225" i="1"/>
  <c r="AE225" i="1" s="1"/>
  <c r="AD224" i="1"/>
  <c r="AE224" i="1" s="1"/>
  <c r="AD223" i="1"/>
  <c r="AE223" i="1" s="1"/>
  <c r="AD222" i="1"/>
  <c r="AE222" i="1" s="1"/>
  <c r="AD221" i="1"/>
  <c r="AE221" i="1" s="1"/>
  <c r="AD220" i="1"/>
  <c r="AE220" i="1" s="1"/>
  <c r="AD219" i="1"/>
  <c r="AE219" i="1" s="1"/>
  <c r="AD218" i="1"/>
  <c r="AE218" i="1" s="1"/>
  <c r="AD217" i="1"/>
  <c r="AE217" i="1" s="1"/>
  <c r="AD216" i="1"/>
  <c r="AE216" i="1" s="1"/>
  <c r="AD215" i="1"/>
  <c r="AE215" i="1" s="1"/>
  <c r="AD214" i="1"/>
  <c r="AE214" i="1" s="1"/>
  <c r="AD213" i="1"/>
  <c r="AE213" i="1" s="1"/>
  <c r="AD212" i="1"/>
  <c r="AE212" i="1" s="1"/>
  <c r="AD211" i="1"/>
  <c r="AE211" i="1" s="1"/>
  <c r="AD210" i="1"/>
  <c r="AE210" i="1" s="1"/>
  <c r="AD209" i="1"/>
  <c r="AE209" i="1" s="1"/>
  <c r="AD208" i="1"/>
  <c r="AE208" i="1" s="1"/>
  <c r="AD207" i="1"/>
  <c r="AE207" i="1" s="1"/>
  <c r="AD206" i="1"/>
  <c r="AE206" i="1" s="1"/>
  <c r="AD205" i="1"/>
  <c r="AE205" i="1" s="1"/>
  <c r="AD204" i="1"/>
  <c r="AE204" i="1" s="1"/>
  <c r="AD203" i="1"/>
  <c r="AE203" i="1" s="1"/>
  <c r="AD202" i="1"/>
  <c r="AE202" i="1" s="1"/>
  <c r="AD201" i="1"/>
  <c r="AE201" i="1" s="1"/>
  <c r="AD200" i="1"/>
  <c r="AE200" i="1" s="1"/>
  <c r="AD199" i="1"/>
  <c r="AE199" i="1" s="1"/>
  <c r="AD198" i="1"/>
  <c r="AE198" i="1" s="1"/>
  <c r="AD197" i="1"/>
  <c r="AE197" i="1" s="1"/>
  <c r="AD196" i="1"/>
  <c r="AE196" i="1" s="1"/>
  <c r="AD195" i="1"/>
  <c r="AE195" i="1" s="1"/>
  <c r="AD194" i="1"/>
  <c r="AE194" i="1" s="1"/>
  <c r="AD193" i="1"/>
  <c r="AE193" i="1" s="1"/>
  <c r="AD192" i="1"/>
  <c r="AE192" i="1" s="1"/>
  <c r="AD191" i="1"/>
  <c r="AE191" i="1" s="1"/>
  <c r="AD190" i="1"/>
  <c r="AE190" i="1" s="1"/>
  <c r="AD189" i="1"/>
  <c r="AE189" i="1" s="1"/>
  <c r="AD188" i="1"/>
  <c r="AE188" i="1" s="1"/>
  <c r="AD187" i="1"/>
  <c r="AE187" i="1" s="1"/>
  <c r="AD186" i="1"/>
  <c r="AE186" i="1" s="1"/>
  <c r="AD185" i="1"/>
  <c r="AE185" i="1" s="1"/>
  <c r="AD184" i="1"/>
  <c r="AE184" i="1" s="1"/>
  <c r="AD183" i="1"/>
  <c r="AE183" i="1" s="1"/>
  <c r="AD182" i="1"/>
  <c r="AE182" i="1" s="1"/>
  <c r="AD181" i="1"/>
  <c r="AE181" i="1" s="1"/>
  <c r="AD180" i="1"/>
  <c r="AE180" i="1" s="1"/>
  <c r="AD179" i="1"/>
  <c r="AE179" i="1" s="1"/>
  <c r="AD178" i="1"/>
  <c r="AE178" i="1" s="1"/>
  <c r="AD177" i="1"/>
  <c r="AE177" i="1" s="1"/>
  <c r="AD176" i="1"/>
  <c r="AE176" i="1" s="1"/>
  <c r="AD175" i="1"/>
  <c r="AE175" i="1" s="1"/>
  <c r="AD174" i="1"/>
  <c r="AE174" i="1" s="1"/>
  <c r="AD173" i="1"/>
  <c r="AE173" i="1" s="1"/>
  <c r="AD172" i="1"/>
  <c r="AE172" i="1" s="1"/>
  <c r="AD171" i="1"/>
  <c r="AE171" i="1" s="1"/>
  <c r="AD170" i="1"/>
  <c r="AE170" i="1" s="1"/>
  <c r="AD169" i="1"/>
  <c r="AE169" i="1" s="1"/>
  <c r="AD168" i="1"/>
  <c r="AE168" i="1" s="1"/>
  <c r="AD167" i="1"/>
  <c r="AE167" i="1" s="1"/>
  <c r="AD166" i="1"/>
  <c r="AE166" i="1" s="1"/>
  <c r="AD165" i="1"/>
  <c r="AE165" i="1" s="1"/>
  <c r="AD164" i="1"/>
  <c r="AE164" i="1" s="1"/>
  <c r="AD163" i="1"/>
  <c r="AE163" i="1" s="1"/>
  <c r="AD162" i="1"/>
  <c r="AE162" i="1" s="1"/>
  <c r="AD161" i="1"/>
  <c r="AE161" i="1" s="1"/>
  <c r="AD160" i="1"/>
  <c r="AE160" i="1" s="1"/>
  <c r="AD159" i="1"/>
  <c r="AE159" i="1" s="1"/>
  <c r="AD158" i="1"/>
  <c r="AE158" i="1" s="1"/>
  <c r="AD157" i="1"/>
  <c r="AE157" i="1" s="1"/>
  <c r="AD156" i="1"/>
  <c r="AE156" i="1" s="1"/>
  <c r="AD155" i="1"/>
  <c r="AE155" i="1" s="1"/>
  <c r="AD154" i="1"/>
  <c r="AE154" i="1" s="1"/>
  <c r="AD153" i="1"/>
  <c r="AE153" i="1" s="1"/>
  <c r="AD152" i="1"/>
  <c r="AE152" i="1" s="1"/>
  <c r="AD151" i="1"/>
  <c r="AE151" i="1" s="1"/>
  <c r="AD150" i="1"/>
  <c r="AE150" i="1" s="1"/>
  <c r="AD149" i="1"/>
  <c r="AE149" i="1" s="1"/>
  <c r="AD148" i="1"/>
  <c r="AE148" i="1" s="1"/>
  <c r="AD147" i="1"/>
  <c r="AE147" i="1" s="1"/>
  <c r="AD146" i="1"/>
  <c r="AE146" i="1" s="1"/>
  <c r="AD145" i="1"/>
  <c r="AE145" i="1" s="1"/>
  <c r="AD144" i="1"/>
  <c r="AE144" i="1" s="1"/>
  <c r="AD143" i="1"/>
  <c r="AE143" i="1" s="1"/>
  <c r="AD142" i="1"/>
  <c r="AE142" i="1" s="1"/>
  <c r="AD141" i="1"/>
  <c r="AE141" i="1" s="1"/>
  <c r="AD140" i="1"/>
  <c r="AE140" i="1" s="1"/>
  <c r="AD139" i="1"/>
  <c r="AE139" i="1" s="1"/>
  <c r="AD138" i="1"/>
  <c r="AE138" i="1" s="1"/>
  <c r="AD137" i="1"/>
  <c r="AE137" i="1" s="1"/>
  <c r="AD136" i="1"/>
  <c r="AE136" i="1" s="1"/>
  <c r="AD135" i="1"/>
  <c r="AE135" i="1" s="1"/>
  <c r="AD134" i="1"/>
  <c r="AE134" i="1" s="1"/>
  <c r="AD133" i="1"/>
  <c r="AE133" i="1" s="1"/>
  <c r="AD132" i="1"/>
  <c r="AE132" i="1" s="1"/>
  <c r="AD131" i="1"/>
  <c r="AE131" i="1" s="1"/>
  <c r="AD130" i="1"/>
  <c r="AE130" i="1" s="1"/>
  <c r="AD129" i="1"/>
  <c r="AE129" i="1" s="1"/>
  <c r="AD128" i="1"/>
  <c r="AE128" i="1" s="1"/>
  <c r="AD127" i="1"/>
  <c r="AE127" i="1" s="1"/>
  <c r="AD126" i="1"/>
  <c r="AE126" i="1" s="1"/>
  <c r="AD125" i="1"/>
  <c r="AE125" i="1" s="1"/>
  <c r="AD124" i="1"/>
  <c r="AE124" i="1" s="1"/>
  <c r="AD115" i="1"/>
  <c r="AE115" i="1" s="1"/>
  <c r="AD114" i="1"/>
  <c r="AE114" i="1" s="1"/>
  <c r="AD113" i="1"/>
  <c r="AE113" i="1" s="1"/>
  <c r="AD112" i="1"/>
  <c r="AE112" i="1" s="1"/>
  <c r="AD111" i="1"/>
  <c r="AE111" i="1" s="1"/>
  <c r="AD110" i="1"/>
  <c r="AE110" i="1" s="1"/>
  <c r="AD109" i="1"/>
  <c r="AE109" i="1" s="1"/>
  <c r="AD108" i="1"/>
  <c r="AE108" i="1" s="1"/>
  <c r="AD107" i="1"/>
  <c r="AE107" i="1" s="1"/>
  <c r="AD106" i="1"/>
  <c r="AE106" i="1" s="1"/>
  <c r="AD105" i="1"/>
  <c r="AE105" i="1" s="1"/>
  <c r="AD104" i="1"/>
  <c r="AE104" i="1" s="1"/>
  <c r="AD103" i="1"/>
  <c r="AE103" i="1" s="1"/>
  <c r="AD102" i="1"/>
  <c r="AE102" i="1" s="1"/>
  <c r="AD101" i="1"/>
  <c r="AE101" i="1" s="1"/>
  <c r="AD100" i="1"/>
  <c r="AE100" i="1" s="1"/>
  <c r="AD99" i="1"/>
  <c r="AE99" i="1" s="1"/>
  <c r="AD98" i="1"/>
  <c r="AE98" i="1" s="1"/>
  <c r="AD97" i="1"/>
  <c r="AE97" i="1" s="1"/>
  <c r="AD96" i="1"/>
  <c r="AE96" i="1" s="1"/>
  <c r="AD95" i="1"/>
  <c r="AE95" i="1" s="1"/>
  <c r="AD94" i="1"/>
  <c r="AE94" i="1" s="1"/>
  <c r="AD93" i="1"/>
  <c r="AE93" i="1" s="1"/>
  <c r="AD92" i="1"/>
  <c r="AE92" i="1" s="1"/>
  <c r="AD91" i="1"/>
  <c r="AE91" i="1" s="1"/>
  <c r="AD90" i="1"/>
  <c r="AE90" i="1" s="1"/>
  <c r="AD89" i="1"/>
  <c r="AE89" i="1" s="1"/>
  <c r="AD88" i="1"/>
  <c r="AE88" i="1" s="1"/>
  <c r="AD87" i="1"/>
  <c r="AE87" i="1" s="1"/>
  <c r="AD86" i="1"/>
  <c r="AE86" i="1" s="1"/>
  <c r="AD85" i="1"/>
  <c r="AE85" i="1" s="1"/>
  <c r="AD84" i="1"/>
  <c r="AE84" i="1" s="1"/>
  <c r="AD83" i="1"/>
  <c r="AE83" i="1" s="1"/>
  <c r="AD82" i="1"/>
  <c r="AE82" i="1" s="1"/>
  <c r="AD81" i="1"/>
  <c r="AE81" i="1" s="1"/>
  <c r="AD80" i="1"/>
  <c r="AE80" i="1" s="1"/>
  <c r="AD79" i="1"/>
  <c r="AE79" i="1" s="1"/>
  <c r="AD78" i="1"/>
  <c r="AE78" i="1" s="1"/>
  <c r="AD77" i="1"/>
  <c r="AE77" i="1" s="1"/>
  <c r="AD76" i="1"/>
  <c r="AE76" i="1" s="1"/>
  <c r="AD75" i="1"/>
  <c r="AE75" i="1" s="1"/>
  <c r="AD74" i="1"/>
  <c r="AE74" i="1" s="1"/>
  <c r="AD73" i="1"/>
  <c r="AE73" i="1" s="1"/>
  <c r="AD72" i="1"/>
  <c r="AE72" i="1" s="1"/>
  <c r="AD71" i="1"/>
  <c r="AE71" i="1" s="1"/>
  <c r="AD70" i="1"/>
  <c r="AE70" i="1" s="1"/>
  <c r="AD69" i="1"/>
  <c r="AE69" i="1" s="1"/>
  <c r="AD68" i="1"/>
  <c r="AE68" i="1" s="1"/>
  <c r="AD67" i="1"/>
  <c r="AE67" i="1" s="1"/>
  <c r="AD66" i="1"/>
  <c r="AE66" i="1" s="1"/>
  <c r="AD65" i="1"/>
  <c r="AE65" i="1" s="1"/>
  <c r="AD64" i="1"/>
  <c r="AE64" i="1" s="1"/>
  <c r="AD63" i="1"/>
  <c r="AE63" i="1" s="1"/>
  <c r="AD62" i="1"/>
  <c r="AE62" i="1" s="1"/>
  <c r="AD61" i="1"/>
  <c r="AE61" i="1" s="1"/>
  <c r="AD60" i="1"/>
  <c r="AE60" i="1" s="1"/>
  <c r="AD59" i="1"/>
  <c r="AE59" i="1" s="1"/>
  <c r="AD58" i="1"/>
  <c r="AE58" i="1" s="1"/>
  <c r="AD57" i="1"/>
  <c r="AE57" i="1" s="1"/>
  <c r="AD56" i="1"/>
  <c r="AE56" i="1" s="1"/>
  <c r="AD55" i="1"/>
  <c r="AE55" i="1" s="1"/>
  <c r="AD54" i="1"/>
  <c r="AE54" i="1" s="1"/>
  <c r="AD53" i="1"/>
  <c r="AE53" i="1" s="1"/>
  <c r="AD52" i="1"/>
  <c r="AE52" i="1" s="1"/>
  <c r="AD51" i="1"/>
  <c r="AE51" i="1" s="1"/>
  <c r="AD50" i="1"/>
  <c r="AE50" i="1" s="1"/>
  <c r="AD49" i="1"/>
  <c r="AE49" i="1" s="1"/>
  <c r="AD48" i="1"/>
  <c r="AE48" i="1" s="1"/>
  <c r="AD47" i="1"/>
  <c r="AE47" i="1" s="1"/>
  <c r="AD46" i="1"/>
  <c r="AE46" i="1" s="1"/>
  <c r="AD45" i="1"/>
  <c r="AE45" i="1" s="1"/>
  <c r="AD44" i="1"/>
  <c r="AE44" i="1" s="1"/>
  <c r="AD43" i="1"/>
  <c r="AE43" i="1" s="1"/>
  <c r="AD42" i="1"/>
  <c r="AE42" i="1" s="1"/>
  <c r="AD41" i="1"/>
  <c r="AE41" i="1" s="1"/>
  <c r="AD40" i="1"/>
  <c r="AE40" i="1" s="1"/>
  <c r="AD39" i="1"/>
  <c r="AE39" i="1" s="1"/>
  <c r="AD38" i="1"/>
  <c r="AE38" i="1" s="1"/>
  <c r="AD37" i="1"/>
  <c r="AE37" i="1" s="1"/>
  <c r="AD36" i="1"/>
  <c r="AE36" i="1" s="1"/>
  <c r="AD35" i="1"/>
  <c r="AE35" i="1" s="1"/>
  <c r="AD34" i="1"/>
  <c r="AE34" i="1" s="1"/>
  <c r="AD33" i="1"/>
  <c r="AE33" i="1" s="1"/>
  <c r="AD32" i="1"/>
  <c r="AE32" i="1" s="1"/>
  <c r="AD31" i="1"/>
  <c r="AE31" i="1" s="1"/>
  <c r="AD30" i="1"/>
  <c r="AE30" i="1" s="1"/>
  <c r="AD29" i="1"/>
  <c r="AE29" i="1" s="1"/>
  <c r="AD28" i="1"/>
  <c r="AE28" i="1" s="1"/>
  <c r="AD27" i="1"/>
  <c r="AE27" i="1" s="1"/>
  <c r="AD26" i="1"/>
  <c r="AE26" i="1" s="1"/>
  <c r="AD25" i="1"/>
  <c r="AE25" i="1" s="1"/>
  <c r="AD24" i="1"/>
  <c r="AE24" i="1" s="1"/>
  <c r="AD23" i="1"/>
  <c r="AE23" i="1" s="1"/>
  <c r="AD22" i="1"/>
  <c r="AE22" i="1" s="1"/>
  <c r="AD21" i="1"/>
  <c r="AE21" i="1" s="1"/>
  <c r="AD20" i="1"/>
  <c r="AE20" i="1" s="1"/>
  <c r="AD19" i="1"/>
  <c r="Z436" i="1"/>
  <c r="AA436" i="1" s="1"/>
  <c r="Z435" i="1"/>
  <c r="AA435" i="1" s="1"/>
  <c r="Z434" i="1"/>
  <c r="AA434" i="1" s="1"/>
  <c r="Z433" i="1"/>
  <c r="AA433" i="1" s="1"/>
  <c r="Z432" i="1"/>
  <c r="AA432" i="1" s="1"/>
  <c r="Z431" i="1"/>
  <c r="AA431" i="1" s="1"/>
  <c r="Z430" i="1"/>
  <c r="AA430" i="1" s="1"/>
  <c r="Z429" i="1"/>
  <c r="AA429" i="1" s="1"/>
  <c r="Z428" i="1"/>
  <c r="AA428" i="1" s="1"/>
  <c r="Z427" i="1"/>
  <c r="AA427" i="1" s="1"/>
  <c r="Z426" i="1"/>
  <c r="AA426" i="1" s="1"/>
  <c r="Z425" i="1"/>
  <c r="AA425" i="1" s="1"/>
  <c r="Z424" i="1"/>
  <c r="AA424" i="1" s="1"/>
  <c r="Z423" i="1"/>
  <c r="AA423" i="1" s="1"/>
  <c r="Z422" i="1"/>
  <c r="AA422" i="1" s="1"/>
  <c r="Z421" i="1"/>
  <c r="AA421" i="1" s="1"/>
  <c r="Z420" i="1"/>
  <c r="AA420" i="1" s="1"/>
  <c r="Z419" i="1"/>
  <c r="AA419" i="1" s="1"/>
  <c r="Z418" i="1"/>
  <c r="AA418" i="1" s="1"/>
  <c r="Z417" i="1"/>
  <c r="AA417" i="1" s="1"/>
  <c r="Z416" i="1"/>
  <c r="AA416" i="1" s="1"/>
  <c r="Z415" i="1"/>
  <c r="AA415" i="1" s="1"/>
  <c r="Z414" i="1"/>
  <c r="AA414" i="1" s="1"/>
  <c r="Z413" i="1"/>
  <c r="AA413" i="1" s="1"/>
  <c r="Z412" i="1"/>
  <c r="AA412" i="1" s="1"/>
  <c r="Z411" i="1"/>
  <c r="AA411" i="1" s="1"/>
  <c r="Z410" i="1"/>
  <c r="AA410" i="1" s="1"/>
  <c r="Z409" i="1"/>
  <c r="AA409" i="1" s="1"/>
  <c r="Z408" i="1"/>
  <c r="AA408" i="1" s="1"/>
  <c r="Z407" i="1"/>
  <c r="AA407" i="1" s="1"/>
  <c r="Z406" i="1"/>
  <c r="AA406" i="1" s="1"/>
  <c r="Z405" i="1"/>
  <c r="AA405" i="1" s="1"/>
  <c r="Z404" i="1"/>
  <c r="AA404" i="1" s="1"/>
  <c r="Z403" i="1"/>
  <c r="AA403" i="1" s="1"/>
  <c r="Z402" i="1"/>
  <c r="AA402" i="1" s="1"/>
  <c r="Z401" i="1"/>
  <c r="AA401" i="1" s="1"/>
  <c r="Z400" i="1"/>
  <c r="AA400" i="1" s="1"/>
  <c r="Z399" i="1"/>
  <c r="AA399" i="1" s="1"/>
  <c r="Z398" i="1"/>
  <c r="AA398" i="1" s="1"/>
  <c r="Z397" i="1"/>
  <c r="AA397" i="1" s="1"/>
  <c r="Z396" i="1"/>
  <c r="AA396" i="1" s="1"/>
  <c r="Z395" i="1"/>
  <c r="AA395" i="1" s="1"/>
  <c r="Z394" i="1"/>
  <c r="AA394" i="1" s="1"/>
  <c r="Z393" i="1"/>
  <c r="AA393" i="1" s="1"/>
  <c r="Z392" i="1"/>
  <c r="AA392" i="1" s="1"/>
  <c r="Z391" i="1"/>
  <c r="AA391" i="1" s="1"/>
  <c r="Z390" i="1"/>
  <c r="AA390" i="1" s="1"/>
  <c r="Z389" i="1"/>
  <c r="AA389" i="1" s="1"/>
  <c r="Z388" i="1"/>
  <c r="AA388" i="1" s="1"/>
  <c r="Z387" i="1"/>
  <c r="AA387" i="1" s="1"/>
  <c r="Z386" i="1"/>
  <c r="AA386" i="1" s="1"/>
  <c r="Z385" i="1"/>
  <c r="AA385" i="1" s="1"/>
  <c r="Z384" i="1"/>
  <c r="AA384" i="1" s="1"/>
  <c r="Z383" i="1"/>
  <c r="AA383" i="1" s="1"/>
  <c r="Z382" i="1"/>
  <c r="AA382" i="1" s="1"/>
  <c r="Z381" i="1"/>
  <c r="AA381" i="1" s="1"/>
  <c r="Z380" i="1"/>
  <c r="AA380" i="1" s="1"/>
  <c r="Z379" i="1"/>
  <c r="AA379" i="1" s="1"/>
  <c r="Z378" i="1"/>
  <c r="AA378" i="1" s="1"/>
  <c r="Z377" i="1"/>
  <c r="AA377" i="1" s="1"/>
  <c r="Z376" i="1"/>
  <c r="AA376" i="1" s="1"/>
  <c r="Z375" i="1"/>
  <c r="AA375" i="1" s="1"/>
  <c r="Z374" i="1"/>
  <c r="AA374" i="1" s="1"/>
  <c r="Z373" i="1"/>
  <c r="AA373" i="1" s="1"/>
  <c r="Z372" i="1"/>
  <c r="AA372" i="1" s="1"/>
  <c r="Z371" i="1"/>
  <c r="AA371" i="1" s="1"/>
  <c r="Z370" i="1"/>
  <c r="AA370" i="1" s="1"/>
  <c r="Z369" i="1"/>
  <c r="AA369" i="1" s="1"/>
  <c r="Z368" i="1"/>
  <c r="AA368" i="1" s="1"/>
  <c r="Z367" i="1"/>
  <c r="AA367" i="1" s="1"/>
  <c r="Z366" i="1"/>
  <c r="AA366" i="1" s="1"/>
  <c r="Z365" i="1"/>
  <c r="AA365" i="1" s="1"/>
  <c r="Z364" i="1"/>
  <c r="AA364" i="1" s="1"/>
  <c r="Z363" i="1"/>
  <c r="AA363" i="1" s="1"/>
  <c r="Z362" i="1"/>
  <c r="AA362" i="1" s="1"/>
  <c r="Z361" i="1"/>
  <c r="AA361" i="1" s="1"/>
  <c r="Z360" i="1"/>
  <c r="AA360" i="1" s="1"/>
  <c r="Z359" i="1"/>
  <c r="AA359" i="1" s="1"/>
  <c r="Z358" i="1"/>
  <c r="AA358" i="1" s="1"/>
  <c r="Z357" i="1"/>
  <c r="AA357" i="1" s="1"/>
  <c r="Z356" i="1"/>
  <c r="AA356" i="1" s="1"/>
  <c r="Z355" i="1"/>
  <c r="AA355" i="1" s="1"/>
  <c r="Z354" i="1"/>
  <c r="AA354" i="1" s="1"/>
  <c r="Z353" i="1"/>
  <c r="AA353" i="1" s="1"/>
  <c r="Z352" i="1"/>
  <c r="AA352" i="1" s="1"/>
  <c r="Z351" i="1"/>
  <c r="AA351" i="1" s="1"/>
  <c r="Z350" i="1"/>
  <c r="AA350" i="1" s="1"/>
  <c r="Z349" i="1"/>
  <c r="AA349" i="1" s="1"/>
  <c r="Z348" i="1"/>
  <c r="AA348" i="1" s="1"/>
  <c r="Z347" i="1"/>
  <c r="AA347" i="1" s="1"/>
  <c r="Z346" i="1"/>
  <c r="AA346" i="1" s="1"/>
  <c r="Z345" i="1"/>
  <c r="AA345" i="1" s="1"/>
  <c r="Z344" i="1"/>
  <c r="AA344" i="1" s="1"/>
  <c r="Z343" i="1"/>
  <c r="AA343" i="1" s="1"/>
  <c r="Z342" i="1"/>
  <c r="AA342" i="1" s="1"/>
  <c r="Z341" i="1"/>
  <c r="AA341" i="1" s="1"/>
  <c r="Z340" i="1"/>
  <c r="AA340" i="1" s="1"/>
  <c r="Z339" i="1"/>
  <c r="AA339" i="1" s="1"/>
  <c r="Z338" i="1"/>
  <c r="AA338" i="1" s="1"/>
  <c r="Z337" i="1"/>
  <c r="AA337" i="1" s="1"/>
  <c r="Z336" i="1"/>
  <c r="AA336" i="1" s="1"/>
  <c r="Z335" i="1"/>
  <c r="AA335" i="1" s="1"/>
  <c r="Z334" i="1"/>
  <c r="AA334" i="1" s="1"/>
  <c r="Z333" i="1"/>
  <c r="AA333" i="1" s="1"/>
  <c r="Z332" i="1"/>
  <c r="AA332" i="1" s="1"/>
  <c r="Z331" i="1"/>
  <c r="AA331" i="1" s="1"/>
  <c r="Z330" i="1"/>
  <c r="AA330" i="1" s="1"/>
  <c r="Z329" i="1"/>
  <c r="AA329" i="1" s="1"/>
  <c r="Z328" i="1"/>
  <c r="AA328" i="1" s="1"/>
  <c r="Z327" i="1"/>
  <c r="AA327" i="1" s="1"/>
  <c r="Z326" i="1"/>
  <c r="AA326" i="1" s="1"/>
  <c r="Z325" i="1"/>
  <c r="AA325" i="1" s="1"/>
  <c r="Z324" i="1"/>
  <c r="AA324" i="1" s="1"/>
  <c r="Z323" i="1"/>
  <c r="AA323" i="1" s="1"/>
  <c r="Z322" i="1"/>
  <c r="AA322" i="1" s="1"/>
  <c r="Z321" i="1"/>
  <c r="AA321" i="1" s="1"/>
  <c r="Z320" i="1"/>
  <c r="AA320" i="1" s="1"/>
  <c r="Z319" i="1"/>
  <c r="AA319" i="1" s="1"/>
  <c r="Z318" i="1"/>
  <c r="AA318" i="1" s="1"/>
  <c r="Z317" i="1"/>
  <c r="AA317" i="1" s="1"/>
  <c r="Z316" i="1"/>
  <c r="AA316" i="1" s="1"/>
  <c r="Z315" i="1"/>
  <c r="AA315" i="1" s="1"/>
  <c r="Z314" i="1"/>
  <c r="AA314" i="1" s="1"/>
  <c r="Z313" i="1"/>
  <c r="AA313" i="1" s="1"/>
  <c r="Z312" i="1"/>
  <c r="AA312" i="1" s="1"/>
  <c r="Z311" i="1"/>
  <c r="AA311" i="1" s="1"/>
  <c r="Z310" i="1"/>
  <c r="AA310" i="1" s="1"/>
  <c r="Z309" i="1"/>
  <c r="AA309" i="1" s="1"/>
  <c r="Z308" i="1"/>
  <c r="AA308" i="1" s="1"/>
  <c r="Z307" i="1"/>
  <c r="AA307" i="1" s="1"/>
  <c r="Z306" i="1"/>
  <c r="AA306" i="1" s="1"/>
  <c r="Z305" i="1"/>
  <c r="AA305" i="1" s="1"/>
  <c r="Z304" i="1"/>
  <c r="AA304" i="1" s="1"/>
  <c r="Z303" i="1"/>
  <c r="AA303" i="1" s="1"/>
  <c r="Z302" i="1"/>
  <c r="AA302" i="1" s="1"/>
  <c r="Z301" i="1"/>
  <c r="AA301" i="1" s="1"/>
  <c r="Z300" i="1"/>
  <c r="AA300" i="1" s="1"/>
  <c r="Z299" i="1"/>
  <c r="AA299" i="1" s="1"/>
  <c r="Z298" i="1"/>
  <c r="AA298" i="1" s="1"/>
  <c r="Z297" i="1"/>
  <c r="AA297" i="1" s="1"/>
  <c r="Z296" i="1"/>
  <c r="AA296" i="1" s="1"/>
  <c r="Z295" i="1"/>
  <c r="AA295" i="1" s="1"/>
  <c r="Z294" i="1"/>
  <c r="AA294" i="1" s="1"/>
  <c r="Z293" i="1"/>
  <c r="AA293" i="1" s="1"/>
  <c r="Z292" i="1"/>
  <c r="AA292" i="1" s="1"/>
  <c r="Z291" i="1"/>
  <c r="AA291" i="1" s="1"/>
  <c r="Z290" i="1"/>
  <c r="AA290" i="1" s="1"/>
  <c r="Z289" i="1"/>
  <c r="AA289" i="1" s="1"/>
  <c r="Z288" i="1"/>
  <c r="AA288" i="1" s="1"/>
  <c r="Z287" i="1"/>
  <c r="AA287" i="1" s="1"/>
  <c r="Z286" i="1"/>
  <c r="AA286" i="1" s="1"/>
  <c r="Z285" i="1"/>
  <c r="AA285" i="1" s="1"/>
  <c r="Z284" i="1"/>
  <c r="AA284" i="1" s="1"/>
  <c r="Z283" i="1"/>
  <c r="AA283" i="1" s="1"/>
  <c r="Z282" i="1"/>
  <c r="AA282" i="1" s="1"/>
  <c r="Z281" i="1"/>
  <c r="AA281" i="1" s="1"/>
  <c r="Z280" i="1"/>
  <c r="AA280" i="1" s="1"/>
  <c r="Z279" i="1"/>
  <c r="AA279" i="1" s="1"/>
  <c r="Z278" i="1"/>
  <c r="AA278" i="1" s="1"/>
  <c r="Z277" i="1"/>
  <c r="AA277" i="1" s="1"/>
  <c r="Z276" i="1"/>
  <c r="AA276" i="1" s="1"/>
  <c r="Z275" i="1"/>
  <c r="AA275" i="1" s="1"/>
  <c r="Z274" i="1"/>
  <c r="AA274" i="1" s="1"/>
  <c r="Z273" i="1"/>
  <c r="AA273" i="1" s="1"/>
  <c r="Z272" i="1"/>
  <c r="AA272" i="1" s="1"/>
  <c r="Z271" i="1"/>
  <c r="AA271" i="1" s="1"/>
  <c r="Z270" i="1"/>
  <c r="AA270" i="1" s="1"/>
  <c r="Z269" i="1"/>
  <c r="AA269" i="1" s="1"/>
  <c r="Z268" i="1"/>
  <c r="AA268" i="1" s="1"/>
  <c r="Z267" i="1"/>
  <c r="AA267" i="1" s="1"/>
  <c r="Z266" i="1"/>
  <c r="AA266" i="1" s="1"/>
  <c r="Z265" i="1"/>
  <c r="AA265" i="1" s="1"/>
  <c r="Z264" i="1"/>
  <c r="AA264" i="1" s="1"/>
  <c r="Z263" i="1"/>
  <c r="AA263" i="1" s="1"/>
  <c r="Z262" i="1"/>
  <c r="AA262" i="1" s="1"/>
  <c r="Z261" i="1"/>
  <c r="AA261" i="1" s="1"/>
  <c r="Z260" i="1"/>
  <c r="AA260" i="1" s="1"/>
  <c r="Z259" i="1"/>
  <c r="AA259" i="1" s="1"/>
  <c r="Z258" i="1"/>
  <c r="AA258" i="1" s="1"/>
  <c r="Z257" i="1"/>
  <c r="AA257" i="1" s="1"/>
  <c r="Z256" i="1"/>
  <c r="AA256" i="1" s="1"/>
  <c r="Z255" i="1"/>
  <c r="AA255" i="1" s="1"/>
  <c r="Z254" i="1"/>
  <c r="AA254" i="1" s="1"/>
  <c r="Z253" i="1"/>
  <c r="AA253" i="1" s="1"/>
  <c r="Z252" i="1"/>
  <c r="AA252" i="1" s="1"/>
  <c r="Z251" i="1"/>
  <c r="AA251" i="1" s="1"/>
  <c r="Z250" i="1"/>
  <c r="AA250" i="1" s="1"/>
  <c r="Z249" i="1"/>
  <c r="AA249" i="1" s="1"/>
  <c r="Z248" i="1"/>
  <c r="AA248" i="1" s="1"/>
  <c r="Z247" i="1"/>
  <c r="AA247" i="1" s="1"/>
  <c r="Z246" i="1"/>
  <c r="AA246" i="1" s="1"/>
  <c r="Z245" i="1"/>
  <c r="AA245" i="1" s="1"/>
  <c r="Z244" i="1"/>
  <c r="AA244" i="1" s="1"/>
  <c r="Z243" i="1"/>
  <c r="AA243" i="1" s="1"/>
  <c r="Z242" i="1"/>
  <c r="AA242" i="1" s="1"/>
  <c r="Z241" i="1"/>
  <c r="AA241" i="1" s="1"/>
  <c r="Z240" i="1"/>
  <c r="AA240" i="1" s="1"/>
  <c r="Z239" i="1"/>
  <c r="AA239" i="1" s="1"/>
  <c r="Z238" i="1"/>
  <c r="AA238" i="1" s="1"/>
  <c r="Z237" i="1"/>
  <c r="AA237" i="1" s="1"/>
  <c r="Z236" i="1"/>
  <c r="AA236" i="1" s="1"/>
  <c r="Z235" i="1"/>
  <c r="AA235" i="1" s="1"/>
  <c r="Z234" i="1"/>
  <c r="AA234" i="1" s="1"/>
  <c r="Z233" i="1"/>
  <c r="AA233" i="1" s="1"/>
  <c r="Z232" i="1"/>
  <c r="AA232" i="1" s="1"/>
  <c r="Z231" i="1"/>
  <c r="AA231" i="1" s="1"/>
  <c r="Z230" i="1"/>
  <c r="AA230" i="1" s="1"/>
  <c r="Z229" i="1"/>
  <c r="AA229" i="1" s="1"/>
  <c r="Z228" i="1"/>
  <c r="AA228" i="1" s="1"/>
  <c r="Z227" i="1"/>
  <c r="AA227" i="1" s="1"/>
  <c r="Z226" i="1"/>
  <c r="AA226" i="1" s="1"/>
  <c r="Z225" i="1"/>
  <c r="AA225" i="1" s="1"/>
  <c r="Z224" i="1"/>
  <c r="AA224" i="1" s="1"/>
  <c r="Z223" i="1"/>
  <c r="AA223" i="1" s="1"/>
  <c r="Z222" i="1"/>
  <c r="AA222" i="1" s="1"/>
  <c r="Z221" i="1"/>
  <c r="AA221" i="1" s="1"/>
  <c r="Z220" i="1"/>
  <c r="AA220" i="1" s="1"/>
  <c r="Z219" i="1"/>
  <c r="AA219" i="1" s="1"/>
  <c r="Z218" i="1"/>
  <c r="AA218" i="1" s="1"/>
  <c r="Z217" i="1"/>
  <c r="AA217" i="1" s="1"/>
  <c r="Z216" i="1"/>
  <c r="AA216" i="1" s="1"/>
  <c r="Z215" i="1"/>
  <c r="AA215" i="1" s="1"/>
  <c r="Z214" i="1"/>
  <c r="AA214" i="1" s="1"/>
  <c r="Z213" i="1"/>
  <c r="AA213" i="1" s="1"/>
  <c r="Z212" i="1"/>
  <c r="AA212" i="1" s="1"/>
  <c r="Z211" i="1"/>
  <c r="AA211" i="1" s="1"/>
  <c r="Z210" i="1"/>
  <c r="AA210" i="1" s="1"/>
  <c r="Z209" i="1"/>
  <c r="AA209" i="1" s="1"/>
  <c r="Z208" i="1"/>
  <c r="AA208" i="1" s="1"/>
  <c r="Z207" i="1"/>
  <c r="AA207" i="1" s="1"/>
  <c r="Z206" i="1"/>
  <c r="AA206" i="1" s="1"/>
  <c r="Z205" i="1"/>
  <c r="AA205" i="1" s="1"/>
  <c r="Z204" i="1"/>
  <c r="AA204" i="1" s="1"/>
  <c r="Z203" i="1"/>
  <c r="AA203" i="1" s="1"/>
  <c r="Z202" i="1"/>
  <c r="AA202" i="1" s="1"/>
  <c r="Z201" i="1"/>
  <c r="AA201" i="1" s="1"/>
  <c r="Z200" i="1"/>
  <c r="AA200" i="1" s="1"/>
  <c r="Z199" i="1"/>
  <c r="AA199" i="1" s="1"/>
  <c r="Z198" i="1"/>
  <c r="AA198" i="1" s="1"/>
  <c r="Z197" i="1"/>
  <c r="AA197" i="1" s="1"/>
  <c r="Z196" i="1"/>
  <c r="AA196" i="1" s="1"/>
  <c r="Z195" i="1"/>
  <c r="AA195" i="1" s="1"/>
  <c r="Z194" i="1"/>
  <c r="AA194" i="1" s="1"/>
  <c r="Z193" i="1"/>
  <c r="AA193" i="1" s="1"/>
  <c r="Z192" i="1"/>
  <c r="AA192" i="1" s="1"/>
  <c r="Z191" i="1"/>
  <c r="AA191" i="1" s="1"/>
  <c r="Z190" i="1"/>
  <c r="AA190" i="1" s="1"/>
  <c r="Z189" i="1"/>
  <c r="AA189" i="1" s="1"/>
  <c r="Z188" i="1"/>
  <c r="AA188" i="1" s="1"/>
  <c r="Z187" i="1"/>
  <c r="AA187" i="1" s="1"/>
  <c r="Z186" i="1"/>
  <c r="AA186" i="1" s="1"/>
  <c r="Z185" i="1"/>
  <c r="AA185" i="1" s="1"/>
  <c r="Z184" i="1"/>
  <c r="AA184" i="1" s="1"/>
  <c r="Z183" i="1"/>
  <c r="AA183" i="1" s="1"/>
  <c r="Z182" i="1"/>
  <c r="AA182" i="1" s="1"/>
  <c r="Z181" i="1"/>
  <c r="AA181" i="1" s="1"/>
  <c r="Z180" i="1"/>
  <c r="AA180" i="1" s="1"/>
  <c r="Z179" i="1"/>
  <c r="AA179" i="1" s="1"/>
  <c r="Z178" i="1"/>
  <c r="AA178" i="1" s="1"/>
  <c r="Z177" i="1"/>
  <c r="AA177" i="1" s="1"/>
  <c r="Z176" i="1"/>
  <c r="AA176" i="1" s="1"/>
  <c r="Z175" i="1"/>
  <c r="AA175" i="1" s="1"/>
  <c r="Z174" i="1"/>
  <c r="AA174" i="1" s="1"/>
  <c r="Z173" i="1"/>
  <c r="AA173" i="1" s="1"/>
  <c r="Z172" i="1"/>
  <c r="AA172" i="1" s="1"/>
  <c r="Z171" i="1"/>
  <c r="AA171" i="1" s="1"/>
  <c r="Z170" i="1"/>
  <c r="AA170" i="1" s="1"/>
  <c r="Z169" i="1"/>
  <c r="AA169" i="1" s="1"/>
  <c r="Z168" i="1"/>
  <c r="AA168" i="1" s="1"/>
  <c r="Z167" i="1"/>
  <c r="AA167" i="1" s="1"/>
  <c r="Z166" i="1"/>
  <c r="AA166" i="1" s="1"/>
  <c r="Z165" i="1"/>
  <c r="AA165" i="1" s="1"/>
  <c r="Z164" i="1"/>
  <c r="AA164" i="1" s="1"/>
  <c r="Z163" i="1"/>
  <c r="AA163" i="1" s="1"/>
  <c r="Z162" i="1"/>
  <c r="AA162" i="1" s="1"/>
  <c r="Z161" i="1"/>
  <c r="AA161" i="1" s="1"/>
  <c r="Z160" i="1"/>
  <c r="AA160" i="1" s="1"/>
  <c r="Z159" i="1"/>
  <c r="AA159" i="1" s="1"/>
  <c r="Z158" i="1"/>
  <c r="AA158" i="1" s="1"/>
  <c r="Z157" i="1"/>
  <c r="AA157" i="1" s="1"/>
  <c r="Z156" i="1"/>
  <c r="AA156" i="1" s="1"/>
  <c r="Z155" i="1"/>
  <c r="AA155" i="1" s="1"/>
  <c r="Z154" i="1"/>
  <c r="AA154" i="1" s="1"/>
  <c r="Z153" i="1"/>
  <c r="AA153" i="1" s="1"/>
  <c r="Z152" i="1"/>
  <c r="AA152" i="1" s="1"/>
  <c r="Z151" i="1"/>
  <c r="AA151" i="1" s="1"/>
  <c r="Z150" i="1"/>
  <c r="AA150" i="1" s="1"/>
  <c r="Z149" i="1"/>
  <c r="AA149" i="1" s="1"/>
  <c r="Z148" i="1"/>
  <c r="AA148" i="1" s="1"/>
  <c r="Z147" i="1"/>
  <c r="AA147" i="1" s="1"/>
  <c r="Z146" i="1"/>
  <c r="AA146" i="1" s="1"/>
  <c r="Z145" i="1"/>
  <c r="AA145" i="1" s="1"/>
  <c r="Z144" i="1"/>
  <c r="AA144" i="1" s="1"/>
  <c r="Z143" i="1"/>
  <c r="AA143" i="1" s="1"/>
  <c r="Z142" i="1"/>
  <c r="AA142" i="1" s="1"/>
  <c r="Z141" i="1"/>
  <c r="AA141" i="1" s="1"/>
  <c r="Z140" i="1"/>
  <c r="AA140" i="1" s="1"/>
  <c r="Z139" i="1"/>
  <c r="AA139" i="1" s="1"/>
  <c r="Z138" i="1"/>
  <c r="AA138" i="1" s="1"/>
  <c r="Z137" i="1"/>
  <c r="AA137" i="1" s="1"/>
  <c r="Z136" i="1"/>
  <c r="AA136" i="1" s="1"/>
  <c r="Z135" i="1"/>
  <c r="AA135" i="1" s="1"/>
  <c r="Z134" i="1"/>
  <c r="AA134" i="1" s="1"/>
  <c r="Z133" i="1"/>
  <c r="AA133" i="1" s="1"/>
  <c r="Z132" i="1"/>
  <c r="AA132" i="1" s="1"/>
  <c r="Z131" i="1"/>
  <c r="AA131" i="1" s="1"/>
  <c r="Z130" i="1"/>
  <c r="AA130" i="1" s="1"/>
  <c r="Z129" i="1"/>
  <c r="AA129" i="1" s="1"/>
  <c r="Z128" i="1"/>
  <c r="AA128" i="1" s="1"/>
  <c r="Z127" i="1"/>
  <c r="AA127" i="1" s="1"/>
  <c r="Z126" i="1"/>
  <c r="AA126" i="1" s="1"/>
  <c r="Z125" i="1"/>
  <c r="AA125" i="1" s="1"/>
  <c r="Z124" i="1"/>
  <c r="AA124" i="1" s="1"/>
  <c r="Z115" i="1"/>
  <c r="AA115" i="1" s="1"/>
  <c r="Z114" i="1"/>
  <c r="AA114" i="1" s="1"/>
  <c r="Z113" i="1"/>
  <c r="AA113" i="1" s="1"/>
  <c r="Z112" i="1"/>
  <c r="AA112" i="1" s="1"/>
  <c r="Z111" i="1"/>
  <c r="AA111" i="1" s="1"/>
  <c r="Z110" i="1"/>
  <c r="AA110" i="1" s="1"/>
  <c r="Z109" i="1"/>
  <c r="AA109" i="1" s="1"/>
  <c r="Z108" i="1"/>
  <c r="AA108" i="1" s="1"/>
  <c r="Z107" i="1"/>
  <c r="AA107" i="1" s="1"/>
  <c r="Z106" i="1"/>
  <c r="AA106" i="1" s="1"/>
  <c r="Z105" i="1"/>
  <c r="AA105" i="1" s="1"/>
  <c r="Z104" i="1"/>
  <c r="AA104" i="1" s="1"/>
  <c r="Z103" i="1"/>
  <c r="AA103" i="1" s="1"/>
  <c r="Z102" i="1"/>
  <c r="AA102" i="1" s="1"/>
  <c r="Z101" i="1"/>
  <c r="AA101" i="1" s="1"/>
  <c r="Z100" i="1"/>
  <c r="AA100" i="1" s="1"/>
  <c r="Z99" i="1"/>
  <c r="AA99" i="1" s="1"/>
  <c r="Z98" i="1"/>
  <c r="AA98" i="1" s="1"/>
  <c r="Z97" i="1"/>
  <c r="AA97" i="1" s="1"/>
  <c r="Z96" i="1"/>
  <c r="AA96" i="1" s="1"/>
  <c r="Z95" i="1"/>
  <c r="AA95" i="1" s="1"/>
  <c r="Z94" i="1"/>
  <c r="AA94" i="1" s="1"/>
  <c r="Z93" i="1"/>
  <c r="AA93" i="1" s="1"/>
  <c r="Z92" i="1"/>
  <c r="AA92" i="1" s="1"/>
  <c r="Z91" i="1"/>
  <c r="AA91" i="1" s="1"/>
  <c r="Z90" i="1"/>
  <c r="AA90" i="1" s="1"/>
  <c r="Z89" i="1"/>
  <c r="AA89" i="1" s="1"/>
  <c r="Z88" i="1"/>
  <c r="AA88" i="1" s="1"/>
  <c r="Z87" i="1"/>
  <c r="AA87" i="1" s="1"/>
  <c r="Z86" i="1"/>
  <c r="AA86" i="1" s="1"/>
  <c r="Z85" i="1"/>
  <c r="AA85" i="1" s="1"/>
  <c r="Z84" i="1"/>
  <c r="AA84" i="1" s="1"/>
  <c r="Z83" i="1"/>
  <c r="AA83" i="1" s="1"/>
  <c r="Z82" i="1"/>
  <c r="AA82" i="1" s="1"/>
  <c r="Z81" i="1"/>
  <c r="AA81" i="1" s="1"/>
  <c r="Z80" i="1"/>
  <c r="AA80" i="1" s="1"/>
  <c r="Z79" i="1"/>
  <c r="AA79" i="1" s="1"/>
  <c r="Z78" i="1"/>
  <c r="AA78" i="1" s="1"/>
  <c r="Z77" i="1"/>
  <c r="AA77" i="1" s="1"/>
  <c r="Z76" i="1"/>
  <c r="AA76" i="1" s="1"/>
  <c r="Z75" i="1"/>
  <c r="AA75" i="1" s="1"/>
  <c r="Z74" i="1"/>
  <c r="AA74" i="1" s="1"/>
  <c r="Z73" i="1"/>
  <c r="AA73" i="1" s="1"/>
  <c r="Z72" i="1"/>
  <c r="AA72" i="1" s="1"/>
  <c r="Z71" i="1"/>
  <c r="AA71" i="1" s="1"/>
  <c r="Z70" i="1"/>
  <c r="AA70" i="1" s="1"/>
  <c r="Z69" i="1"/>
  <c r="AA69" i="1" s="1"/>
  <c r="Z68" i="1"/>
  <c r="AA68" i="1" s="1"/>
  <c r="Z67" i="1"/>
  <c r="AA67" i="1" s="1"/>
  <c r="Z66" i="1"/>
  <c r="AA66" i="1" s="1"/>
  <c r="Z65" i="1"/>
  <c r="AA65" i="1" s="1"/>
  <c r="Z64" i="1"/>
  <c r="AA64" i="1" s="1"/>
  <c r="Z63" i="1"/>
  <c r="AA63" i="1" s="1"/>
  <c r="AA62" i="1"/>
  <c r="Z62" i="1"/>
  <c r="Z61" i="1"/>
  <c r="AA61" i="1" s="1"/>
  <c r="Z60" i="1"/>
  <c r="AA60" i="1" s="1"/>
  <c r="Z59" i="1"/>
  <c r="AA59" i="1" s="1"/>
  <c r="Z58" i="1"/>
  <c r="AA58" i="1" s="1"/>
  <c r="Z57" i="1"/>
  <c r="AA57" i="1" s="1"/>
  <c r="Z56" i="1"/>
  <c r="AA56" i="1" s="1"/>
  <c r="Z55" i="1"/>
  <c r="AA55" i="1" s="1"/>
  <c r="Z54" i="1"/>
  <c r="AA54" i="1" s="1"/>
  <c r="Z53" i="1"/>
  <c r="AA53" i="1" s="1"/>
  <c r="Z52" i="1"/>
  <c r="AA52" i="1" s="1"/>
  <c r="Z51" i="1"/>
  <c r="AA51" i="1" s="1"/>
  <c r="Z50" i="1"/>
  <c r="AA50" i="1" s="1"/>
  <c r="Z49" i="1"/>
  <c r="AA49" i="1" s="1"/>
  <c r="Z48" i="1"/>
  <c r="AA48" i="1" s="1"/>
  <c r="AA47" i="1"/>
  <c r="Z47" i="1"/>
  <c r="Z46" i="1"/>
  <c r="AA46" i="1" s="1"/>
  <c r="Z45" i="1"/>
  <c r="AA45" i="1" s="1"/>
  <c r="Z44" i="1"/>
  <c r="AA44" i="1" s="1"/>
  <c r="Z43" i="1"/>
  <c r="AA43" i="1" s="1"/>
  <c r="Z42" i="1"/>
  <c r="AA42" i="1" s="1"/>
  <c r="Z41" i="1"/>
  <c r="AA41" i="1" s="1"/>
  <c r="Z40" i="1"/>
  <c r="AA40" i="1" s="1"/>
  <c r="Z39" i="1"/>
  <c r="AA39" i="1" s="1"/>
  <c r="Z38" i="1"/>
  <c r="AA38" i="1" s="1"/>
  <c r="Z37" i="1"/>
  <c r="AA37" i="1" s="1"/>
  <c r="Z36" i="1"/>
  <c r="AA36" i="1" s="1"/>
  <c r="Z35" i="1"/>
  <c r="AA35" i="1" s="1"/>
  <c r="Z34" i="1"/>
  <c r="AA34" i="1" s="1"/>
  <c r="Z33" i="1"/>
  <c r="AA33" i="1" s="1"/>
  <c r="AA32" i="1"/>
  <c r="Z32" i="1"/>
  <c r="Z31" i="1"/>
  <c r="AA31" i="1" s="1"/>
  <c r="Z30" i="1"/>
  <c r="AA30" i="1" s="1"/>
  <c r="Z29" i="1"/>
  <c r="AA29" i="1" s="1"/>
  <c r="Z28" i="1"/>
  <c r="AA28" i="1" s="1"/>
  <c r="Z27" i="1"/>
  <c r="AA27" i="1" s="1"/>
  <c r="Z26" i="1"/>
  <c r="AA26" i="1" s="1"/>
  <c r="Z25" i="1"/>
  <c r="AA25" i="1" s="1"/>
  <c r="Z24" i="1"/>
  <c r="AA24" i="1" s="1"/>
  <c r="Z23" i="1"/>
  <c r="AA23" i="1" s="1"/>
  <c r="Z22" i="1"/>
  <c r="AA22" i="1" s="1"/>
  <c r="Z21" i="1"/>
  <c r="AA21" i="1" s="1"/>
  <c r="Z20" i="1"/>
  <c r="AA20" i="1" s="1"/>
  <c r="Z19" i="1"/>
  <c r="V436" i="1"/>
  <c r="W436" i="1" s="1"/>
  <c r="V435" i="1"/>
  <c r="W435" i="1" s="1"/>
  <c r="V434" i="1"/>
  <c r="W434" i="1" s="1"/>
  <c r="V433" i="1"/>
  <c r="W433" i="1" s="1"/>
  <c r="V432" i="1"/>
  <c r="W432" i="1" s="1"/>
  <c r="V431" i="1"/>
  <c r="W431" i="1" s="1"/>
  <c r="V430" i="1"/>
  <c r="W430" i="1" s="1"/>
  <c r="V429" i="1"/>
  <c r="W429" i="1" s="1"/>
  <c r="V428" i="1"/>
  <c r="W428" i="1" s="1"/>
  <c r="V427" i="1"/>
  <c r="W427" i="1" s="1"/>
  <c r="V426" i="1"/>
  <c r="W426" i="1" s="1"/>
  <c r="V425" i="1"/>
  <c r="W425" i="1" s="1"/>
  <c r="V424" i="1"/>
  <c r="W424" i="1" s="1"/>
  <c r="V423" i="1"/>
  <c r="W423" i="1" s="1"/>
  <c r="V422" i="1"/>
  <c r="W422" i="1" s="1"/>
  <c r="V421" i="1"/>
  <c r="W421" i="1" s="1"/>
  <c r="V420" i="1"/>
  <c r="W420" i="1" s="1"/>
  <c r="V419" i="1"/>
  <c r="W419" i="1" s="1"/>
  <c r="V418" i="1"/>
  <c r="W418" i="1" s="1"/>
  <c r="V417" i="1"/>
  <c r="W417" i="1" s="1"/>
  <c r="V416" i="1"/>
  <c r="W416" i="1" s="1"/>
  <c r="V415" i="1"/>
  <c r="W415" i="1" s="1"/>
  <c r="V414" i="1"/>
  <c r="W414" i="1" s="1"/>
  <c r="V413" i="1"/>
  <c r="W413" i="1" s="1"/>
  <c r="V412" i="1"/>
  <c r="W412" i="1" s="1"/>
  <c r="V411" i="1"/>
  <c r="W411" i="1" s="1"/>
  <c r="V410" i="1"/>
  <c r="W410" i="1" s="1"/>
  <c r="V409" i="1"/>
  <c r="W409" i="1" s="1"/>
  <c r="V408" i="1"/>
  <c r="W408" i="1" s="1"/>
  <c r="V407" i="1"/>
  <c r="W407" i="1" s="1"/>
  <c r="V406" i="1"/>
  <c r="W406" i="1" s="1"/>
  <c r="V405" i="1"/>
  <c r="W405" i="1" s="1"/>
  <c r="V404" i="1"/>
  <c r="W404" i="1" s="1"/>
  <c r="V403" i="1"/>
  <c r="W403" i="1" s="1"/>
  <c r="V402" i="1"/>
  <c r="W402" i="1" s="1"/>
  <c r="V401" i="1"/>
  <c r="W401" i="1" s="1"/>
  <c r="V400" i="1"/>
  <c r="W400" i="1" s="1"/>
  <c r="V399" i="1"/>
  <c r="W399" i="1" s="1"/>
  <c r="V398" i="1"/>
  <c r="W398" i="1" s="1"/>
  <c r="V397" i="1"/>
  <c r="W397" i="1" s="1"/>
  <c r="V396" i="1"/>
  <c r="W396" i="1" s="1"/>
  <c r="V395" i="1"/>
  <c r="W395" i="1" s="1"/>
  <c r="V394" i="1"/>
  <c r="W394" i="1" s="1"/>
  <c r="V393" i="1"/>
  <c r="W393" i="1" s="1"/>
  <c r="V392" i="1"/>
  <c r="W392" i="1" s="1"/>
  <c r="V391" i="1"/>
  <c r="W391" i="1" s="1"/>
  <c r="V390" i="1"/>
  <c r="W390" i="1" s="1"/>
  <c r="V389" i="1"/>
  <c r="W389" i="1" s="1"/>
  <c r="V388" i="1"/>
  <c r="W388" i="1" s="1"/>
  <c r="V387" i="1"/>
  <c r="W387" i="1" s="1"/>
  <c r="V386" i="1"/>
  <c r="W386" i="1" s="1"/>
  <c r="V385" i="1"/>
  <c r="W385" i="1" s="1"/>
  <c r="V384" i="1"/>
  <c r="W384" i="1" s="1"/>
  <c r="V383" i="1"/>
  <c r="W383" i="1" s="1"/>
  <c r="V382" i="1"/>
  <c r="W382" i="1" s="1"/>
  <c r="V381" i="1"/>
  <c r="W381" i="1" s="1"/>
  <c r="V380" i="1"/>
  <c r="W380" i="1" s="1"/>
  <c r="V379" i="1"/>
  <c r="W379" i="1" s="1"/>
  <c r="V378" i="1"/>
  <c r="W378" i="1" s="1"/>
  <c r="V377" i="1"/>
  <c r="W377" i="1" s="1"/>
  <c r="V376" i="1"/>
  <c r="W376" i="1" s="1"/>
  <c r="V375" i="1"/>
  <c r="W375" i="1" s="1"/>
  <c r="V374" i="1"/>
  <c r="W374" i="1" s="1"/>
  <c r="V373" i="1"/>
  <c r="W373" i="1" s="1"/>
  <c r="V372" i="1"/>
  <c r="W372" i="1" s="1"/>
  <c r="V371" i="1"/>
  <c r="W371" i="1" s="1"/>
  <c r="V370" i="1"/>
  <c r="W370" i="1" s="1"/>
  <c r="V369" i="1"/>
  <c r="W369" i="1" s="1"/>
  <c r="V368" i="1"/>
  <c r="W368" i="1" s="1"/>
  <c r="V367" i="1"/>
  <c r="W367" i="1" s="1"/>
  <c r="V366" i="1"/>
  <c r="W366" i="1" s="1"/>
  <c r="V365" i="1"/>
  <c r="W365" i="1" s="1"/>
  <c r="V364" i="1"/>
  <c r="W364" i="1" s="1"/>
  <c r="V363" i="1"/>
  <c r="W363" i="1" s="1"/>
  <c r="V362" i="1"/>
  <c r="W362" i="1" s="1"/>
  <c r="V361" i="1"/>
  <c r="W361" i="1" s="1"/>
  <c r="V360" i="1"/>
  <c r="W360" i="1" s="1"/>
  <c r="V359" i="1"/>
  <c r="W359" i="1" s="1"/>
  <c r="V358" i="1"/>
  <c r="W358" i="1" s="1"/>
  <c r="V357" i="1"/>
  <c r="W357" i="1" s="1"/>
  <c r="V356" i="1"/>
  <c r="W356" i="1" s="1"/>
  <c r="V355" i="1"/>
  <c r="W355" i="1" s="1"/>
  <c r="V354" i="1"/>
  <c r="W354" i="1" s="1"/>
  <c r="V353" i="1"/>
  <c r="W353" i="1" s="1"/>
  <c r="V352" i="1"/>
  <c r="W352" i="1" s="1"/>
  <c r="V351" i="1"/>
  <c r="W351" i="1" s="1"/>
  <c r="V350" i="1"/>
  <c r="W350" i="1" s="1"/>
  <c r="V349" i="1"/>
  <c r="W349" i="1" s="1"/>
  <c r="V348" i="1"/>
  <c r="W348" i="1" s="1"/>
  <c r="V347" i="1"/>
  <c r="W347" i="1" s="1"/>
  <c r="V346" i="1"/>
  <c r="W346" i="1" s="1"/>
  <c r="V345" i="1"/>
  <c r="W345" i="1" s="1"/>
  <c r="V344" i="1"/>
  <c r="W344" i="1" s="1"/>
  <c r="V343" i="1"/>
  <c r="W343" i="1" s="1"/>
  <c r="V342" i="1"/>
  <c r="W342" i="1" s="1"/>
  <c r="V341" i="1"/>
  <c r="W341" i="1" s="1"/>
  <c r="V340" i="1"/>
  <c r="W340" i="1" s="1"/>
  <c r="V339" i="1"/>
  <c r="W339" i="1" s="1"/>
  <c r="V338" i="1"/>
  <c r="W338" i="1" s="1"/>
  <c r="V337" i="1"/>
  <c r="W337" i="1" s="1"/>
  <c r="V336" i="1"/>
  <c r="W336" i="1" s="1"/>
  <c r="V335" i="1"/>
  <c r="W335" i="1" s="1"/>
  <c r="V334" i="1"/>
  <c r="W334" i="1" s="1"/>
  <c r="V333" i="1"/>
  <c r="W333" i="1" s="1"/>
  <c r="V332" i="1"/>
  <c r="W332" i="1" s="1"/>
  <c r="V331" i="1"/>
  <c r="W331" i="1" s="1"/>
  <c r="V330" i="1"/>
  <c r="W330" i="1" s="1"/>
  <c r="V329" i="1"/>
  <c r="W329" i="1" s="1"/>
  <c r="V328" i="1"/>
  <c r="W328" i="1" s="1"/>
  <c r="V327" i="1"/>
  <c r="W327" i="1" s="1"/>
  <c r="V326" i="1"/>
  <c r="W326" i="1" s="1"/>
  <c r="V325" i="1"/>
  <c r="W325" i="1" s="1"/>
  <c r="V324" i="1"/>
  <c r="W324" i="1" s="1"/>
  <c r="V323" i="1"/>
  <c r="W323" i="1" s="1"/>
  <c r="V322" i="1"/>
  <c r="W322" i="1" s="1"/>
  <c r="V321" i="1"/>
  <c r="W321" i="1" s="1"/>
  <c r="V320" i="1"/>
  <c r="W320" i="1" s="1"/>
  <c r="V319" i="1"/>
  <c r="W319" i="1" s="1"/>
  <c r="V318" i="1"/>
  <c r="W318" i="1" s="1"/>
  <c r="V317" i="1"/>
  <c r="W317" i="1" s="1"/>
  <c r="V316" i="1"/>
  <c r="W316" i="1" s="1"/>
  <c r="V315" i="1"/>
  <c r="W315" i="1" s="1"/>
  <c r="V314" i="1"/>
  <c r="W314" i="1" s="1"/>
  <c r="V313" i="1"/>
  <c r="W313" i="1" s="1"/>
  <c r="V312" i="1"/>
  <c r="W312" i="1" s="1"/>
  <c r="V311" i="1"/>
  <c r="W311" i="1" s="1"/>
  <c r="V310" i="1"/>
  <c r="W310" i="1" s="1"/>
  <c r="V309" i="1"/>
  <c r="W309" i="1" s="1"/>
  <c r="V308" i="1"/>
  <c r="W308" i="1" s="1"/>
  <c r="V307" i="1"/>
  <c r="W307" i="1" s="1"/>
  <c r="V306" i="1"/>
  <c r="W306" i="1" s="1"/>
  <c r="V305" i="1"/>
  <c r="W305" i="1" s="1"/>
  <c r="V304" i="1"/>
  <c r="W304" i="1" s="1"/>
  <c r="V303" i="1"/>
  <c r="W303" i="1" s="1"/>
  <c r="V302" i="1"/>
  <c r="W302" i="1" s="1"/>
  <c r="V301" i="1"/>
  <c r="W301" i="1" s="1"/>
  <c r="V300" i="1"/>
  <c r="W300" i="1" s="1"/>
  <c r="V299" i="1"/>
  <c r="W299" i="1" s="1"/>
  <c r="V298" i="1"/>
  <c r="W298" i="1" s="1"/>
  <c r="V297" i="1"/>
  <c r="W297" i="1" s="1"/>
  <c r="V296" i="1"/>
  <c r="W296" i="1" s="1"/>
  <c r="V295" i="1"/>
  <c r="W295" i="1" s="1"/>
  <c r="V294" i="1"/>
  <c r="W294" i="1" s="1"/>
  <c r="V293" i="1"/>
  <c r="W293" i="1" s="1"/>
  <c r="V292" i="1"/>
  <c r="W292" i="1" s="1"/>
  <c r="V291" i="1"/>
  <c r="W291" i="1" s="1"/>
  <c r="V290" i="1"/>
  <c r="W290" i="1" s="1"/>
  <c r="V289" i="1"/>
  <c r="W289" i="1" s="1"/>
  <c r="V288" i="1"/>
  <c r="W288" i="1" s="1"/>
  <c r="V287" i="1"/>
  <c r="W287" i="1" s="1"/>
  <c r="V286" i="1"/>
  <c r="W286" i="1" s="1"/>
  <c r="V285" i="1"/>
  <c r="W285" i="1" s="1"/>
  <c r="V284" i="1"/>
  <c r="W284" i="1" s="1"/>
  <c r="V283" i="1"/>
  <c r="W283" i="1" s="1"/>
  <c r="V282" i="1"/>
  <c r="W282" i="1" s="1"/>
  <c r="V281" i="1"/>
  <c r="W281" i="1" s="1"/>
  <c r="V280" i="1"/>
  <c r="W280" i="1" s="1"/>
  <c r="V279" i="1"/>
  <c r="W279" i="1" s="1"/>
  <c r="V278" i="1"/>
  <c r="W278" i="1" s="1"/>
  <c r="V277" i="1"/>
  <c r="W277" i="1" s="1"/>
  <c r="V276" i="1"/>
  <c r="W276" i="1" s="1"/>
  <c r="V275" i="1"/>
  <c r="W275" i="1" s="1"/>
  <c r="V274" i="1"/>
  <c r="W274" i="1" s="1"/>
  <c r="V273" i="1"/>
  <c r="W273" i="1" s="1"/>
  <c r="V272" i="1"/>
  <c r="W272" i="1" s="1"/>
  <c r="V271" i="1"/>
  <c r="W271" i="1" s="1"/>
  <c r="V270" i="1"/>
  <c r="W270" i="1" s="1"/>
  <c r="V269" i="1"/>
  <c r="W269" i="1" s="1"/>
  <c r="V268" i="1"/>
  <c r="W268" i="1" s="1"/>
  <c r="V267" i="1"/>
  <c r="W267" i="1" s="1"/>
  <c r="V266" i="1"/>
  <c r="W266" i="1" s="1"/>
  <c r="V265" i="1"/>
  <c r="W265" i="1" s="1"/>
  <c r="V264" i="1"/>
  <c r="W264" i="1" s="1"/>
  <c r="V263" i="1"/>
  <c r="W263" i="1" s="1"/>
  <c r="V262" i="1"/>
  <c r="W262" i="1" s="1"/>
  <c r="V261" i="1"/>
  <c r="W261" i="1" s="1"/>
  <c r="V260" i="1"/>
  <c r="W260" i="1" s="1"/>
  <c r="V259" i="1"/>
  <c r="W259" i="1" s="1"/>
  <c r="V258" i="1"/>
  <c r="W258" i="1" s="1"/>
  <c r="V257" i="1"/>
  <c r="W257" i="1" s="1"/>
  <c r="V256" i="1"/>
  <c r="W256" i="1" s="1"/>
  <c r="V255" i="1"/>
  <c r="W255" i="1" s="1"/>
  <c r="V254" i="1"/>
  <c r="W254" i="1" s="1"/>
  <c r="V253" i="1"/>
  <c r="W253" i="1" s="1"/>
  <c r="V252" i="1"/>
  <c r="W252" i="1" s="1"/>
  <c r="V251" i="1"/>
  <c r="W251" i="1" s="1"/>
  <c r="V250" i="1"/>
  <c r="W250" i="1" s="1"/>
  <c r="V249" i="1"/>
  <c r="W249" i="1" s="1"/>
  <c r="V248" i="1"/>
  <c r="W248" i="1" s="1"/>
  <c r="V247" i="1"/>
  <c r="W247" i="1" s="1"/>
  <c r="V246" i="1"/>
  <c r="W246" i="1" s="1"/>
  <c r="V245" i="1"/>
  <c r="W245" i="1" s="1"/>
  <c r="V244" i="1"/>
  <c r="W244" i="1" s="1"/>
  <c r="V243" i="1"/>
  <c r="W243" i="1" s="1"/>
  <c r="V242" i="1"/>
  <c r="W242" i="1" s="1"/>
  <c r="V241" i="1"/>
  <c r="W241" i="1" s="1"/>
  <c r="V240" i="1"/>
  <c r="W240" i="1" s="1"/>
  <c r="V239" i="1"/>
  <c r="W239" i="1" s="1"/>
  <c r="V238" i="1"/>
  <c r="W238" i="1" s="1"/>
  <c r="V237" i="1"/>
  <c r="W237" i="1" s="1"/>
  <c r="V236" i="1"/>
  <c r="W236" i="1" s="1"/>
  <c r="V235" i="1"/>
  <c r="W235" i="1" s="1"/>
  <c r="V234" i="1"/>
  <c r="W234" i="1" s="1"/>
  <c r="V233" i="1"/>
  <c r="W233" i="1" s="1"/>
  <c r="V232" i="1"/>
  <c r="W232" i="1" s="1"/>
  <c r="V231" i="1"/>
  <c r="W231" i="1" s="1"/>
  <c r="V230" i="1"/>
  <c r="W230" i="1" s="1"/>
  <c r="V229" i="1"/>
  <c r="W229" i="1" s="1"/>
  <c r="V228" i="1"/>
  <c r="W228" i="1" s="1"/>
  <c r="V227" i="1"/>
  <c r="W227" i="1" s="1"/>
  <c r="V226" i="1"/>
  <c r="W226" i="1" s="1"/>
  <c r="V225" i="1"/>
  <c r="W225" i="1" s="1"/>
  <c r="V224" i="1"/>
  <c r="W224" i="1" s="1"/>
  <c r="V223" i="1"/>
  <c r="W223" i="1" s="1"/>
  <c r="V222" i="1"/>
  <c r="W222" i="1" s="1"/>
  <c r="V221" i="1"/>
  <c r="W221" i="1" s="1"/>
  <c r="V220" i="1"/>
  <c r="W220" i="1" s="1"/>
  <c r="V219" i="1"/>
  <c r="W219" i="1" s="1"/>
  <c r="V218" i="1"/>
  <c r="W218" i="1" s="1"/>
  <c r="V217" i="1"/>
  <c r="W217" i="1" s="1"/>
  <c r="V216" i="1"/>
  <c r="W216" i="1" s="1"/>
  <c r="V215" i="1"/>
  <c r="W215" i="1" s="1"/>
  <c r="V214" i="1"/>
  <c r="W214" i="1" s="1"/>
  <c r="V213" i="1"/>
  <c r="W213" i="1" s="1"/>
  <c r="V212" i="1"/>
  <c r="W212" i="1" s="1"/>
  <c r="V211" i="1"/>
  <c r="W211" i="1" s="1"/>
  <c r="V210" i="1"/>
  <c r="W210" i="1" s="1"/>
  <c r="V209" i="1"/>
  <c r="W209" i="1" s="1"/>
  <c r="V208" i="1"/>
  <c r="W208" i="1" s="1"/>
  <c r="V207" i="1"/>
  <c r="W207" i="1" s="1"/>
  <c r="V206" i="1"/>
  <c r="W206" i="1" s="1"/>
  <c r="V205" i="1"/>
  <c r="W205" i="1" s="1"/>
  <c r="V204" i="1"/>
  <c r="W204" i="1" s="1"/>
  <c r="V203" i="1"/>
  <c r="W203" i="1" s="1"/>
  <c r="V202" i="1"/>
  <c r="W202" i="1" s="1"/>
  <c r="V201" i="1"/>
  <c r="W201" i="1" s="1"/>
  <c r="V200" i="1"/>
  <c r="W200" i="1" s="1"/>
  <c r="V199" i="1"/>
  <c r="W199" i="1" s="1"/>
  <c r="V198" i="1"/>
  <c r="W198" i="1" s="1"/>
  <c r="V197" i="1"/>
  <c r="W197" i="1" s="1"/>
  <c r="V196" i="1"/>
  <c r="W196" i="1" s="1"/>
  <c r="V195" i="1"/>
  <c r="W195" i="1" s="1"/>
  <c r="V194" i="1"/>
  <c r="W194" i="1" s="1"/>
  <c r="V193" i="1"/>
  <c r="W193" i="1" s="1"/>
  <c r="V192" i="1"/>
  <c r="W192" i="1" s="1"/>
  <c r="V191" i="1"/>
  <c r="W191" i="1" s="1"/>
  <c r="V190" i="1"/>
  <c r="W190" i="1" s="1"/>
  <c r="V189" i="1"/>
  <c r="W189" i="1" s="1"/>
  <c r="V188" i="1"/>
  <c r="W188" i="1" s="1"/>
  <c r="V187" i="1"/>
  <c r="W187" i="1" s="1"/>
  <c r="V186" i="1"/>
  <c r="W186" i="1" s="1"/>
  <c r="V185" i="1"/>
  <c r="W185" i="1" s="1"/>
  <c r="V184" i="1"/>
  <c r="W184" i="1" s="1"/>
  <c r="V183" i="1"/>
  <c r="W183" i="1" s="1"/>
  <c r="V182" i="1"/>
  <c r="W182" i="1" s="1"/>
  <c r="V181" i="1"/>
  <c r="W181" i="1" s="1"/>
  <c r="V180" i="1"/>
  <c r="W180" i="1" s="1"/>
  <c r="V179" i="1"/>
  <c r="W179" i="1" s="1"/>
  <c r="V178" i="1"/>
  <c r="W178" i="1" s="1"/>
  <c r="V177" i="1"/>
  <c r="W177" i="1" s="1"/>
  <c r="V176" i="1"/>
  <c r="W176" i="1" s="1"/>
  <c r="V175" i="1"/>
  <c r="W175" i="1" s="1"/>
  <c r="V174" i="1"/>
  <c r="W174" i="1" s="1"/>
  <c r="V173" i="1"/>
  <c r="W173" i="1" s="1"/>
  <c r="V172" i="1"/>
  <c r="W172" i="1" s="1"/>
  <c r="V171" i="1"/>
  <c r="W171" i="1" s="1"/>
  <c r="V170" i="1"/>
  <c r="W170" i="1" s="1"/>
  <c r="V169" i="1"/>
  <c r="W169" i="1" s="1"/>
  <c r="V168" i="1"/>
  <c r="W168" i="1" s="1"/>
  <c r="V167" i="1"/>
  <c r="W167" i="1" s="1"/>
  <c r="V166" i="1"/>
  <c r="W166" i="1" s="1"/>
  <c r="V165" i="1"/>
  <c r="W165" i="1" s="1"/>
  <c r="V164" i="1"/>
  <c r="W164" i="1" s="1"/>
  <c r="V163" i="1"/>
  <c r="W163" i="1" s="1"/>
  <c r="V162" i="1"/>
  <c r="W162" i="1" s="1"/>
  <c r="V161" i="1"/>
  <c r="W161" i="1" s="1"/>
  <c r="V160" i="1"/>
  <c r="W160" i="1" s="1"/>
  <c r="V159" i="1"/>
  <c r="W159" i="1" s="1"/>
  <c r="V158" i="1"/>
  <c r="W158" i="1" s="1"/>
  <c r="V157" i="1"/>
  <c r="W157" i="1" s="1"/>
  <c r="V156" i="1"/>
  <c r="W156" i="1" s="1"/>
  <c r="V155" i="1"/>
  <c r="W155" i="1" s="1"/>
  <c r="V154" i="1"/>
  <c r="W154" i="1" s="1"/>
  <c r="V153" i="1"/>
  <c r="W153" i="1" s="1"/>
  <c r="V152" i="1"/>
  <c r="W152" i="1" s="1"/>
  <c r="V151" i="1"/>
  <c r="W151" i="1" s="1"/>
  <c r="V150" i="1"/>
  <c r="W150" i="1" s="1"/>
  <c r="V149" i="1"/>
  <c r="W149" i="1" s="1"/>
  <c r="V148" i="1"/>
  <c r="W148" i="1" s="1"/>
  <c r="V147" i="1"/>
  <c r="W147" i="1" s="1"/>
  <c r="V146" i="1"/>
  <c r="W146" i="1" s="1"/>
  <c r="V145" i="1"/>
  <c r="W145" i="1" s="1"/>
  <c r="V144" i="1"/>
  <c r="W144" i="1" s="1"/>
  <c r="V143" i="1"/>
  <c r="W143" i="1" s="1"/>
  <c r="V142" i="1"/>
  <c r="W142" i="1" s="1"/>
  <c r="V141" i="1"/>
  <c r="W141" i="1" s="1"/>
  <c r="V140" i="1"/>
  <c r="W140" i="1" s="1"/>
  <c r="V139" i="1"/>
  <c r="W139" i="1" s="1"/>
  <c r="V138" i="1"/>
  <c r="W138" i="1" s="1"/>
  <c r="V137" i="1"/>
  <c r="W137" i="1" s="1"/>
  <c r="V136" i="1"/>
  <c r="W136" i="1" s="1"/>
  <c r="V135" i="1"/>
  <c r="W135" i="1" s="1"/>
  <c r="V134" i="1"/>
  <c r="W134" i="1" s="1"/>
  <c r="V133" i="1"/>
  <c r="W133" i="1" s="1"/>
  <c r="V132" i="1"/>
  <c r="W132" i="1" s="1"/>
  <c r="V131" i="1"/>
  <c r="W131" i="1" s="1"/>
  <c r="V130" i="1"/>
  <c r="W130" i="1" s="1"/>
  <c r="V129" i="1"/>
  <c r="W129" i="1" s="1"/>
  <c r="V128" i="1"/>
  <c r="W128" i="1" s="1"/>
  <c r="V127" i="1"/>
  <c r="W127" i="1" s="1"/>
  <c r="V126" i="1"/>
  <c r="W126" i="1" s="1"/>
  <c r="V125" i="1"/>
  <c r="W125" i="1" s="1"/>
  <c r="V124" i="1"/>
  <c r="W124" i="1" s="1"/>
  <c r="V115" i="1"/>
  <c r="W115" i="1" s="1"/>
  <c r="V114" i="1"/>
  <c r="W114" i="1" s="1"/>
  <c r="V113" i="1"/>
  <c r="W113" i="1" s="1"/>
  <c r="V112" i="1"/>
  <c r="W112" i="1" s="1"/>
  <c r="V111" i="1"/>
  <c r="W111" i="1" s="1"/>
  <c r="V110" i="1"/>
  <c r="W110" i="1" s="1"/>
  <c r="V109" i="1"/>
  <c r="W109" i="1" s="1"/>
  <c r="V108" i="1"/>
  <c r="W108" i="1" s="1"/>
  <c r="V107" i="1"/>
  <c r="W107" i="1" s="1"/>
  <c r="V106" i="1"/>
  <c r="W106" i="1" s="1"/>
  <c r="V105" i="1"/>
  <c r="W105" i="1" s="1"/>
  <c r="V104" i="1"/>
  <c r="W104" i="1" s="1"/>
  <c r="V103" i="1"/>
  <c r="W103" i="1" s="1"/>
  <c r="V102" i="1"/>
  <c r="W102" i="1" s="1"/>
  <c r="V101" i="1"/>
  <c r="W101" i="1" s="1"/>
  <c r="V100" i="1"/>
  <c r="W100" i="1" s="1"/>
  <c r="V99" i="1"/>
  <c r="W99" i="1" s="1"/>
  <c r="V98" i="1"/>
  <c r="W98" i="1" s="1"/>
  <c r="V97" i="1"/>
  <c r="W97" i="1" s="1"/>
  <c r="V96" i="1"/>
  <c r="W96" i="1" s="1"/>
  <c r="V95" i="1"/>
  <c r="W95" i="1" s="1"/>
  <c r="V94" i="1"/>
  <c r="W94" i="1" s="1"/>
  <c r="V93" i="1"/>
  <c r="V92" i="1"/>
  <c r="W92" i="1" s="1"/>
  <c r="V91" i="1"/>
  <c r="W91" i="1" s="1"/>
  <c r="V90" i="1"/>
  <c r="W90" i="1" s="1"/>
  <c r="V89" i="1"/>
  <c r="W89" i="1" s="1"/>
  <c r="V88" i="1"/>
  <c r="W88" i="1" s="1"/>
  <c r="V87" i="1"/>
  <c r="W87" i="1" s="1"/>
  <c r="V86" i="1"/>
  <c r="W86" i="1" s="1"/>
  <c r="V85" i="1"/>
  <c r="W85" i="1" s="1"/>
  <c r="V84" i="1"/>
  <c r="W84" i="1" s="1"/>
  <c r="V83" i="1"/>
  <c r="W83" i="1" s="1"/>
  <c r="V82" i="1"/>
  <c r="W82" i="1" s="1"/>
  <c r="V81" i="1"/>
  <c r="W81" i="1" s="1"/>
  <c r="V80" i="1"/>
  <c r="W80" i="1" s="1"/>
  <c r="V79" i="1"/>
  <c r="W79" i="1" s="1"/>
  <c r="V78" i="1"/>
  <c r="W78" i="1" s="1"/>
  <c r="V77" i="1"/>
  <c r="W77" i="1" s="1"/>
  <c r="V76" i="1"/>
  <c r="W76" i="1" s="1"/>
  <c r="V75" i="1"/>
  <c r="W75" i="1" s="1"/>
  <c r="V74" i="1"/>
  <c r="W74" i="1" s="1"/>
  <c r="V73" i="1"/>
  <c r="W73" i="1" s="1"/>
  <c r="V72" i="1"/>
  <c r="W72" i="1" s="1"/>
  <c r="V71" i="1"/>
  <c r="W71" i="1" s="1"/>
  <c r="V70" i="1"/>
  <c r="W70" i="1" s="1"/>
  <c r="V69" i="1"/>
  <c r="W69" i="1" s="1"/>
  <c r="V68" i="1"/>
  <c r="W68" i="1" s="1"/>
  <c r="V67" i="1"/>
  <c r="W67" i="1" s="1"/>
  <c r="V66" i="1"/>
  <c r="W66" i="1" s="1"/>
  <c r="V65" i="1"/>
  <c r="W65" i="1" s="1"/>
  <c r="V64" i="1"/>
  <c r="W64" i="1" s="1"/>
  <c r="V63" i="1"/>
  <c r="W63" i="1" s="1"/>
  <c r="V62" i="1"/>
  <c r="W62" i="1" s="1"/>
  <c r="V61" i="1"/>
  <c r="W61" i="1" s="1"/>
  <c r="V60" i="1"/>
  <c r="W60" i="1" s="1"/>
  <c r="V59" i="1"/>
  <c r="W59" i="1" s="1"/>
  <c r="V58" i="1"/>
  <c r="W58" i="1" s="1"/>
  <c r="V57" i="1"/>
  <c r="W57" i="1" s="1"/>
  <c r="V56" i="1"/>
  <c r="W56" i="1" s="1"/>
  <c r="V55" i="1"/>
  <c r="W55" i="1" s="1"/>
  <c r="V54" i="1"/>
  <c r="W54" i="1" s="1"/>
  <c r="V53" i="1"/>
  <c r="W53" i="1" s="1"/>
  <c r="V52" i="1"/>
  <c r="W52" i="1" s="1"/>
  <c r="V51" i="1"/>
  <c r="W51" i="1" s="1"/>
  <c r="V50" i="1"/>
  <c r="W50" i="1" s="1"/>
  <c r="V49" i="1"/>
  <c r="W49" i="1" s="1"/>
  <c r="V48" i="1"/>
  <c r="W48" i="1" s="1"/>
  <c r="V47" i="1"/>
  <c r="W47" i="1" s="1"/>
  <c r="V46" i="1"/>
  <c r="W46" i="1" s="1"/>
  <c r="V45" i="1"/>
  <c r="W45" i="1" s="1"/>
  <c r="V44" i="1"/>
  <c r="W44" i="1" s="1"/>
  <c r="V43" i="1"/>
  <c r="W43" i="1" s="1"/>
  <c r="V42" i="1"/>
  <c r="W42" i="1" s="1"/>
  <c r="V41" i="1"/>
  <c r="W41" i="1" s="1"/>
  <c r="V40" i="1"/>
  <c r="W40" i="1" s="1"/>
  <c r="V39" i="1"/>
  <c r="W39" i="1" s="1"/>
  <c r="V38" i="1"/>
  <c r="W38" i="1" s="1"/>
  <c r="V37" i="1"/>
  <c r="W37" i="1" s="1"/>
  <c r="V36" i="1"/>
  <c r="W36" i="1" s="1"/>
  <c r="V35" i="1"/>
  <c r="W35" i="1" s="1"/>
  <c r="V34" i="1"/>
  <c r="W34" i="1" s="1"/>
  <c r="V33" i="1"/>
  <c r="W33" i="1" s="1"/>
  <c r="V32" i="1"/>
  <c r="W32" i="1" s="1"/>
  <c r="V31" i="1"/>
  <c r="W31" i="1" s="1"/>
  <c r="V30" i="1"/>
  <c r="W30" i="1" s="1"/>
  <c r="V29" i="1"/>
  <c r="W29" i="1" s="1"/>
  <c r="V28" i="1"/>
  <c r="W28" i="1" s="1"/>
  <c r="V27" i="1"/>
  <c r="W27" i="1" s="1"/>
  <c r="V26" i="1"/>
  <c r="W26" i="1" s="1"/>
  <c r="V25" i="1"/>
  <c r="W25" i="1" s="1"/>
  <c r="V24" i="1"/>
  <c r="W24" i="1" s="1"/>
  <c r="V23" i="1"/>
  <c r="W23" i="1" s="1"/>
  <c r="V22" i="1"/>
  <c r="W22" i="1" s="1"/>
  <c r="V21" i="1"/>
  <c r="W21" i="1" s="1"/>
  <c r="V20" i="1"/>
  <c r="W20" i="1" s="1"/>
  <c r="V19" i="1"/>
  <c r="W19" i="1" s="1"/>
  <c r="R436" i="1"/>
  <c r="S436" i="1" s="1"/>
  <c r="R435" i="1"/>
  <c r="S435" i="1" s="1"/>
  <c r="R434" i="1"/>
  <c r="S434" i="1" s="1"/>
  <c r="R433" i="1"/>
  <c r="S433" i="1" s="1"/>
  <c r="R432" i="1"/>
  <c r="S432" i="1" s="1"/>
  <c r="R431" i="1"/>
  <c r="S431" i="1" s="1"/>
  <c r="R430" i="1"/>
  <c r="S430" i="1" s="1"/>
  <c r="R429" i="1"/>
  <c r="S429" i="1" s="1"/>
  <c r="R428" i="1"/>
  <c r="S428" i="1" s="1"/>
  <c r="R427" i="1"/>
  <c r="S427" i="1" s="1"/>
  <c r="R426" i="1"/>
  <c r="S426" i="1" s="1"/>
  <c r="R425" i="1"/>
  <c r="S425" i="1" s="1"/>
  <c r="R424" i="1"/>
  <c r="S424" i="1" s="1"/>
  <c r="R423" i="1"/>
  <c r="S423" i="1" s="1"/>
  <c r="R422" i="1"/>
  <c r="S422" i="1" s="1"/>
  <c r="R421" i="1"/>
  <c r="S421" i="1" s="1"/>
  <c r="R420" i="1"/>
  <c r="S420" i="1" s="1"/>
  <c r="R419" i="1"/>
  <c r="S419" i="1" s="1"/>
  <c r="R418" i="1"/>
  <c r="S418" i="1" s="1"/>
  <c r="R417" i="1"/>
  <c r="S417" i="1" s="1"/>
  <c r="R416" i="1"/>
  <c r="S416" i="1" s="1"/>
  <c r="R415" i="1"/>
  <c r="S415" i="1" s="1"/>
  <c r="R414" i="1"/>
  <c r="S414" i="1" s="1"/>
  <c r="R413" i="1"/>
  <c r="S413" i="1" s="1"/>
  <c r="R412" i="1"/>
  <c r="S412" i="1" s="1"/>
  <c r="R411" i="1"/>
  <c r="S411" i="1" s="1"/>
  <c r="R410" i="1"/>
  <c r="S410" i="1" s="1"/>
  <c r="R409" i="1"/>
  <c r="S409" i="1" s="1"/>
  <c r="R408" i="1"/>
  <c r="S408" i="1" s="1"/>
  <c r="R407" i="1"/>
  <c r="S407" i="1" s="1"/>
  <c r="R406" i="1"/>
  <c r="S406" i="1" s="1"/>
  <c r="R405" i="1"/>
  <c r="S405" i="1" s="1"/>
  <c r="R404" i="1"/>
  <c r="S404" i="1" s="1"/>
  <c r="R403" i="1"/>
  <c r="S403" i="1" s="1"/>
  <c r="R402" i="1"/>
  <c r="S402" i="1" s="1"/>
  <c r="R401" i="1"/>
  <c r="S401" i="1" s="1"/>
  <c r="R400" i="1"/>
  <c r="S400" i="1" s="1"/>
  <c r="R399" i="1"/>
  <c r="S399" i="1" s="1"/>
  <c r="R398" i="1"/>
  <c r="S398" i="1" s="1"/>
  <c r="R397" i="1"/>
  <c r="S397" i="1" s="1"/>
  <c r="R396" i="1"/>
  <c r="S396" i="1" s="1"/>
  <c r="R395" i="1"/>
  <c r="S395" i="1" s="1"/>
  <c r="R394" i="1"/>
  <c r="S394" i="1" s="1"/>
  <c r="R393" i="1"/>
  <c r="S393" i="1" s="1"/>
  <c r="R392" i="1"/>
  <c r="S392" i="1" s="1"/>
  <c r="R391" i="1"/>
  <c r="S391" i="1" s="1"/>
  <c r="R390" i="1"/>
  <c r="S390" i="1" s="1"/>
  <c r="R389" i="1"/>
  <c r="S389" i="1" s="1"/>
  <c r="R388" i="1"/>
  <c r="S388" i="1" s="1"/>
  <c r="R387" i="1"/>
  <c r="S387" i="1" s="1"/>
  <c r="R386" i="1"/>
  <c r="S386" i="1" s="1"/>
  <c r="R385" i="1"/>
  <c r="S385" i="1" s="1"/>
  <c r="R384" i="1"/>
  <c r="S384" i="1" s="1"/>
  <c r="R383" i="1"/>
  <c r="S383" i="1" s="1"/>
  <c r="R382" i="1"/>
  <c r="S382" i="1" s="1"/>
  <c r="R381" i="1"/>
  <c r="S381" i="1" s="1"/>
  <c r="R380" i="1"/>
  <c r="S380" i="1" s="1"/>
  <c r="R379" i="1"/>
  <c r="S379" i="1" s="1"/>
  <c r="R378" i="1"/>
  <c r="S378" i="1" s="1"/>
  <c r="R377" i="1"/>
  <c r="S377" i="1" s="1"/>
  <c r="R376" i="1"/>
  <c r="S376" i="1" s="1"/>
  <c r="R375" i="1"/>
  <c r="S375" i="1" s="1"/>
  <c r="R374" i="1"/>
  <c r="S374" i="1" s="1"/>
  <c r="R373" i="1"/>
  <c r="S373" i="1" s="1"/>
  <c r="R372" i="1"/>
  <c r="S372" i="1" s="1"/>
  <c r="R371" i="1"/>
  <c r="S371" i="1" s="1"/>
  <c r="R370" i="1"/>
  <c r="S370" i="1" s="1"/>
  <c r="R369" i="1"/>
  <c r="S369" i="1" s="1"/>
  <c r="R368" i="1"/>
  <c r="S368" i="1" s="1"/>
  <c r="R367" i="1"/>
  <c r="S367" i="1" s="1"/>
  <c r="R366" i="1"/>
  <c r="S366" i="1" s="1"/>
  <c r="R365" i="1"/>
  <c r="S365" i="1" s="1"/>
  <c r="R364" i="1"/>
  <c r="S364" i="1" s="1"/>
  <c r="R363" i="1"/>
  <c r="S363" i="1" s="1"/>
  <c r="R362" i="1"/>
  <c r="S362" i="1" s="1"/>
  <c r="R361" i="1"/>
  <c r="S361" i="1" s="1"/>
  <c r="R360" i="1"/>
  <c r="S360" i="1" s="1"/>
  <c r="R359" i="1"/>
  <c r="S359" i="1" s="1"/>
  <c r="R358" i="1"/>
  <c r="S358" i="1" s="1"/>
  <c r="R357" i="1"/>
  <c r="S357" i="1" s="1"/>
  <c r="R356" i="1"/>
  <c r="S356" i="1" s="1"/>
  <c r="R355" i="1"/>
  <c r="S355" i="1" s="1"/>
  <c r="R354" i="1"/>
  <c r="S354" i="1" s="1"/>
  <c r="R353" i="1"/>
  <c r="S353" i="1" s="1"/>
  <c r="R352" i="1"/>
  <c r="S352" i="1" s="1"/>
  <c r="R351" i="1"/>
  <c r="S351" i="1" s="1"/>
  <c r="R350" i="1"/>
  <c r="S350" i="1" s="1"/>
  <c r="R349" i="1"/>
  <c r="S349" i="1" s="1"/>
  <c r="R348" i="1"/>
  <c r="S348" i="1" s="1"/>
  <c r="R347" i="1"/>
  <c r="S347" i="1" s="1"/>
  <c r="R346" i="1"/>
  <c r="S346" i="1" s="1"/>
  <c r="R345" i="1"/>
  <c r="S345" i="1" s="1"/>
  <c r="R344" i="1"/>
  <c r="S344" i="1" s="1"/>
  <c r="R343" i="1"/>
  <c r="S343" i="1" s="1"/>
  <c r="R342" i="1"/>
  <c r="S342" i="1" s="1"/>
  <c r="R341" i="1"/>
  <c r="S341" i="1" s="1"/>
  <c r="R340" i="1"/>
  <c r="S340" i="1" s="1"/>
  <c r="R339" i="1"/>
  <c r="S339" i="1" s="1"/>
  <c r="R338" i="1"/>
  <c r="S338" i="1" s="1"/>
  <c r="R337" i="1"/>
  <c r="S337" i="1" s="1"/>
  <c r="R336" i="1"/>
  <c r="S336" i="1" s="1"/>
  <c r="R335" i="1"/>
  <c r="S335" i="1" s="1"/>
  <c r="R334" i="1"/>
  <c r="S334" i="1" s="1"/>
  <c r="R333" i="1"/>
  <c r="S333" i="1" s="1"/>
  <c r="R332" i="1"/>
  <c r="S332" i="1" s="1"/>
  <c r="R331" i="1"/>
  <c r="S331" i="1" s="1"/>
  <c r="R330" i="1"/>
  <c r="S330" i="1" s="1"/>
  <c r="R329" i="1"/>
  <c r="S329" i="1" s="1"/>
  <c r="R328" i="1"/>
  <c r="S328" i="1" s="1"/>
  <c r="R327" i="1"/>
  <c r="S327" i="1" s="1"/>
  <c r="R326" i="1"/>
  <c r="S326" i="1" s="1"/>
  <c r="R325" i="1"/>
  <c r="S325" i="1" s="1"/>
  <c r="R324" i="1"/>
  <c r="S324" i="1" s="1"/>
  <c r="R323" i="1"/>
  <c r="S323" i="1" s="1"/>
  <c r="R322" i="1"/>
  <c r="S322" i="1" s="1"/>
  <c r="R321" i="1"/>
  <c r="S321" i="1" s="1"/>
  <c r="R320" i="1"/>
  <c r="S320" i="1" s="1"/>
  <c r="R319" i="1"/>
  <c r="S319" i="1" s="1"/>
  <c r="R318" i="1"/>
  <c r="S318" i="1" s="1"/>
  <c r="R317" i="1"/>
  <c r="S317" i="1" s="1"/>
  <c r="R316" i="1"/>
  <c r="S316" i="1" s="1"/>
  <c r="R315" i="1"/>
  <c r="S315" i="1" s="1"/>
  <c r="R314" i="1"/>
  <c r="S314" i="1" s="1"/>
  <c r="R313" i="1"/>
  <c r="S313" i="1" s="1"/>
  <c r="R312" i="1"/>
  <c r="S312" i="1" s="1"/>
  <c r="R311" i="1"/>
  <c r="S311" i="1" s="1"/>
  <c r="R310" i="1"/>
  <c r="S310" i="1" s="1"/>
  <c r="R309" i="1"/>
  <c r="S309" i="1" s="1"/>
  <c r="R308" i="1"/>
  <c r="S308" i="1" s="1"/>
  <c r="R307" i="1"/>
  <c r="S307" i="1" s="1"/>
  <c r="R306" i="1"/>
  <c r="S306" i="1" s="1"/>
  <c r="R305" i="1"/>
  <c r="S305" i="1" s="1"/>
  <c r="R304" i="1"/>
  <c r="S304" i="1" s="1"/>
  <c r="R303" i="1"/>
  <c r="S303" i="1" s="1"/>
  <c r="R302" i="1"/>
  <c r="S302" i="1" s="1"/>
  <c r="R301" i="1"/>
  <c r="S301" i="1" s="1"/>
  <c r="R300" i="1"/>
  <c r="S300" i="1" s="1"/>
  <c r="R299" i="1"/>
  <c r="S299" i="1" s="1"/>
  <c r="R298" i="1"/>
  <c r="S298" i="1" s="1"/>
  <c r="R297" i="1"/>
  <c r="S297" i="1" s="1"/>
  <c r="R296" i="1"/>
  <c r="S296" i="1" s="1"/>
  <c r="R295" i="1"/>
  <c r="S295" i="1" s="1"/>
  <c r="R294" i="1"/>
  <c r="S294" i="1" s="1"/>
  <c r="R293" i="1"/>
  <c r="S293" i="1" s="1"/>
  <c r="R292" i="1"/>
  <c r="S292" i="1" s="1"/>
  <c r="R291" i="1"/>
  <c r="S291" i="1" s="1"/>
  <c r="R290" i="1"/>
  <c r="S290" i="1" s="1"/>
  <c r="R289" i="1"/>
  <c r="S289" i="1" s="1"/>
  <c r="R288" i="1"/>
  <c r="S288" i="1" s="1"/>
  <c r="R287" i="1"/>
  <c r="S287" i="1" s="1"/>
  <c r="R286" i="1"/>
  <c r="S286" i="1" s="1"/>
  <c r="R285" i="1"/>
  <c r="S285" i="1" s="1"/>
  <c r="R284" i="1"/>
  <c r="S284" i="1" s="1"/>
  <c r="R283" i="1"/>
  <c r="S283" i="1" s="1"/>
  <c r="R282" i="1"/>
  <c r="S282" i="1" s="1"/>
  <c r="R281" i="1"/>
  <c r="S281" i="1" s="1"/>
  <c r="R280" i="1"/>
  <c r="S280" i="1" s="1"/>
  <c r="R279" i="1"/>
  <c r="S279" i="1" s="1"/>
  <c r="R278" i="1"/>
  <c r="S278" i="1" s="1"/>
  <c r="R277" i="1"/>
  <c r="S277" i="1" s="1"/>
  <c r="R276" i="1"/>
  <c r="S276" i="1" s="1"/>
  <c r="R275" i="1"/>
  <c r="S275" i="1" s="1"/>
  <c r="R274" i="1"/>
  <c r="S274" i="1" s="1"/>
  <c r="R273" i="1"/>
  <c r="S273" i="1" s="1"/>
  <c r="R272" i="1"/>
  <c r="S272" i="1" s="1"/>
  <c r="R271" i="1"/>
  <c r="S271" i="1" s="1"/>
  <c r="R270" i="1"/>
  <c r="S270" i="1" s="1"/>
  <c r="R269" i="1"/>
  <c r="S269" i="1" s="1"/>
  <c r="R268" i="1"/>
  <c r="S268" i="1" s="1"/>
  <c r="R267" i="1"/>
  <c r="S267" i="1" s="1"/>
  <c r="R266" i="1"/>
  <c r="S266" i="1" s="1"/>
  <c r="R265" i="1"/>
  <c r="S265" i="1" s="1"/>
  <c r="R264" i="1"/>
  <c r="S264" i="1" s="1"/>
  <c r="R263" i="1"/>
  <c r="S263" i="1" s="1"/>
  <c r="R262" i="1"/>
  <c r="S262" i="1" s="1"/>
  <c r="R261" i="1"/>
  <c r="S261" i="1" s="1"/>
  <c r="R260" i="1"/>
  <c r="S260" i="1" s="1"/>
  <c r="R259" i="1"/>
  <c r="S259" i="1" s="1"/>
  <c r="R258" i="1"/>
  <c r="S258" i="1" s="1"/>
  <c r="R257" i="1"/>
  <c r="S257" i="1" s="1"/>
  <c r="R256" i="1"/>
  <c r="S256" i="1" s="1"/>
  <c r="R255" i="1"/>
  <c r="S255" i="1" s="1"/>
  <c r="R254" i="1"/>
  <c r="S254" i="1" s="1"/>
  <c r="R253" i="1"/>
  <c r="S253" i="1" s="1"/>
  <c r="R252" i="1"/>
  <c r="S252" i="1" s="1"/>
  <c r="R251" i="1"/>
  <c r="S251" i="1" s="1"/>
  <c r="R250" i="1"/>
  <c r="S250" i="1" s="1"/>
  <c r="R249" i="1"/>
  <c r="S249" i="1" s="1"/>
  <c r="R248" i="1"/>
  <c r="S248" i="1" s="1"/>
  <c r="R247" i="1"/>
  <c r="S247" i="1" s="1"/>
  <c r="R246" i="1"/>
  <c r="S246" i="1" s="1"/>
  <c r="R245" i="1"/>
  <c r="S245" i="1" s="1"/>
  <c r="R244" i="1"/>
  <c r="S244" i="1" s="1"/>
  <c r="R243" i="1"/>
  <c r="S243" i="1" s="1"/>
  <c r="R242" i="1"/>
  <c r="S242" i="1" s="1"/>
  <c r="R241" i="1"/>
  <c r="S241" i="1" s="1"/>
  <c r="R240" i="1"/>
  <c r="S240" i="1" s="1"/>
  <c r="R239" i="1"/>
  <c r="S239" i="1" s="1"/>
  <c r="R238" i="1"/>
  <c r="S238" i="1" s="1"/>
  <c r="R237" i="1"/>
  <c r="S237" i="1" s="1"/>
  <c r="R236" i="1"/>
  <c r="S236" i="1" s="1"/>
  <c r="R235" i="1"/>
  <c r="S235" i="1" s="1"/>
  <c r="R234" i="1"/>
  <c r="S234" i="1" s="1"/>
  <c r="R233" i="1"/>
  <c r="S233" i="1" s="1"/>
  <c r="R232" i="1"/>
  <c r="S232" i="1" s="1"/>
  <c r="R231" i="1"/>
  <c r="S231" i="1" s="1"/>
  <c r="R230" i="1"/>
  <c r="S230" i="1" s="1"/>
  <c r="R229" i="1"/>
  <c r="S229" i="1" s="1"/>
  <c r="R228" i="1"/>
  <c r="S228" i="1" s="1"/>
  <c r="R227" i="1"/>
  <c r="S227" i="1" s="1"/>
  <c r="R226" i="1"/>
  <c r="S226" i="1" s="1"/>
  <c r="R225" i="1"/>
  <c r="S225" i="1" s="1"/>
  <c r="R224" i="1"/>
  <c r="S224" i="1" s="1"/>
  <c r="R223" i="1"/>
  <c r="S223" i="1" s="1"/>
  <c r="R222" i="1"/>
  <c r="S222" i="1" s="1"/>
  <c r="R221" i="1"/>
  <c r="S221" i="1" s="1"/>
  <c r="R220" i="1"/>
  <c r="S220" i="1" s="1"/>
  <c r="R219" i="1"/>
  <c r="S219" i="1" s="1"/>
  <c r="R218" i="1"/>
  <c r="S218" i="1" s="1"/>
  <c r="R217" i="1"/>
  <c r="S217" i="1" s="1"/>
  <c r="R216" i="1"/>
  <c r="S216" i="1" s="1"/>
  <c r="R215" i="1"/>
  <c r="S215" i="1" s="1"/>
  <c r="R214" i="1"/>
  <c r="S214" i="1" s="1"/>
  <c r="R213" i="1"/>
  <c r="S213" i="1" s="1"/>
  <c r="R212" i="1"/>
  <c r="S212" i="1" s="1"/>
  <c r="R211" i="1"/>
  <c r="S211" i="1" s="1"/>
  <c r="R210" i="1"/>
  <c r="S210" i="1" s="1"/>
  <c r="R209" i="1"/>
  <c r="S209" i="1" s="1"/>
  <c r="R208" i="1"/>
  <c r="S208" i="1" s="1"/>
  <c r="R207" i="1"/>
  <c r="S207" i="1" s="1"/>
  <c r="R206" i="1"/>
  <c r="S206" i="1" s="1"/>
  <c r="R205" i="1"/>
  <c r="S205" i="1" s="1"/>
  <c r="R204" i="1"/>
  <c r="S204" i="1" s="1"/>
  <c r="R203" i="1"/>
  <c r="S203" i="1" s="1"/>
  <c r="R202" i="1"/>
  <c r="S202" i="1" s="1"/>
  <c r="R201" i="1"/>
  <c r="S201" i="1" s="1"/>
  <c r="R200" i="1"/>
  <c r="S200" i="1" s="1"/>
  <c r="R199" i="1"/>
  <c r="S199" i="1" s="1"/>
  <c r="R198" i="1"/>
  <c r="S198" i="1" s="1"/>
  <c r="R197" i="1"/>
  <c r="S197" i="1" s="1"/>
  <c r="R196" i="1"/>
  <c r="S196" i="1" s="1"/>
  <c r="R195" i="1"/>
  <c r="S195" i="1" s="1"/>
  <c r="R194" i="1"/>
  <c r="S194" i="1" s="1"/>
  <c r="R193" i="1"/>
  <c r="S193" i="1" s="1"/>
  <c r="R192" i="1"/>
  <c r="S192" i="1" s="1"/>
  <c r="R191" i="1"/>
  <c r="S191" i="1" s="1"/>
  <c r="R190" i="1"/>
  <c r="S190" i="1" s="1"/>
  <c r="R189" i="1"/>
  <c r="S189" i="1" s="1"/>
  <c r="R188" i="1"/>
  <c r="S188" i="1" s="1"/>
  <c r="R187" i="1"/>
  <c r="S187" i="1" s="1"/>
  <c r="R186" i="1"/>
  <c r="S186" i="1" s="1"/>
  <c r="R185" i="1"/>
  <c r="S185" i="1" s="1"/>
  <c r="R184" i="1"/>
  <c r="S184" i="1" s="1"/>
  <c r="R183" i="1"/>
  <c r="S183" i="1" s="1"/>
  <c r="R182" i="1"/>
  <c r="S182" i="1" s="1"/>
  <c r="R181" i="1"/>
  <c r="S181" i="1" s="1"/>
  <c r="R180" i="1"/>
  <c r="S180" i="1" s="1"/>
  <c r="R179" i="1"/>
  <c r="S179" i="1" s="1"/>
  <c r="R178" i="1"/>
  <c r="S178" i="1" s="1"/>
  <c r="R177" i="1"/>
  <c r="S177" i="1" s="1"/>
  <c r="R176" i="1"/>
  <c r="S176" i="1" s="1"/>
  <c r="R175" i="1"/>
  <c r="S175" i="1" s="1"/>
  <c r="R174" i="1"/>
  <c r="S174" i="1" s="1"/>
  <c r="R173" i="1"/>
  <c r="S173" i="1" s="1"/>
  <c r="R172" i="1"/>
  <c r="S172" i="1" s="1"/>
  <c r="R171" i="1"/>
  <c r="S171" i="1" s="1"/>
  <c r="R170" i="1"/>
  <c r="S170" i="1" s="1"/>
  <c r="R169" i="1"/>
  <c r="S169" i="1" s="1"/>
  <c r="R168" i="1"/>
  <c r="S168" i="1" s="1"/>
  <c r="R167" i="1"/>
  <c r="S167" i="1" s="1"/>
  <c r="R166" i="1"/>
  <c r="S166" i="1" s="1"/>
  <c r="R165" i="1"/>
  <c r="S165" i="1" s="1"/>
  <c r="R164" i="1"/>
  <c r="S164" i="1" s="1"/>
  <c r="R163" i="1"/>
  <c r="S163" i="1" s="1"/>
  <c r="R162" i="1"/>
  <c r="S162" i="1" s="1"/>
  <c r="R161" i="1"/>
  <c r="S161" i="1" s="1"/>
  <c r="R160" i="1"/>
  <c r="S160" i="1" s="1"/>
  <c r="R159" i="1"/>
  <c r="S159" i="1" s="1"/>
  <c r="R158" i="1"/>
  <c r="S158" i="1" s="1"/>
  <c r="R157" i="1"/>
  <c r="S157" i="1" s="1"/>
  <c r="R156" i="1"/>
  <c r="S156" i="1" s="1"/>
  <c r="R155" i="1"/>
  <c r="S155" i="1" s="1"/>
  <c r="R154" i="1"/>
  <c r="S154" i="1" s="1"/>
  <c r="R153" i="1"/>
  <c r="S153" i="1" s="1"/>
  <c r="R152" i="1"/>
  <c r="S152" i="1" s="1"/>
  <c r="R151" i="1"/>
  <c r="S151" i="1" s="1"/>
  <c r="R150" i="1"/>
  <c r="S150" i="1" s="1"/>
  <c r="R149" i="1"/>
  <c r="S149" i="1" s="1"/>
  <c r="R148" i="1"/>
  <c r="S148" i="1" s="1"/>
  <c r="R147" i="1"/>
  <c r="S147" i="1" s="1"/>
  <c r="R146" i="1"/>
  <c r="S146" i="1" s="1"/>
  <c r="R145" i="1"/>
  <c r="S145" i="1" s="1"/>
  <c r="R144" i="1"/>
  <c r="S144" i="1" s="1"/>
  <c r="R143" i="1"/>
  <c r="S143" i="1" s="1"/>
  <c r="R142" i="1"/>
  <c r="S142" i="1" s="1"/>
  <c r="R141" i="1"/>
  <c r="S141" i="1" s="1"/>
  <c r="R140" i="1"/>
  <c r="S140" i="1" s="1"/>
  <c r="R139" i="1"/>
  <c r="S139" i="1" s="1"/>
  <c r="R138" i="1"/>
  <c r="S138" i="1" s="1"/>
  <c r="R137" i="1"/>
  <c r="S137" i="1" s="1"/>
  <c r="R136" i="1"/>
  <c r="S136" i="1" s="1"/>
  <c r="R135" i="1"/>
  <c r="S135" i="1" s="1"/>
  <c r="R134" i="1"/>
  <c r="S134" i="1" s="1"/>
  <c r="R133" i="1"/>
  <c r="S133" i="1" s="1"/>
  <c r="R132" i="1"/>
  <c r="S132" i="1" s="1"/>
  <c r="R131" i="1"/>
  <c r="S131" i="1" s="1"/>
  <c r="R130" i="1"/>
  <c r="S130" i="1" s="1"/>
  <c r="R129" i="1"/>
  <c r="S129" i="1" s="1"/>
  <c r="R128" i="1"/>
  <c r="S128" i="1" s="1"/>
  <c r="R127" i="1"/>
  <c r="S127" i="1" s="1"/>
  <c r="R126" i="1"/>
  <c r="S126" i="1" s="1"/>
  <c r="R125" i="1"/>
  <c r="S125" i="1" s="1"/>
  <c r="R124" i="1"/>
  <c r="S124" i="1" s="1"/>
  <c r="R115" i="1"/>
  <c r="S115" i="1" s="1"/>
  <c r="R114" i="1"/>
  <c r="S114" i="1" s="1"/>
  <c r="R113" i="1"/>
  <c r="S113" i="1" s="1"/>
  <c r="R112" i="1"/>
  <c r="S112" i="1" s="1"/>
  <c r="R111" i="1"/>
  <c r="S111" i="1" s="1"/>
  <c r="R110" i="1"/>
  <c r="S110" i="1" s="1"/>
  <c r="R109" i="1"/>
  <c r="S109" i="1" s="1"/>
  <c r="R108" i="1"/>
  <c r="S108" i="1" s="1"/>
  <c r="R107" i="1"/>
  <c r="S107" i="1" s="1"/>
  <c r="R106" i="1"/>
  <c r="S106" i="1" s="1"/>
  <c r="R105" i="1"/>
  <c r="S105" i="1" s="1"/>
  <c r="R104" i="1"/>
  <c r="S104" i="1" s="1"/>
  <c r="R103" i="1"/>
  <c r="S103" i="1" s="1"/>
  <c r="R102" i="1"/>
  <c r="S102" i="1" s="1"/>
  <c r="R101" i="1"/>
  <c r="S101" i="1" s="1"/>
  <c r="R100" i="1"/>
  <c r="S100" i="1" s="1"/>
  <c r="R99" i="1"/>
  <c r="S99" i="1" s="1"/>
  <c r="R98" i="1"/>
  <c r="S98" i="1" s="1"/>
  <c r="R97" i="1"/>
  <c r="S97" i="1" s="1"/>
  <c r="R96" i="1"/>
  <c r="S96" i="1" s="1"/>
  <c r="R95" i="1"/>
  <c r="S95" i="1" s="1"/>
  <c r="R94" i="1"/>
  <c r="S94" i="1" s="1"/>
  <c r="R93" i="1"/>
  <c r="S93" i="1" s="1"/>
  <c r="R92" i="1"/>
  <c r="S92" i="1" s="1"/>
  <c r="R91" i="1"/>
  <c r="S91" i="1" s="1"/>
  <c r="R90" i="1"/>
  <c r="S90" i="1" s="1"/>
  <c r="R89" i="1"/>
  <c r="S89" i="1" s="1"/>
  <c r="R88" i="1"/>
  <c r="S88" i="1" s="1"/>
  <c r="R87" i="1"/>
  <c r="S87" i="1" s="1"/>
  <c r="R86" i="1"/>
  <c r="S86" i="1" s="1"/>
  <c r="R85" i="1"/>
  <c r="S85" i="1" s="1"/>
  <c r="R84" i="1"/>
  <c r="S84" i="1" s="1"/>
  <c r="R83" i="1"/>
  <c r="S83" i="1" s="1"/>
  <c r="R82" i="1"/>
  <c r="S82" i="1" s="1"/>
  <c r="R81" i="1"/>
  <c r="S81" i="1" s="1"/>
  <c r="R80" i="1"/>
  <c r="S80" i="1" s="1"/>
  <c r="R79" i="1"/>
  <c r="S79" i="1" s="1"/>
  <c r="R78" i="1"/>
  <c r="S78" i="1" s="1"/>
  <c r="R77" i="1"/>
  <c r="S77" i="1" s="1"/>
  <c r="R76" i="1"/>
  <c r="S76" i="1" s="1"/>
  <c r="R75" i="1"/>
  <c r="S75" i="1" s="1"/>
  <c r="R74" i="1"/>
  <c r="S74" i="1" s="1"/>
  <c r="R73" i="1"/>
  <c r="S73" i="1" s="1"/>
  <c r="R72" i="1"/>
  <c r="S72" i="1" s="1"/>
  <c r="R71" i="1"/>
  <c r="S71" i="1" s="1"/>
  <c r="R70" i="1"/>
  <c r="S70" i="1" s="1"/>
  <c r="R69" i="1"/>
  <c r="S69" i="1" s="1"/>
  <c r="R68" i="1"/>
  <c r="S68" i="1" s="1"/>
  <c r="R67" i="1"/>
  <c r="S67" i="1" s="1"/>
  <c r="R66" i="1"/>
  <c r="S66" i="1" s="1"/>
  <c r="R65" i="1"/>
  <c r="S65" i="1" s="1"/>
  <c r="R64" i="1"/>
  <c r="S64" i="1" s="1"/>
  <c r="R63" i="1"/>
  <c r="S63" i="1" s="1"/>
  <c r="R62" i="1"/>
  <c r="S62" i="1" s="1"/>
  <c r="R61" i="1"/>
  <c r="S61" i="1" s="1"/>
  <c r="R60" i="1"/>
  <c r="S60" i="1" s="1"/>
  <c r="R59" i="1"/>
  <c r="S59" i="1" s="1"/>
  <c r="R58" i="1"/>
  <c r="S58" i="1" s="1"/>
  <c r="R57" i="1"/>
  <c r="S57" i="1" s="1"/>
  <c r="R56" i="1"/>
  <c r="S56" i="1" s="1"/>
  <c r="R55" i="1"/>
  <c r="S55" i="1" s="1"/>
  <c r="R54" i="1"/>
  <c r="S54" i="1" s="1"/>
  <c r="R53" i="1"/>
  <c r="S53" i="1" s="1"/>
  <c r="R52" i="1"/>
  <c r="S52" i="1" s="1"/>
  <c r="R51" i="1"/>
  <c r="S51" i="1" s="1"/>
  <c r="R50" i="1"/>
  <c r="S50" i="1" s="1"/>
  <c r="R49" i="1"/>
  <c r="S49" i="1" s="1"/>
  <c r="R48" i="1"/>
  <c r="S48" i="1" s="1"/>
  <c r="R47" i="1"/>
  <c r="S47" i="1" s="1"/>
  <c r="R46" i="1"/>
  <c r="S46" i="1" s="1"/>
  <c r="R45" i="1"/>
  <c r="S45" i="1" s="1"/>
  <c r="R44" i="1"/>
  <c r="S44" i="1" s="1"/>
  <c r="R43" i="1"/>
  <c r="S43" i="1" s="1"/>
  <c r="R42" i="1"/>
  <c r="S42" i="1" s="1"/>
  <c r="R41" i="1"/>
  <c r="S41" i="1" s="1"/>
  <c r="R40" i="1"/>
  <c r="S40" i="1" s="1"/>
  <c r="R39" i="1"/>
  <c r="S39" i="1" s="1"/>
  <c r="R38" i="1"/>
  <c r="S38" i="1" s="1"/>
  <c r="R37" i="1"/>
  <c r="S37" i="1" s="1"/>
  <c r="R36" i="1"/>
  <c r="S36" i="1" s="1"/>
  <c r="R35" i="1"/>
  <c r="S35" i="1" s="1"/>
  <c r="R34" i="1"/>
  <c r="S34" i="1" s="1"/>
  <c r="R33" i="1"/>
  <c r="S33" i="1" s="1"/>
  <c r="R32" i="1"/>
  <c r="S32" i="1" s="1"/>
  <c r="R31" i="1"/>
  <c r="S31" i="1" s="1"/>
  <c r="R30" i="1"/>
  <c r="S30" i="1" s="1"/>
  <c r="R29" i="1"/>
  <c r="S29" i="1" s="1"/>
  <c r="R28" i="1"/>
  <c r="S28" i="1" s="1"/>
  <c r="R27" i="1"/>
  <c r="S27" i="1" s="1"/>
  <c r="R26" i="1"/>
  <c r="S26" i="1" s="1"/>
  <c r="R25" i="1"/>
  <c r="S25" i="1" s="1"/>
  <c r="R24" i="1"/>
  <c r="S24" i="1" s="1"/>
  <c r="R23" i="1"/>
  <c r="S23" i="1" s="1"/>
  <c r="R22" i="1"/>
  <c r="S22" i="1" s="1"/>
  <c r="R21" i="1"/>
  <c r="S21" i="1" s="1"/>
  <c r="R20" i="1"/>
  <c r="S20" i="1" s="1"/>
  <c r="R19" i="1"/>
  <c r="N436" i="1"/>
  <c r="O436" i="1" s="1"/>
  <c r="N435" i="1"/>
  <c r="O435" i="1" s="1"/>
  <c r="N434" i="1"/>
  <c r="O434" i="1" s="1"/>
  <c r="N433" i="1"/>
  <c r="O433" i="1" s="1"/>
  <c r="N432" i="1"/>
  <c r="O432" i="1" s="1"/>
  <c r="N431" i="1"/>
  <c r="O431" i="1" s="1"/>
  <c r="N430" i="1"/>
  <c r="O430" i="1" s="1"/>
  <c r="N429" i="1"/>
  <c r="O429" i="1" s="1"/>
  <c r="N428" i="1"/>
  <c r="O428" i="1" s="1"/>
  <c r="N427" i="1"/>
  <c r="O427" i="1" s="1"/>
  <c r="N426" i="1"/>
  <c r="O426" i="1" s="1"/>
  <c r="N425" i="1"/>
  <c r="O425" i="1" s="1"/>
  <c r="N424" i="1"/>
  <c r="O424" i="1" s="1"/>
  <c r="N423" i="1"/>
  <c r="O423" i="1" s="1"/>
  <c r="N422" i="1"/>
  <c r="O422" i="1" s="1"/>
  <c r="N421" i="1"/>
  <c r="O421" i="1" s="1"/>
  <c r="N420" i="1"/>
  <c r="O420" i="1" s="1"/>
  <c r="N419" i="1"/>
  <c r="O419" i="1" s="1"/>
  <c r="N418" i="1"/>
  <c r="O418" i="1" s="1"/>
  <c r="N417" i="1"/>
  <c r="O417" i="1" s="1"/>
  <c r="N416" i="1"/>
  <c r="O416" i="1" s="1"/>
  <c r="N415" i="1"/>
  <c r="O415" i="1" s="1"/>
  <c r="N414" i="1"/>
  <c r="O414" i="1" s="1"/>
  <c r="N413" i="1"/>
  <c r="O413" i="1" s="1"/>
  <c r="N412" i="1"/>
  <c r="O412" i="1" s="1"/>
  <c r="N411" i="1"/>
  <c r="O411" i="1" s="1"/>
  <c r="N410" i="1"/>
  <c r="O410" i="1" s="1"/>
  <c r="N409" i="1"/>
  <c r="O409" i="1" s="1"/>
  <c r="N408" i="1"/>
  <c r="O408" i="1" s="1"/>
  <c r="N407" i="1"/>
  <c r="O407" i="1" s="1"/>
  <c r="N406" i="1"/>
  <c r="O406" i="1" s="1"/>
  <c r="N405" i="1"/>
  <c r="O405" i="1" s="1"/>
  <c r="N404" i="1"/>
  <c r="O404" i="1" s="1"/>
  <c r="N403" i="1"/>
  <c r="O403" i="1" s="1"/>
  <c r="N402" i="1"/>
  <c r="O402" i="1" s="1"/>
  <c r="N401" i="1"/>
  <c r="O401" i="1" s="1"/>
  <c r="N400" i="1"/>
  <c r="O400" i="1" s="1"/>
  <c r="N399" i="1"/>
  <c r="O399" i="1" s="1"/>
  <c r="N398" i="1"/>
  <c r="O398" i="1" s="1"/>
  <c r="N397" i="1"/>
  <c r="O397" i="1" s="1"/>
  <c r="N396" i="1"/>
  <c r="O396" i="1" s="1"/>
  <c r="N395" i="1"/>
  <c r="O395" i="1" s="1"/>
  <c r="N394" i="1"/>
  <c r="O394" i="1" s="1"/>
  <c r="N393" i="1"/>
  <c r="O393" i="1" s="1"/>
  <c r="N392" i="1"/>
  <c r="O392" i="1" s="1"/>
  <c r="N391" i="1"/>
  <c r="O391" i="1" s="1"/>
  <c r="N390" i="1"/>
  <c r="O390" i="1" s="1"/>
  <c r="N389" i="1"/>
  <c r="O389" i="1" s="1"/>
  <c r="N388" i="1"/>
  <c r="O388" i="1" s="1"/>
  <c r="N387" i="1"/>
  <c r="O387" i="1" s="1"/>
  <c r="N386" i="1"/>
  <c r="O386" i="1" s="1"/>
  <c r="N385" i="1"/>
  <c r="O385" i="1" s="1"/>
  <c r="N384" i="1"/>
  <c r="O384" i="1" s="1"/>
  <c r="N383" i="1"/>
  <c r="O383" i="1" s="1"/>
  <c r="N382" i="1"/>
  <c r="O382" i="1" s="1"/>
  <c r="N381" i="1"/>
  <c r="O381" i="1" s="1"/>
  <c r="N380" i="1"/>
  <c r="O380" i="1" s="1"/>
  <c r="N379" i="1"/>
  <c r="O379" i="1" s="1"/>
  <c r="N378" i="1"/>
  <c r="O378" i="1" s="1"/>
  <c r="N377" i="1"/>
  <c r="O377" i="1" s="1"/>
  <c r="N376" i="1"/>
  <c r="O376" i="1" s="1"/>
  <c r="N375" i="1"/>
  <c r="O375" i="1" s="1"/>
  <c r="N374" i="1"/>
  <c r="O374" i="1" s="1"/>
  <c r="N373" i="1"/>
  <c r="O373" i="1" s="1"/>
  <c r="N372" i="1"/>
  <c r="O372" i="1" s="1"/>
  <c r="N371" i="1"/>
  <c r="O371" i="1" s="1"/>
  <c r="N370" i="1"/>
  <c r="O370" i="1" s="1"/>
  <c r="N369" i="1"/>
  <c r="O369" i="1" s="1"/>
  <c r="N368" i="1"/>
  <c r="O368" i="1" s="1"/>
  <c r="N367" i="1"/>
  <c r="O367" i="1" s="1"/>
  <c r="N366" i="1"/>
  <c r="O366" i="1" s="1"/>
  <c r="N365" i="1"/>
  <c r="O365" i="1" s="1"/>
  <c r="N364" i="1"/>
  <c r="O364" i="1" s="1"/>
  <c r="N363" i="1"/>
  <c r="O363" i="1" s="1"/>
  <c r="N362" i="1"/>
  <c r="O362" i="1" s="1"/>
  <c r="N361" i="1"/>
  <c r="O361" i="1" s="1"/>
  <c r="N360" i="1"/>
  <c r="O360" i="1" s="1"/>
  <c r="N359" i="1"/>
  <c r="O359" i="1" s="1"/>
  <c r="N358" i="1"/>
  <c r="O358" i="1" s="1"/>
  <c r="N357" i="1"/>
  <c r="O357" i="1" s="1"/>
  <c r="N356" i="1"/>
  <c r="O356" i="1" s="1"/>
  <c r="N355" i="1"/>
  <c r="O355" i="1" s="1"/>
  <c r="N354" i="1"/>
  <c r="O354" i="1" s="1"/>
  <c r="N353" i="1"/>
  <c r="O353" i="1" s="1"/>
  <c r="N352" i="1"/>
  <c r="O352" i="1" s="1"/>
  <c r="N351" i="1"/>
  <c r="O351" i="1" s="1"/>
  <c r="N350" i="1"/>
  <c r="O350" i="1" s="1"/>
  <c r="N349" i="1"/>
  <c r="O349" i="1" s="1"/>
  <c r="N348" i="1"/>
  <c r="O348" i="1" s="1"/>
  <c r="N347" i="1"/>
  <c r="O347" i="1" s="1"/>
  <c r="N346" i="1"/>
  <c r="O346" i="1" s="1"/>
  <c r="N345" i="1"/>
  <c r="O345" i="1" s="1"/>
  <c r="N344" i="1"/>
  <c r="O344" i="1" s="1"/>
  <c r="N343" i="1"/>
  <c r="O343" i="1" s="1"/>
  <c r="N342" i="1"/>
  <c r="O342" i="1" s="1"/>
  <c r="N341" i="1"/>
  <c r="O341" i="1" s="1"/>
  <c r="N340" i="1"/>
  <c r="O340" i="1" s="1"/>
  <c r="N339" i="1"/>
  <c r="O339" i="1" s="1"/>
  <c r="N338" i="1"/>
  <c r="O338" i="1" s="1"/>
  <c r="N337" i="1"/>
  <c r="O337" i="1" s="1"/>
  <c r="N336" i="1"/>
  <c r="O336" i="1" s="1"/>
  <c r="N335" i="1"/>
  <c r="O335" i="1" s="1"/>
  <c r="N334" i="1"/>
  <c r="O334" i="1" s="1"/>
  <c r="N333" i="1"/>
  <c r="O333" i="1" s="1"/>
  <c r="N332" i="1"/>
  <c r="O332" i="1" s="1"/>
  <c r="N331" i="1"/>
  <c r="O331" i="1" s="1"/>
  <c r="N330" i="1"/>
  <c r="O330" i="1" s="1"/>
  <c r="N329" i="1"/>
  <c r="O329" i="1" s="1"/>
  <c r="N328" i="1"/>
  <c r="O328" i="1" s="1"/>
  <c r="N327" i="1"/>
  <c r="O327" i="1" s="1"/>
  <c r="N326" i="1"/>
  <c r="O326" i="1" s="1"/>
  <c r="N325" i="1"/>
  <c r="O325" i="1" s="1"/>
  <c r="N324" i="1"/>
  <c r="O324" i="1" s="1"/>
  <c r="N323" i="1"/>
  <c r="O323" i="1" s="1"/>
  <c r="N322" i="1"/>
  <c r="O322" i="1" s="1"/>
  <c r="N321" i="1"/>
  <c r="O321" i="1" s="1"/>
  <c r="N320" i="1"/>
  <c r="O320" i="1" s="1"/>
  <c r="N319" i="1"/>
  <c r="O319" i="1" s="1"/>
  <c r="N318" i="1"/>
  <c r="O318" i="1" s="1"/>
  <c r="N317" i="1"/>
  <c r="O317" i="1" s="1"/>
  <c r="N316" i="1"/>
  <c r="O316" i="1" s="1"/>
  <c r="N315" i="1"/>
  <c r="O315" i="1" s="1"/>
  <c r="N314" i="1"/>
  <c r="O314" i="1" s="1"/>
  <c r="N313" i="1"/>
  <c r="O313" i="1" s="1"/>
  <c r="N312" i="1"/>
  <c r="O312" i="1" s="1"/>
  <c r="N311" i="1"/>
  <c r="O311" i="1" s="1"/>
  <c r="N310" i="1"/>
  <c r="O310" i="1" s="1"/>
  <c r="N309" i="1"/>
  <c r="O309" i="1" s="1"/>
  <c r="N308" i="1"/>
  <c r="O308" i="1" s="1"/>
  <c r="N307" i="1"/>
  <c r="O307" i="1" s="1"/>
  <c r="N306" i="1"/>
  <c r="O306" i="1" s="1"/>
  <c r="N305" i="1"/>
  <c r="O305" i="1" s="1"/>
  <c r="N304" i="1"/>
  <c r="O304" i="1" s="1"/>
  <c r="N303" i="1"/>
  <c r="O303" i="1" s="1"/>
  <c r="N302" i="1"/>
  <c r="O302" i="1" s="1"/>
  <c r="N301" i="1"/>
  <c r="O301" i="1" s="1"/>
  <c r="N300" i="1"/>
  <c r="O300" i="1" s="1"/>
  <c r="N299" i="1"/>
  <c r="O299" i="1" s="1"/>
  <c r="N298" i="1"/>
  <c r="O298" i="1" s="1"/>
  <c r="N297" i="1"/>
  <c r="O297" i="1" s="1"/>
  <c r="N296" i="1"/>
  <c r="O296" i="1" s="1"/>
  <c r="N295" i="1"/>
  <c r="O295" i="1" s="1"/>
  <c r="N294" i="1"/>
  <c r="O294" i="1" s="1"/>
  <c r="N293" i="1"/>
  <c r="O293" i="1" s="1"/>
  <c r="N292" i="1"/>
  <c r="O292" i="1" s="1"/>
  <c r="N291" i="1"/>
  <c r="O291" i="1" s="1"/>
  <c r="N290" i="1"/>
  <c r="O290" i="1" s="1"/>
  <c r="N289" i="1"/>
  <c r="O289" i="1" s="1"/>
  <c r="N288" i="1"/>
  <c r="O288" i="1" s="1"/>
  <c r="N287" i="1"/>
  <c r="O287" i="1" s="1"/>
  <c r="N286" i="1"/>
  <c r="O286" i="1" s="1"/>
  <c r="N285" i="1"/>
  <c r="O285" i="1" s="1"/>
  <c r="N284" i="1"/>
  <c r="O284" i="1" s="1"/>
  <c r="N283" i="1"/>
  <c r="O283" i="1" s="1"/>
  <c r="N282" i="1"/>
  <c r="O282" i="1" s="1"/>
  <c r="N281" i="1"/>
  <c r="O281" i="1" s="1"/>
  <c r="N280" i="1"/>
  <c r="O280" i="1" s="1"/>
  <c r="N279" i="1"/>
  <c r="O279" i="1" s="1"/>
  <c r="N278" i="1"/>
  <c r="O278" i="1" s="1"/>
  <c r="N277" i="1"/>
  <c r="O277" i="1" s="1"/>
  <c r="N276" i="1"/>
  <c r="O276" i="1" s="1"/>
  <c r="N275" i="1"/>
  <c r="O275" i="1" s="1"/>
  <c r="N274" i="1"/>
  <c r="O274" i="1" s="1"/>
  <c r="N273" i="1"/>
  <c r="O273" i="1" s="1"/>
  <c r="N272" i="1"/>
  <c r="O272" i="1" s="1"/>
  <c r="N271" i="1"/>
  <c r="O271" i="1" s="1"/>
  <c r="N270" i="1"/>
  <c r="O270" i="1" s="1"/>
  <c r="N269" i="1"/>
  <c r="O269" i="1" s="1"/>
  <c r="N268" i="1"/>
  <c r="O268" i="1" s="1"/>
  <c r="N267" i="1"/>
  <c r="O267" i="1" s="1"/>
  <c r="N266" i="1"/>
  <c r="O266" i="1" s="1"/>
  <c r="N265" i="1"/>
  <c r="O265" i="1" s="1"/>
  <c r="N264" i="1"/>
  <c r="O264" i="1" s="1"/>
  <c r="N263" i="1"/>
  <c r="O263" i="1" s="1"/>
  <c r="N262" i="1"/>
  <c r="O262" i="1" s="1"/>
  <c r="N261" i="1"/>
  <c r="O261" i="1" s="1"/>
  <c r="N260" i="1"/>
  <c r="O260" i="1" s="1"/>
  <c r="N259" i="1"/>
  <c r="O259" i="1" s="1"/>
  <c r="N258" i="1"/>
  <c r="O258" i="1" s="1"/>
  <c r="N257" i="1"/>
  <c r="O257" i="1" s="1"/>
  <c r="N256" i="1"/>
  <c r="O256" i="1" s="1"/>
  <c r="N255" i="1"/>
  <c r="O255" i="1" s="1"/>
  <c r="N254" i="1"/>
  <c r="O254" i="1" s="1"/>
  <c r="N253" i="1"/>
  <c r="O253" i="1" s="1"/>
  <c r="N252" i="1"/>
  <c r="O252" i="1" s="1"/>
  <c r="N251" i="1"/>
  <c r="O251" i="1" s="1"/>
  <c r="N250" i="1"/>
  <c r="O250" i="1" s="1"/>
  <c r="N249" i="1"/>
  <c r="O249" i="1" s="1"/>
  <c r="N248" i="1"/>
  <c r="O248" i="1" s="1"/>
  <c r="N247" i="1"/>
  <c r="O247" i="1" s="1"/>
  <c r="N246" i="1"/>
  <c r="O246" i="1" s="1"/>
  <c r="N245" i="1"/>
  <c r="O245" i="1" s="1"/>
  <c r="N244" i="1"/>
  <c r="O244" i="1" s="1"/>
  <c r="N243" i="1"/>
  <c r="O243" i="1" s="1"/>
  <c r="N242" i="1"/>
  <c r="O242" i="1" s="1"/>
  <c r="N241" i="1"/>
  <c r="O241" i="1" s="1"/>
  <c r="N240" i="1"/>
  <c r="O240" i="1" s="1"/>
  <c r="N239" i="1"/>
  <c r="O239" i="1" s="1"/>
  <c r="N238" i="1"/>
  <c r="O238" i="1" s="1"/>
  <c r="N237" i="1"/>
  <c r="O237" i="1" s="1"/>
  <c r="N236" i="1"/>
  <c r="O236" i="1" s="1"/>
  <c r="N235" i="1"/>
  <c r="O235" i="1" s="1"/>
  <c r="N234" i="1"/>
  <c r="O234" i="1" s="1"/>
  <c r="N233" i="1"/>
  <c r="O233" i="1" s="1"/>
  <c r="N232" i="1"/>
  <c r="O232" i="1" s="1"/>
  <c r="N231" i="1"/>
  <c r="O231" i="1" s="1"/>
  <c r="N230" i="1"/>
  <c r="O230" i="1" s="1"/>
  <c r="N229" i="1"/>
  <c r="O229" i="1" s="1"/>
  <c r="N228" i="1"/>
  <c r="O228" i="1" s="1"/>
  <c r="N227" i="1"/>
  <c r="O227" i="1" s="1"/>
  <c r="N226" i="1"/>
  <c r="O226" i="1" s="1"/>
  <c r="N225" i="1"/>
  <c r="O225" i="1" s="1"/>
  <c r="N224" i="1"/>
  <c r="O224" i="1" s="1"/>
  <c r="N223" i="1"/>
  <c r="O223" i="1" s="1"/>
  <c r="N222" i="1"/>
  <c r="O222" i="1" s="1"/>
  <c r="N221" i="1"/>
  <c r="O221" i="1" s="1"/>
  <c r="N220" i="1"/>
  <c r="O220" i="1" s="1"/>
  <c r="N219" i="1"/>
  <c r="O219" i="1" s="1"/>
  <c r="N218" i="1"/>
  <c r="O218" i="1" s="1"/>
  <c r="N217" i="1"/>
  <c r="O217" i="1" s="1"/>
  <c r="N216" i="1"/>
  <c r="O216" i="1" s="1"/>
  <c r="N215" i="1"/>
  <c r="O215" i="1" s="1"/>
  <c r="N214" i="1"/>
  <c r="O214" i="1" s="1"/>
  <c r="N213" i="1"/>
  <c r="O213" i="1" s="1"/>
  <c r="N212" i="1"/>
  <c r="O212" i="1" s="1"/>
  <c r="N211" i="1"/>
  <c r="O211" i="1" s="1"/>
  <c r="N210" i="1"/>
  <c r="O210" i="1" s="1"/>
  <c r="N209" i="1"/>
  <c r="O209" i="1" s="1"/>
  <c r="N208" i="1"/>
  <c r="O208" i="1" s="1"/>
  <c r="N207" i="1"/>
  <c r="O207" i="1" s="1"/>
  <c r="N206" i="1"/>
  <c r="O206" i="1" s="1"/>
  <c r="N205" i="1"/>
  <c r="O205" i="1" s="1"/>
  <c r="N204" i="1"/>
  <c r="O204" i="1" s="1"/>
  <c r="N203" i="1"/>
  <c r="O203" i="1" s="1"/>
  <c r="N202" i="1"/>
  <c r="O202" i="1" s="1"/>
  <c r="N201" i="1"/>
  <c r="O201" i="1" s="1"/>
  <c r="N200" i="1"/>
  <c r="O200" i="1" s="1"/>
  <c r="N199" i="1"/>
  <c r="O199" i="1" s="1"/>
  <c r="N198" i="1"/>
  <c r="O198" i="1" s="1"/>
  <c r="N197" i="1"/>
  <c r="O197" i="1" s="1"/>
  <c r="N196" i="1"/>
  <c r="O196" i="1" s="1"/>
  <c r="N195" i="1"/>
  <c r="O195" i="1" s="1"/>
  <c r="N194" i="1"/>
  <c r="O194" i="1" s="1"/>
  <c r="N193" i="1"/>
  <c r="O193" i="1" s="1"/>
  <c r="N192" i="1"/>
  <c r="O192" i="1" s="1"/>
  <c r="N191" i="1"/>
  <c r="O191" i="1" s="1"/>
  <c r="N190" i="1"/>
  <c r="O190" i="1" s="1"/>
  <c r="N189" i="1"/>
  <c r="O189" i="1" s="1"/>
  <c r="N188" i="1"/>
  <c r="O188" i="1" s="1"/>
  <c r="N187" i="1"/>
  <c r="O187" i="1" s="1"/>
  <c r="N186" i="1"/>
  <c r="O186" i="1" s="1"/>
  <c r="N185" i="1"/>
  <c r="O185" i="1" s="1"/>
  <c r="N184" i="1"/>
  <c r="O184" i="1" s="1"/>
  <c r="N183" i="1"/>
  <c r="O183" i="1" s="1"/>
  <c r="N182" i="1"/>
  <c r="O182" i="1" s="1"/>
  <c r="N181" i="1"/>
  <c r="O181" i="1" s="1"/>
  <c r="N180" i="1"/>
  <c r="O180" i="1" s="1"/>
  <c r="N179" i="1"/>
  <c r="O179" i="1" s="1"/>
  <c r="N178" i="1"/>
  <c r="O178" i="1" s="1"/>
  <c r="N177" i="1"/>
  <c r="O177" i="1" s="1"/>
  <c r="N176" i="1"/>
  <c r="O176" i="1" s="1"/>
  <c r="N175" i="1"/>
  <c r="O175" i="1" s="1"/>
  <c r="N174" i="1"/>
  <c r="O174" i="1" s="1"/>
  <c r="N173" i="1"/>
  <c r="O173" i="1" s="1"/>
  <c r="N172" i="1"/>
  <c r="O172" i="1" s="1"/>
  <c r="N171" i="1"/>
  <c r="O171" i="1" s="1"/>
  <c r="N170" i="1"/>
  <c r="O170" i="1" s="1"/>
  <c r="N169" i="1"/>
  <c r="O169" i="1" s="1"/>
  <c r="N168" i="1"/>
  <c r="O168" i="1" s="1"/>
  <c r="N167" i="1"/>
  <c r="O167" i="1" s="1"/>
  <c r="N166" i="1"/>
  <c r="O166" i="1" s="1"/>
  <c r="N165" i="1"/>
  <c r="O165" i="1" s="1"/>
  <c r="N164" i="1"/>
  <c r="O164" i="1" s="1"/>
  <c r="N163" i="1"/>
  <c r="O163" i="1" s="1"/>
  <c r="N162" i="1"/>
  <c r="O162" i="1" s="1"/>
  <c r="N161" i="1"/>
  <c r="O161" i="1" s="1"/>
  <c r="N160" i="1"/>
  <c r="O160" i="1" s="1"/>
  <c r="N159" i="1"/>
  <c r="O159" i="1" s="1"/>
  <c r="N158" i="1"/>
  <c r="O158" i="1" s="1"/>
  <c r="N157" i="1"/>
  <c r="O157" i="1" s="1"/>
  <c r="N156" i="1"/>
  <c r="O156" i="1" s="1"/>
  <c r="N155" i="1"/>
  <c r="O155" i="1" s="1"/>
  <c r="N154" i="1"/>
  <c r="O154" i="1" s="1"/>
  <c r="N153" i="1"/>
  <c r="O153" i="1" s="1"/>
  <c r="N152" i="1"/>
  <c r="O152" i="1" s="1"/>
  <c r="N151" i="1"/>
  <c r="O151" i="1" s="1"/>
  <c r="N150" i="1"/>
  <c r="O150" i="1" s="1"/>
  <c r="N149" i="1"/>
  <c r="O149" i="1" s="1"/>
  <c r="N148" i="1"/>
  <c r="O148" i="1" s="1"/>
  <c r="N147" i="1"/>
  <c r="O147" i="1" s="1"/>
  <c r="N146" i="1"/>
  <c r="O146" i="1" s="1"/>
  <c r="N145" i="1"/>
  <c r="O145" i="1" s="1"/>
  <c r="N144" i="1"/>
  <c r="O144" i="1" s="1"/>
  <c r="N143" i="1"/>
  <c r="O143" i="1" s="1"/>
  <c r="N142" i="1"/>
  <c r="O142" i="1" s="1"/>
  <c r="N141" i="1"/>
  <c r="O141" i="1" s="1"/>
  <c r="N140" i="1"/>
  <c r="O140" i="1" s="1"/>
  <c r="N139" i="1"/>
  <c r="O139" i="1" s="1"/>
  <c r="N138" i="1"/>
  <c r="O138" i="1" s="1"/>
  <c r="N137" i="1"/>
  <c r="O137" i="1" s="1"/>
  <c r="N136" i="1"/>
  <c r="O136" i="1" s="1"/>
  <c r="N135" i="1"/>
  <c r="O135" i="1" s="1"/>
  <c r="N134" i="1"/>
  <c r="O134" i="1" s="1"/>
  <c r="N133" i="1"/>
  <c r="O133" i="1" s="1"/>
  <c r="N132" i="1"/>
  <c r="O132" i="1" s="1"/>
  <c r="N131" i="1"/>
  <c r="O131" i="1" s="1"/>
  <c r="N130" i="1"/>
  <c r="O130" i="1" s="1"/>
  <c r="N129" i="1"/>
  <c r="O129" i="1" s="1"/>
  <c r="N128" i="1"/>
  <c r="O128" i="1" s="1"/>
  <c r="N127" i="1"/>
  <c r="O127" i="1" s="1"/>
  <c r="N126" i="1"/>
  <c r="O126" i="1" s="1"/>
  <c r="N125" i="1"/>
  <c r="O125" i="1" s="1"/>
  <c r="N124" i="1"/>
  <c r="O124" i="1" s="1"/>
  <c r="N115" i="1"/>
  <c r="O115" i="1" s="1"/>
  <c r="N114" i="1"/>
  <c r="O114" i="1" s="1"/>
  <c r="N113" i="1"/>
  <c r="O113" i="1" s="1"/>
  <c r="N112" i="1"/>
  <c r="O112" i="1" s="1"/>
  <c r="N111" i="1"/>
  <c r="O111" i="1" s="1"/>
  <c r="N110" i="1"/>
  <c r="O110" i="1" s="1"/>
  <c r="N109" i="1"/>
  <c r="O109" i="1" s="1"/>
  <c r="N108" i="1"/>
  <c r="O108" i="1" s="1"/>
  <c r="N107" i="1"/>
  <c r="O107" i="1" s="1"/>
  <c r="N106" i="1"/>
  <c r="O106" i="1" s="1"/>
  <c r="N105" i="1"/>
  <c r="O105" i="1" s="1"/>
  <c r="N104" i="1"/>
  <c r="O104" i="1" s="1"/>
  <c r="N103" i="1"/>
  <c r="O103" i="1" s="1"/>
  <c r="N102" i="1"/>
  <c r="O102" i="1" s="1"/>
  <c r="N101" i="1"/>
  <c r="O101" i="1" s="1"/>
  <c r="N100" i="1"/>
  <c r="O100" i="1" s="1"/>
  <c r="N99" i="1"/>
  <c r="O99" i="1" s="1"/>
  <c r="N98" i="1"/>
  <c r="O98" i="1" s="1"/>
  <c r="N97" i="1"/>
  <c r="O97" i="1" s="1"/>
  <c r="N96" i="1"/>
  <c r="O96" i="1" s="1"/>
  <c r="N95" i="1"/>
  <c r="O95" i="1" s="1"/>
  <c r="N94" i="1"/>
  <c r="O94" i="1" s="1"/>
  <c r="N93" i="1"/>
  <c r="O93" i="1" s="1"/>
  <c r="N92" i="1"/>
  <c r="O92" i="1" s="1"/>
  <c r="N91" i="1"/>
  <c r="O91" i="1" s="1"/>
  <c r="N90" i="1"/>
  <c r="O90" i="1" s="1"/>
  <c r="N89" i="1"/>
  <c r="O89" i="1" s="1"/>
  <c r="N88" i="1"/>
  <c r="O88" i="1" s="1"/>
  <c r="N87" i="1"/>
  <c r="O87" i="1" s="1"/>
  <c r="N86" i="1"/>
  <c r="O86" i="1" s="1"/>
  <c r="N85" i="1"/>
  <c r="O85" i="1" s="1"/>
  <c r="N84" i="1"/>
  <c r="O84" i="1" s="1"/>
  <c r="N83" i="1"/>
  <c r="O83" i="1" s="1"/>
  <c r="N82" i="1"/>
  <c r="O82" i="1" s="1"/>
  <c r="N81" i="1"/>
  <c r="O81" i="1" s="1"/>
  <c r="N80" i="1"/>
  <c r="O80" i="1" s="1"/>
  <c r="N79" i="1"/>
  <c r="O79" i="1" s="1"/>
  <c r="N78" i="1"/>
  <c r="O78" i="1" s="1"/>
  <c r="N77" i="1"/>
  <c r="O77" i="1" s="1"/>
  <c r="N76" i="1"/>
  <c r="O76" i="1" s="1"/>
  <c r="N75" i="1"/>
  <c r="O75" i="1" s="1"/>
  <c r="N74" i="1"/>
  <c r="O74" i="1" s="1"/>
  <c r="N73" i="1"/>
  <c r="O73" i="1" s="1"/>
  <c r="N72" i="1"/>
  <c r="O72" i="1" s="1"/>
  <c r="N71" i="1"/>
  <c r="O71" i="1" s="1"/>
  <c r="N70" i="1"/>
  <c r="O70" i="1" s="1"/>
  <c r="N69" i="1"/>
  <c r="O69" i="1" s="1"/>
  <c r="N68" i="1"/>
  <c r="O68" i="1" s="1"/>
  <c r="N67" i="1"/>
  <c r="O67" i="1" s="1"/>
  <c r="N66" i="1"/>
  <c r="O66" i="1" s="1"/>
  <c r="N65" i="1"/>
  <c r="O65" i="1" s="1"/>
  <c r="N64" i="1"/>
  <c r="O64" i="1" s="1"/>
  <c r="N63" i="1"/>
  <c r="O63" i="1" s="1"/>
  <c r="N62" i="1"/>
  <c r="O62" i="1" s="1"/>
  <c r="N61" i="1"/>
  <c r="O61" i="1" s="1"/>
  <c r="N60" i="1"/>
  <c r="O60" i="1" s="1"/>
  <c r="N59" i="1"/>
  <c r="O59" i="1" s="1"/>
  <c r="N58" i="1"/>
  <c r="O58" i="1" s="1"/>
  <c r="N57" i="1"/>
  <c r="O57" i="1" s="1"/>
  <c r="N56" i="1"/>
  <c r="O56" i="1" s="1"/>
  <c r="N55" i="1"/>
  <c r="O55" i="1" s="1"/>
  <c r="N54" i="1"/>
  <c r="O54" i="1" s="1"/>
  <c r="N53" i="1"/>
  <c r="O53" i="1" s="1"/>
  <c r="N52" i="1"/>
  <c r="O52" i="1" s="1"/>
  <c r="N51" i="1"/>
  <c r="O51" i="1" s="1"/>
  <c r="N50" i="1"/>
  <c r="O50" i="1" s="1"/>
  <c r="N49" i="1"/>
  <c r="O49" i="1" s="1"/>
  <c r="N48" i="1"/>
  <c r="O48" i="1" s="1"/>
  <c r="N47" i="1"/>
  <c r="O47" i="1" s="1"/>
  <c r="N46" i="1"/>
  <c r="O46" i="1" s="1"/>
  <c r="N45" i="1"/>
  <c r="O45" i="1" s="1"/>
  <c r="N44" i="1"/>
  <c r="O44" i="1" s="1"/>
  <c r="N43" i="1"/>
  <c r="O43" i="1" s="1"/>
  <c r="N42" i="1"/>
  <c r="O42" i="1" s="1"/>
  <c r="N41" i="1"/>
  <c r="O41" i="1" s="1"/>
  <c r="N40" i="1"/>
  <c r="O40" i="1" s="1"/>
  <c r="N39" i="1"/>
  <c r="O39" i="1" s="1"/>
  <c r="N38" i="1"/>
  <c r="O38" i="1" s="1"/>
  <c r="N37" i="1"/>
  <c r="O37" i="1" s="1"/>
  <c r="N36" i="1"/>
  <c r="O36" i="1" s="1"/>
  <c r="N35" i="1"/>
  <c r="O35" i="1" s="1"/>
  <c r="N34" i="1"/>
  <c r="O34" i="1" s="1"/>
  <c r="N33" i="1"/>
  <c r="O33" i="1" s="1"/>
  <c r="N32" i="1"/>
  <c r="O32" i="1" s="1"/>
  <c r="N31" i="1"/>
  <c r="O31" i="1" s="1"/>
  <c r="N30" i="1"/>
  <c r="O30" i="1" s="1"/>
  <c r="N29" i="1"/>
  <c r="O29" i="1" s="1"/>
  <c r="N28" i="1"/>
  <c r="O28" i="1" s="1"/>
  <c r="N27" i="1"/>
  <c r="O27" i="1" s="1"/>
  <c r="N26" i="1"/>
  <c r="O26" i="1" s="1"/>
  <c r="N25" i="1"/>
  <c r="O25" i="1" s="1"/>
  <c r="N24" i="1"/>
  <c r="O24" i="1" s="1"/>
  <c r="N23" i="1"/>
  <c r="O23" i="1" s="1"/>
  <c r="N22" i="1"/>
  <c r="O22" i="1" s="1"/>
  <c r="N21" i="1"/>
  <c r="O21" i="1" s="1"/>
  <c r="N20" i="1"/>
  <c r="O20" i="1" s="1"/>
  <c r="N19" i="1"/>
  <c r="J436" i="1"/>
  <c r="K436" i="1" s="1"/>
  <c r="J435" i="1"/>
  <c r="K435" i="1" s="1"/>
  <c r="J434" i="1"/>
  <c r="K434" i="1" s="1"/>
  <c r="J433" i="1"/>
  <c r="K433" i="1" s="1"/>
  <c r="J432" i="1"/>
  <c r="K432" i="1" s="1"/>
  <c r="J431" i="1"/>
  <c r="K431" i="1" s="1"/>
  <c r="J430" i="1"/>
  <c r="K430" i="1" s="1"/>
  <c r="J429" i="1"/>
  <c r="K429" i="1" s="1"/>
  <c r="J428" i="1"/>
  <c r="K428" i="1" s="1"/>
  <c r="J427" i="1"/>
  <c r="K427" i="1" s="1"/>
  <c r="J426" i="1"/>
  <c r="K426" i="1" s="1"/>
  <c r="J425" i="1"/>
  <c r="K425" i="1" s="1"/>
  <c r="J424" i="1"/>
  <c r="K424" i="1" s="1"/>
  <c r="J423" i="1"/>
  <c r="K423" i="1" s="1"/>
  <c r="J422" i="1"/>
  <c r="K422" i="1" s="1"/>
  <c r="J421" i="1"/>
  <c r="K421" i="1" s="1"/>
  <c r="J420" i="1"/>
  <c r="K420" i="1" s="1"/>
  <c r="J419" i="1"/>
  <c r="K419" i="1" s="1"/>
  <c r="J418" i="1"/>
  <c r="K418" i="1" s="1"/>
  <c r="J417" i="1"/>
  <c r="K417" i="1" s="1"/>
  <c r="J416" i="1"/>
  <c r="K416" i="1" s="1"/>
  <c r="J415" i="1"/>
  <c r="K415" i="1" s="1"/>
  <c r="J414" i="1"/>
  <c r="K414" i="1" s="1"/>
  <c r="J413" i="1"/>
  <c r="K413" i="1" s="1"/>
  <c r="J412" i="1"/>
  <c r="K412" i="1" s="1"/>
  <c r="J411" i="1"/>
  <c r="K411" i="1" s="1"/>
  <c r="J410" i="1"/>
  <c r="K410" i="1" s="1"/>
  <c r="J409" i="1"/>
  <c r="K409" i="1" s="1"/>
  <c r="J408" i="1"/>
  <c r="K408" i="1" s="1"/>
  <c r="J407" i="1"/>
  <c r="K407" i="1" s="1"/>
  <c r="J406" i="1"/>
  <c r="K406" i="1" s="1"/>
  <c r="J405" i="1"/>
  <c r="K405" i="1" s="1"/>
  <c r="J404" i="1"/>
  <c r="K404" i="1" s="1"/>
  <c r="J403" i="1"/>
  <c r="K403" i="1" s="1"/>
  <c r="J402" i="1"/>
  <c r="K402" i="1" s="1"/>
  <c r="J401" i="1"/>
  <c r="K401" i="1" s="1"/>
  <c r="J400" i="1"/>
  <c r="K400" i="1" s="1"/>
  <c r="J399" i="1"/>
  <c r="K399" i="1" s="1"/>
  <c r="J398" i="1"/>
  <c r="K398" i="1" s="1"/>
  <c r="J397" i="1"/>
  <c r="K397" i="1" s="1"/>
  <c r="J396" i="1"/>
  <c r="K396" i="1" s="1"/>
  <c r="J395" i="1"/>
  <c r="K395" i="1" s="1"/>
  <c r="J394" i="1"/>
  <c r="K394" i="1" s="1"/>
  <c r="J393" i="1"/>
  <c r="K393" i="1" s="1"/>
  <c r="J392" i="1"/>
  <c r="K392" i="1" s="1"/>
  <c r="J391" i="1"/>
  <c r="K391" i="1" s="1"/>
  <c r="J390" i="1"/>
  <c r="K390" i="1" s="1"/>
  <c r="J389" i="1"/>
  <c r="K389" i="1" s="1"/>
  <c r="J388" i="1"/>
  <c r="K388" i="1" s="1"/>
  <c r="J387" i="1"/>
  <c r="K387" i="1" s="1"/>
  <c r="J386" i="1"/>
  <c r="K386" i="1" s="1"/>
  <c r="J385" i="1"/>
  <c r="K385" i="1" s="1"/>
  <c r="J384" i="1"/>
  <c r="K384" i="1" s="1"/>
  <c r="J383" i="1"/>
  <c r="K383" i="1" s="1"/>
  <c r="J382" i="1"/>
  <c r="K382" i="1" s="1"/>
  <c r="J381" i="1"/>
  <c r="K381" i="1" s="1"/>
  <c r="J380" i="1"/>
  <c r="K380" i="1" s="1"/>
  <c r="J379" i="1"/>
  <c r="K379" i="1" s="1"/>
  <c r="J378" i="1"/>
  <c r="K378" i="1" s="1"/>
  <c r="J377" i="1"/>
  <c r="K377" i="1" s="1"/>
  <c r="J376" i="1"/>
  <c r="K376" i="1" s="1"/>
  <c r="J375" i="1"/>
  <c r="K375" i="1" s="1"/>
  <c r="J374" i="1"/>
  <c r="K374" i="1" s="1"/>
  <c r="J373" i="1"/>
  <c r="K373" i="1" s="1"/>
  <c r="J372" i="1"/>
  <c r="K372" i="1" s="1"/>
  <c r="J371" i="1"/>
  <c r="K371" i="1" s="1"/>
  <c r="J370" i="1"/>
  <c r="K370" i="1" s="1"/>
  <c r="J369" i="1"/>
  <c r="K369" i="1" s="1"/>
  <c r="J368" i="1"/>
  <c r="K368" i="1" s="1"/>
  <c r="J367" i="1"/>
  <c r="K367" i="1" s="1"/>
  <c r="J366" i="1"/>
  <c r="K366" i="1" s="1"/>
  <c r="J365" i="1"/>
  <c r="K365" i="1" s="1"/>
  <c r="J364" i="1"/>
  <c r="K364" i="1" s="1"/>
  <c r="J363" i="1"/>
  <c r="K363" i="1" s="1"/>
  <c r="J362" i="1"/>
  <c r="K362" i="1" s="1"/>
  <c r="J361" i="1"/>
  <c r="K361" i="1" s="1"/>
  <c r="J360" i="1"/>
  <c r="K360" i="1" s="1"/>
  <c r="J359" i="1"/>
  <c r="K359" i="1" s="1"/>
  <c r="J358" i="1"/>
  <c r="K358" i="1" s="1"/>
  <c r="J357" i="1"/>
  <c r="K357" i="1" s="1"/>
  <c r="J356" i="1"/>
  <c r="K356" i="1" s="1"/>
  <c r="J355" i="1"/>
  <c r="K355" i="1" s="1"/>
  <c r="J354" i="1"/>
  <c r="K354" i="1" s="1"/>
  <c r="J353" i="1"/>
  <c r="K353" i="1" s="1"/>
  <c r="J352" i="1"/>
  <c r="K352" i="1" s="1"/>
  <c r="J351" i="1"/>
  <c r="K351" i="1" s="1"/>
  <c r="J350" i="1"/>
  <c r="K350" i="1" s="1"/>
  <c r="J349" i="1"/>
  <c r="K349" i="1" s="1"/>
  <c r="J348" i="1"/>
  <c r="K348" i="1" s="1"/>
  <c r="J347" i="1"/>
  <c r="K347" i="1" s="1"/>
  <c r="J346" i="1"/>
  <c r="K346" i="1" s="1"/>
  <c r="J345" i="1"/>
  <c r="K345" i="1" s="1"/>
  <c r="J344" i="1"/>
  <c r="K344" i="1" s="1"/>
  <c r="J343" i="1"/>
  <c r="K343" i="1" s="1"/>
  <c r="J342" i="1"/>
  <c r="K342" i="1" s="1"/>
  <c r="J341" i="1"/>
  <c r="K341" i="1" s="1"/>
  <c r="J340" i="1"/>
  <c r="K340" i="1" s="1"/>
  <c r="J339" i="1"/>
  <c r="K339" i="1" s="1"/>
  <c r="J338" i="1"/>
  <c r="K338" i="1" s="1"/>
  <c r="J337" i="1"/>
  <c r="K337" i="1" s="1"/>
  <c r="J336" i="1"/>
  <c r="K336" i="1" s="1"/>
  <c r="J335" i="1"/>
  <c r="K335" i="1" s="1"/>
  <c r="J334" i="1"/>
  <c r="K334" i="1" s="1"/>
  <c r="J333" i="1"/>
  <c r="K333" i="1" s="1"/>
  <c r="J332" i="1"/>
  <c r="K332" i="1" s="1"/>
  <c r="J331" i="1"/>
  <c r="K331" i="1" s="1"/>
  <c r="J330" i="1"/>
  <c r="K330" i="1" s="1"/>
  <c r="J329" i="1"/>
  <c r="K329" i="1" s="1"/>
  <c r="J328" i="1"/>
  <c r="K328" i="1" s="1"/>
  <c r="J327" i="1"/>
  <c r="K327" i="1" s="1"/>
  <c r="J326" i="1"/>
  <c r="K326" i="1" s="1"/>
  <c r="J325" i="1"/>
  <c r="K325" i="1" s="1"/>
  <c r="J324" i="1"/>
  <c r="K324" i="1" s="1"/>
  <c r="J323" i="1"/>
  <c r="K323" i="1" s="1"/>
  <c r="J322" i="1"/>
  <c r="K322" i="1" s="1"/>
  <c r="J321" i="1"/>
  <c r="K321" i="1" s="1"/>
  <c r="J320" i="1"/>
  <c r="K320" i="1" s="1"/>
  <c r="J319" i="1"/>
  <c r="K319" i="1" s="1"/>
  <c r="J318" i="1"/>
  <c r="K318" i="1" s="1"/>
  <c r="J317" i="1"/>
  <c r="K317" i="1" s="1"/>
  <c r="J316" i="1"/>
  <c r="K316" i="1" s="1"/>
  <c r="J315" i="1"/>
  <c r="K315" i="1" s="1"/>
  <c r="J314" i="1"/>
  <c r="K314" i="1" s="1"/>
  <c r="J313" i="1"/>
  <c r="K313" i="1" s="1"/>
  <c r="J312" i="1"/>
  <c r="K312" i="1" s="1"/>
  <c r="J311" i="1"/>
  <c r="K311" i="1" s="1"/>
  <c r="J310" i="1"/>
  <c r="K310" i="1" s="1"/>
  <c r="J309" i="1"/>
  <c r="K309" i="1" s="1"/>
  <c r="J308" i="1"/>
  <c r="K308" i="1" s="1"/>
  <c r="J307" i="1"/>
  <c r="K307" i="1" s="1"/>
  <c r="J306" i="1"/>
  <c r="K306" i="1" s="1"/>
  <c r="J305" i="1"/>
  <c r="K305" i="1" s="1"/>
  <c r="J304" i="1"/>
  <c r="K304" i="1" s="1"/>
  <c r="J303" i="1"/>
  <c r="K303" i="1" s="1"/>
  <c r="J302" i="1"/>
  <c r="K302" i="1" s="1"/>
  <c r="J301" i="1"/>
  <c r="K301" i="1" s="1"/>
  <c r="J300" i="1"/>
  <c r="K300" i="1" s="1"/>
  <c r="J299" i="1"/>
  <c r="K299" i="1" s="1"/>
  <c r="J298" i="1"/>
  <c r="K298" i="1" s="1"/>
  <c r="J297" i="1"/>
  <c r="K297" i="1" s="1"/>
  <c r="J296" i="1"/>
  <c r="K296" i="1" s="1"/>
  <c r="J295" i="1"/>
  <c r="K295" i="1" s="1"/>
  <c r="J294" i="1"/>
  <c r="K294" i="1" s="1"/>
  <c r="J293" i="1"/>
  <c r="K293" i="1" s="1"/>
  <c r="J292" i="1"/>
  <c r="K292" i="1" s="1"/>
  <c r="J291" i="1"/>
  <c r="K291" i="1" s="1"/>
  <c r="J290" i="1"/>
  <c r="K290" i="1" s="1"/>
  <c r="J289" i="1"/>
  <c r="K289" i="1" s="1"/>
  <c r="J288" i="1"/>
  <c r="K288" i="1" s="1"/>
  <c r="J287" i="1"/>
  <c r="K287" i="1" s="1"/>
  <c r="J286" i="1"/>
  <c r="K286" i="1" s="1"/>
  <c r="J285" i="1"/>
  <c r="K285" i="1" s="1"/>
  <c r="J284" i="1"/>
  <c r="K284" i="1" s="1"/>
  <c r="J283" i="1"/>
  <c r="K283" i="1" s="1"/>
  <c r="J282" i="1"/>
  <c r="K282" i="1" s="1"/>
  <c r="J281" i="1"/>
  <c r="K281" i="1" s="1"/>
  <c r="J280" i="1"/>
  <c r="K280" i="1" s="1"/>
  <c r="J279" i="1"/>
  <c r="K279" i="1" s="1"/>
  <c r="J278" i="1"/>
  <c r="K278" i="1" s="1"/>
  <c r="J277" i="1"/>
  <c r="K277" i="1" s="1"/>
  <c r="J276" i="1"/>
  <c r="K276" i="1" s="1"/>
  <c r="J275" i="1"/>
  <c r="K275" i="1" s="1"/>
  <c r="J274" i="1"/>
  <c r="K274" i="1" s="1"/>
  <c r="J273" i="1"/>
  <c r="K273" i="1" s="1"/>
  <c r="J272" i="1"/>
  <c r="K272" i="1" s="1"/>
  <c r="J271" i="1"/>
  <c r="K271" i="1" s="1"/>
  <c r="J270" i="1"/>
  <c r="K270" i="1" s="1"/>
  <c r="J269" i="1"/>
  <c r="K269" i="1" s="1"/>
  <c r="J268" i="1"/>
  <c r="K268" i="1" s="1"/>
  <c r="J267" i="1"/>
  <c r="K267" i="1" s="1"/>
  <c r="J266" i="1"/>
  <c r="K266" i="1" s="1"/>
  <c r="J265" i="1"/>
  <c r="K265" i="1" s="1"/>
  <c r="J264" i="1"/>
  <c r="K264" i="1" s="1"/>
  <c r="J263" i="1"/>
  <c r="K263" i="1" s="1"/>
  <c r="J262" i="1"/>
  <c r="K262" i="1" s="1"/>
  <c r="J261" i="1"/>
  <c r="K261" i="1" s="1"/>
  <c r="J260" i="1"/>
  <c r="K260" i="1" s="1"/>
  <c r="J259" i="1"/>
  <c r="K259" i="1" s="1"/>
  <c r="J258" i="1"/>
  <c r="K258" i="1" s="1"/>
  <c r="J257" i="1"/>
  <c r="K257" i="1" s="1"/>
  <c r="J256" i="1"/>
  <c r="K256" i="1" s="1"/>
  <c r="J255" i="1"/>
  <c r="K255" i="1" s="1"/>
  <c r="J254" i="1"/>
  <c r="K254" i="1" s="1"/>
  <c r="J253" i="1"/>
  <c r="K253" i="1" s="1"/>
  <c r="J252" i="1"/>
  <c r="K252" i="1" s="1"/>
  <c r="J251" i="1"/>
  <c r="K251" i="1" s="1"/>
  <c r="J250" i="1"/>
  <c r="K250" i="1" s="1"/>
  <c r="J249" i="1"/>
  <c r="K249" i="1" s="1"/>
  <c r="J248" i="1"/>
  <c r="K248" i="1" s="1"/>
  <c r="J247" i="1"/>
  <c r="K247" i="1" s="1"/>
  <c r="J246" i="1"/>
  <c r="K246" i="1" s="1"/>
  <c r="J245" i="1"/>
  <c r="K245" i="1" s="1"/>
  <c r="J244" i="1"/>
  <c r="K244" i="1" s="1"/>
  <c r="J243" i="1"/>
  <c r="K243" i="1" s="1"/>
  <c r="J242" i="1"/>
  <c r="K242" i="1" s="1"/>
  <c r="J241" i="1"/>
  <c r="K241" i="1" s="1"/>
  <c r="J240" i="1"/>
  <c r="K240" i="1" s="1"/>
  <c r="J239" i="1"/>
  <c r="K239" i="1" s="1"/>
  <c r="J238" i="1"/>
  <c r="K238" i="1" s="1"/>
  <c r="J237" i="1"/>
  <c r="K237" i="1" s="1"/>
  <c r="J236" i="1"/>
  <c r="K236" i="1" s="1"/>
  <c r="J235" i="1"/>
  <c r="K235" i="1" s="1"/>
  <c r="J234" i="1"/>
  <c r="K234" i="1" s="1"/>
  <c r="J233" i="1"/>
  <c r="K233" i="1" s="1"/>
  <c r="J232" i="1"/>
  <c r="K232" i="1" s="1"/>
  <c r="J231" i="1"/>
  <c r="K231" i="1" s="1"/>
  <c r="J230" i="1"/>
  <c r="K230" i="1" s="1"/>
  <c r="J229" i="1"/>
  <c r="K229" i="1" s="1"/>
  <c r="J228" i="1"/>
  <c r="K228" i="1" s="1"/>
  <c r="J227" i="1"/>
  <c r="K227" i="1" s="1"/>
  <c r="J226" i="1"/>
  <c r="K226" i="1" s="1"/>
  <c r="J225" i="1"/>
  <c r="K225" i="1" s="1"/>
  <c r="J224" i="1"/>
  <c r="K224" i="1" s="1"/>
  <c r="J223" i="1"/>
  <c r="K223" i="1" s="1"/>
  <c r="J222" i="1"/>
  <c r="K222" i="1" s="1"/>
  <c r="J221" i="1"/>
  <c r="K221" i="1" s="1"/>
  <c r="J220" i="1"/>
  <c r="K220" i="1" s="1"/>
  <c r="J219" i="1"/>
  <c r="K219" i="1" s="1"/>
  <c r="J218" i="1"/>
  <c r="K218" i="1" s="1"/>
  <c r="J217" i="1"/>
  <c r="K217" i="1" s="1"/>
  <c r="J216" i="1"/>
  <c r="K216" i="1" s="1"/>
  <c r="J215" i="1"/>
  <c r="K215" i="1" s="1"/>
  <c r="J214" i="1"/>
  <c r="K214" i="1" s="1"/>
  <c r="J213" i="1"/>
  <c r="K213" i="1" s="1"/>
  <c r="J212" i="1"/>
  <c r="K212" i="1" s="1"/>
  <c r="J211" i="1"/>
  <c r="K211" i="1" s="1"/>
  <c r="J210" i="1"/>
  <c r="K210" i="1" s="1"/>
  <c r="J209" i="1"/>
  <c r="K209" i="1" s="1"/>
  <c r="J208" i="1"/>
  <c r="K208" i="1" s="1"/>
  <c r="J207" i="1"/>
  <c r="K207" i="1" s="1"/>
  <c r="J206" i="1"/>
  <c r="K206" i="1" s="1"/>
  <c r="J205" i="1"/>
  <c r="K205" i="1" s="1"/>
  <c r="J204" i="1"/>
  <c r="K204" i="1" s="1"/>
  <c r="J203" i="1"/>
  <c r="K203" i="1" s="1"/>
  <c r="J202" i="1"/>
  <c r="K202" i="1" s="1"/>
  <c r="J201" i="1"/>
  <c r="K201" i="1" s="1"/>
  <c r="J200" i="1"/>
  <c r="K200" i="1" s="1"/>
  <c r="J199" i="1"/>
  <c r="K199" i="1" s="1"/>
  <c r="J198" i="1"/>
  <c r="K198" i="1" s="1"/>
  <c r="J197" i="1"/>
  <c r="K197" i="1" s="1"/>
  <c r="J196" i="1"/>
  <c r="K196" i="1" s="1"/>
  <c r="J195" i="1"/>
  <c r="K195" i="1" s="1"/>
  <c r="J194" i="1"/>
  <c r="K194" i="1" s="1"/>
  <c r="J193" i="1"/>
  <c r="K193" i="1" s="1"/>
  <c r="J192" i="1"/>
  <c r="K192" i="1" s="1"/>
  <c r="J191" i="1"/>
  <c r="K191" i="1" s="1"/>
  <c r="J190" i="1"/>
  <c r="K190" i="1" s="1"/>
  <c r="J189" i="1"/>
  <c r="K189" i="1" s="1"/>
  <c r="J188" i="1"/>
  <c r="K188" i="1" s="1"/>
  <c r="J187" i="1"/>
  <c r="K187" i="1" s="1"/>
  <c r="J186" i="1"/>
  <c r="K186" i="1" s="1"/>
  <c r="J185" i="1"/>
  <c r="K185" i="1" s="1"/>
  <c r="J184" i="1"/>
  <c r="K184" i="1" s="1"/>
  <c r="J183" i="1"/>
  <c r="K183" i="1" s="1"/>
  <c r="J182" i="1"/>
  <c r="K182" i="1" s="1"/>
  <c r="J181" i="1"/>
  <c r="K181" i="1" s="1"/>
  <c r="J180" i="1"/>
  <c r="K180" i="1" s="1"/>
  <c r="J179" i="1"/>
  <c r="K179" i="1" s="1"/>
  <c r="J178" i="1"/>
  <c r="K178" i="1" s="1"/>
  <c r="J177" i="1"/>
  <c r="K177" i="1" s="1"/>
  <c r="J176" i="1"/>
  <c r="K176" i="1" s="1"/>
  <c r="J175" i="1"/>
  <c r="K175" i="1" s="1"/>
  <c r="J174" i="1"/>
  <c r="K174" i="1" s="1"/>
  <c r="J173" i="1"/>
  <c r="K173" i="1" s="1"/>
  <c r="J172" i="1"/>
  <c r="K172" i="1" s="1"/>
  <c r="J171" i="1"/>
  <c r="K171" i="1" s="1"/>
  <c r="J170" i="1"/>
  <c r="K170" i="1" s="1"/>
  <c r="J169" i="1"/>
  <c r="K169" i="1" s="1"/>
  <c r="J168" i="1"/>
  <c r="K168" i="1" s="1"/>
  <c r="J167" i="1"/>
  <c r="K167" i="1" s="1"/>
  <c r="J166" i="1"/>
  <c r="K166" i="1" s="1"/>
  <c r="J165" i="1"/>
  <c r="K165" i="1" s="1"/>
  <c r="J164" i="1"/>
  <c r="K164" i="1" s="1"/>
  <c r="J163" i="1"/>
  <c r="K163" i="1" s="1"/>
  <c r="J162" i="1"/>
  <c r="K162" i="1" s="1"/>
  <c r="J161" i="1"/>
  <c r="K161" i="1" s="1"/>
  <c r="J160" i="1"/>
  <c r="K160" i="1" s="1"/>
  <c r="J159" i="1"/>
  <c r="K159" i="1" s="1"/>
  <c r="J158" i="1"/>
  <c r="K158" i="1" s="1"/>
  <c r="J157" i="1"/>
  <c r="K157" i="1" s="1"/>
  <c r="J156" i="1"/>
  <c r="K156" i="1" s="1"/>
  <c r="J155" i="1"/>
  <c r="K155" i="1" s="1"/>
  <c r="J154" i="1"/>
  <c r="K154" i="1" s="1"/>
  <c r="J153" i="1"/>
  <c r="K153" i="1" s="1"/>
  <c r="J152" i="1"/>
  <c r="K152" i="1" s="1"/>
  <c r="J151" i="1"/>
  <c r="K151" i="1" s="1"/>
  <c r="J150" i="1"/>
  <c r="K150" i="1" s="1"/>
  <c r="J149" i="1"/>
  <c r="K149" i="1" s="1"/>
  <c r="J148" i="1"/>
  <c r="K148" i="1" s="1"/>
  <c r="J147" i="1"/>
  <c r="K147" i="1" s="1"/>
  <c r="J146" i="1"/>
  <c r="K146" i="1" s="1"/>
  <c r="J145" i="1"/>
  <c r="K145" i="1" s="1"/>
  <c r="J144" i="1"/>
  <c r="K144" i="1" s="1"/>
  <c r="J143" i="1"/>
  <c r="K143" i="1" s="1"/>
  <c r="J142" i="1"/>
  <c r="K142" i="1" s="1"/>
  <c r="J141" i="1"/>
  <c r="K141" i="1" s="1"/>
  <c r="J140" i="1"/>
  <c r="K140" i="1" s="1"/>
  <c r="J139" i="1"/>
  <c r="K139" i="1" s="1"/>
  <c r="J138" i="1"/>
  <c r="K138" i="1" s="1"/>
  <c r="J137" i="1"/>
  <c r="K137" i="1" s="1"/>
  <c r="J136" i="1"/>
  <c r="K136" i="1" s="1"/>
  <c r="J135" i="1"/>
  <c r="K135" i="1" s="1"/>
  <c r="J134" i="1"/>
  <c r="K134" i="1" s="1"/>
  <c r="J133" i="1"/>
  <c r="K133" i="1" s="1"/>
  <c r="J132" i="1"/>
  <c r="K132" i="1" s="1"/>
  <c r="J131" i="1"/>
  <c r="K131" i="1" s="1"/>
  <c r="J130" i="1"/>
  <c r="K130" i="1" s="1"/>
  <c r="J129" i="1"/>
  <c r="K129" i="1" s="1"/>
  <c r="J128" i="1"/>
  <c r="K128" i="1" s="1"/>
  <c r="J127" i="1"/>
  <c r="K127" i="1" s="1"/>
  <c r="J126" i="1"/>
  <c r="K126" i="1" s="1"/>
  <c r="J125" i="1"/>
  <c r="K125" i="1" s="1"/>
  <c r="J124" i="1"/>
  <c r="K124" i="1" s="1"/>
  <c r="J115" i="1"/>
  <c r="K115" i="1" s="1"/>
  <c r="J114" i="1"/>
  <c r="K114" i="1" s="1"/>
  <c r="J113" i="1"/>
  <c r="K113" i="1" s="1"/>
  <c r="J112" i="1"/>
  <c r="K112" i="1" s="1"/>
  <c r="J111" i="1"/>
  <c r="K111" i="1" s="1"/>
  <c r="J110" i="1"/>
  <c r="K110" i="1" s="1"/>
  <c r="J109" i="1"/>
  <c r="K109" i="1" s="1"/>
  <c r="J108" i="1"/>
  <c r="K108" i="1" s="1"/>
  <c r="J107" i="1"/>
  <c r="K107" i="1" s="1"/>
  <c r="J106" i="1"/>
  <c r="K106" i="1" s="1"/>
  <c r="J105" i="1"/>
  <c r="K105" i="1" s="1"/>
  <c r="J104" i="1"/>
  <c r="K104" i="1" s="1"/>
  <c r="J103" i="1"/>
  <c r="K103" i="1" s="1"/>
  <c r="J102" i="1"/>
  <c r="K102" i="1" s="1"/>
  <c r="J101" i="1"/>
  <c r="K101" i="1" s="1"/>
  <c r="J100" i="1"/>
  <c r="K100" i="1" s="1"/>
  <c r="J99" i="1"/>
  <c r="K99" i="1" s="1"/>
  <c r="J98" i="1"/>
  <c r="K98" i="1" s="1"/>
  <c r="J97" i="1"/>
  <c r="K97" i="1" s="1"/>
  <c r="J96" i="1"/>
  <c r="K96" i="1" s="1"/>
  <c r="J95" i="1"/>
  <c r="K95" i="1" s="1"/>
  <c r="J94" i="1"/>
  <c r="K94" i="1" s="1"/>
  <c r="J93" i="1"/>
  <c r="K93" i="1" s="1"/>
  <c r="J92" i="1"/>
  <c r="K92" i="1" s="1"/>
  <c r="J91" i="1"/>
  <c r="K91" i="1" s="1"/>
  <c r="J90" i="1"/>
  <c r="K90" i="1" s="1"/>
  <c r="J89" i="1"/>
  <c r="K89" i="1" s="1"/>
  <c r="J88" i="1"/>
  <c r="K88" i="1" s="1"/>
  <c r="J87" i="1"/>
  <c r="K87" i="1" s="1"/>
  <c r="J86" i="1"/>
  <c r="K86" i="1" s="1"/>
  <c r="J85" i="1"/>
  <c r="K85" i="1" s="1"/>
  <c r="J84" i="1"/>
  <c r="K84" i="1" s="1"/>
  <c r="J83" i="1"/>
  <c r="K83" i="1" s="1"/>
  <c r="J82" i="1"/>
  <c r="K82" i="1" s="1"/>
  <c r="J81" i="1"/>
  <c r="K81" i="1" s="1"/>
  <c r="J80" i="1"/>
  <c r="K80" i="1" s="1"/>
  <c r="J79" i="1"/>
  <c r="K79" i="1" s="1"/>
  <c r="J78" i="1"/>
  <c r="K78" i="1" s="1"/>
  <c r="J77" i="1"/>
  <c r="K77" i="1" s="1"/>
  <c r="J76" i="1"/>
  <c r="K76" i="1" s="1"/>
  <c r="J75" i="1"/>
  <c r="K75" i="1" s="1"/>
  <c r="J74" i="1"/>
  <c r="K74" i="1" s="1"/>
  <c r="J73" i="1"/>
  <c r="K73" i="1" s="1"/>
  <c r="J72" i="1"/>
  <c r="K72" i="1" s="1"/>
  <c r="J71" i="1"/>
  <c r="K71" i="1" s="1"/>
  <c r="J70" i="1"/>
  <c r="K70" i="1" s="1"/>
  <c r="J69" i="1"/>
  <c r="K69" i="1" s="1"/>
  <c r="J68" i="1"/>
  <c r="K68" i="1" s="1"/>
  <c r="J67" i="1"/>
  <c r="K67" i="1" s="1"/>
  <c r="J66" i="1"/>
  <c r="K66" i="1" s="1"/>
  <c r="J65" i="1"/>
  <c r="K65" i="1" s="1"/>
  <c r="J64" i="1"/>
  <c r="K64" i="1" s="1"/>
  <c r="J63" i="1"/>
  <c r="K63" i="1" s="1"/>
  <c r="J62" i="1"/>
  <c r="K62" i="1" s="1"/>
  <c r="J61" i="1"/>
  <c r="K61" i="1" s="1"/>
  <c r="J60" i="1"/>
  <c r="K60" i="1" s="1"/>
  <c r="J59" i="1"/>
  <c r="K59" i="1" s="1"/>
  <c r="J58" i="1"/>
  <c r="K58" i="1" s="1"/>
  <c r="J57" i="1"/>
  <c r="K57" i="1" s="1"/>
  <c r="J56" i="1"/>
  <c r="K56" i="1" s="1"/>
  <c r="J55" i="1"/>
  <c r="K55" i="1" s="1"/>
  <c r="J54" i="1"/>
  <c r="K54" i="1" s="1"/>
  <c r="J53" i="1"/>
  <c r="K53" i="1" s="1"/>
  <c r="J52" i="1"/>
  <c r="K52" i="1" s="1"/>
  <c r="J51" i="1"/>
  <c r="K51" i="1" s="1"/>
  <c r="J50" i="1"/>
  <c r="K50" i="1" s="1"/>
  <c r="J49" i="1"/>
  <c r="K49" i="1" s="1"/>
  <c r="J48" i="1"/>
  <c r="K48" i="1" s="1"/>
  <c r="J47" i="1"/>
  <c r="K47" i="1" s="1"/>
  <c r="J46" i="1"/>
  <c r="K46" i="1" s="1"/>
  <c r="J45" i="1"/>
  <c r="K45" i="1" s="1"/>
  <c r="J44" i="1"/>
  <c r="K44" i="1" s="1"/>
  <c r="J43" i="1"/>
  <c r="K43" i="1" s="1"/>
  <c r="J42" i="1"/>
  <c r="K42" i="1" s="1"/>
  <c r="J41" i="1"/>
  <c r="K41" i="1" s="1"/>
  <c r="J40" i="1"/>
  <c r="K40" i="1" s="1"/>
  <c r="J39" i="1"/>
  <c r="K39" i="1" s="1"/>
  <c r="J38" i="1"/>
  <c r="K38" i="1" s="1"/>
  <c r="J37" i="1"/>
  <c r="K37" i="1" s="1"/>
  <c r="J36" i="1"/>
  <c r="K36" i="1" s="1"/>
  <c r="J35" i="1"/>
  <c r="K35" i="1" s="1"/>
  <c r="J34" i="1"/>
  <c r="K34" i="1" s="1"/>
  <c r="J33" i="1"/>
  <c r="K33" i="1" s="1"/>
  <c r="J32" i="1"/>
  <c r="K32" i="1" s="1"/>
  <c r="J31" i="1"/>
  <c r="K31" i="1" s="1"/>
  <c r="J30" i="1"/>
  <c r="K30" i="1" s="1"/>
  <c r="J29" i="1"/>
  <c r="K29" i="1" s="1"/>
  <c r="J28" i="1"/>
  <c r="K28" i="1" s="1"/>
  <c r="J27" i="1"/>
  <c r="K27" i="1" s="1"/>
  <c r="J26" i="1"/>
  <c r="K26" i="1" s="1"/>
  <c r="J25" i="1"/>
  <c r="K25" i="1" s="1"/>
  <c r="J24" i="1"/>
  <c r="K24" i="1" s="1"/>
  <c r="J23" i="1"/>
  <c r="K23" i="1" s="1"/>
  <c r="J22" i="1"/>
  <c r="K22" i="1" s="1"/>
  <c r="J21" i="1"/>
  <c r="K21" i="1" s="1"/>
  <c r="J20" i="1"/>
  <c r="K20" i="1" s="1"/>
  <c r="J19" i="1"/>
  <c r="B121" i="1"/>
  <c r="B16" i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G113" i="1" s="1"/>
  <c r="F114" i="1"/>
  <c r="G114" i="1" s="1"/>
  <c r="F115" i="1"/>
  <c r="G115" i="1" s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X5" i="1" a="1"/>
  <c r="AJ5" i="1" a="1"/>
  <c r="X4" i="1" a="1"/>
  <c r="AB5" i="1" a="1"/>
  <c r="AJ4" i="1" a="1"/>
  <c r="T4" i="1" a="1"/>
  <c r="AJ3" i="1" a="1"/>
  <c r="AN5" i="1" a="1"/>
  <c r="AF2" i="1" a="1"/>
  <c r="P3" i="1" a="1"/>
  <c r="X2" i="1" a="1"/>
  <c r="AN2" i="1" a="1"/>
  <c r="AF3" i="1" a="1"/>
  <c r="H4" i="1" a="1"/>
  <c r="L3" i="1" a="1"/>
  <c r="T5" i="1" a="1"/>
  <c r="AJ2" i="1" a="1"/>
  <c r="AN3" i="1" a="1"/>
  <c r="P5" i="1" a="1"/>
  <c r="T3" i="1" a="1"/>
  <c r="AF5" i="1" a="1"/>
  <c r="L2" i="1" a="1"/>
  <c r="AF4" i="1" a="1"/>
  <c r="AB4" i="1" a="1"/>
  <c r="L5" i="1" a="1"/>
  <c r="H2" i="1" a="1"/>
  <c r="AN4" i="1" a="1"/>
  <c r="P4" i="1" a="1"/>
  <c r="AB3" i="1" a="1"/>
  <c r="H5" i="1" a="1"/>
  <c r="T2" i="1" a="1"/>
  <c r="AB2" i="1" a="1"/>
  <c r="L4" i="1" a="1"/>
  <c r="X3" i="1" a="1"/>
  <c r="H3" i="1" a="1"/>
  <c r="P2" i="1" a="1"/>
  <c r="AO8" i="1" l="1"/>
  <c r="AC8" i="1"/>
  <c r="Y8" i="1"/>
  <c r="Q8" i="1"/>
  <c r="M8" i="1"/>
  <c r="I8" i="1"/>
  <c r="X10" i="1"/>
  <c r="N10" i="1"/>
  <c r="AN10" i="1"/>
  <c r="AN3" i="1"/>
  <c r="AN4" i="1"/>
  <c r="AN5" i="1"/>
  <c r="AN2" i="1"/>
  <c r="AN12" i="1"/>
  <c r="AN8" i="1"/>
  <c r="AP13" i="1"/>
  <c r="AP11" i="1"/>
  <c r="AP9" i="1"/>
  <c r="AN13" i="1"/>
  <c r="AN11" i="1"/>
  <c r="AN9" i="1"/>
  <c r="AP12" i="1"/>
  <c r="AP8" i="1"/>
  <c r="AO12" i="1"/>
  <c r="AO9" i="1"/>
  <c r="AO11" i="1"/>
  <c r="AO13" i="1"/>
  <c r="AQ13" i="1"/>
  <c r="AP10" i="1"/>
  <c r="AQ8" i="1"/>
  <c r="AQ10" i="1"/>
  <c r="AQ12" i="1"/>
  <c r="AQ9" i="1"/>
  <c r="AQ11" i="1"/>
  <c r="AO10" i="1"/>
  <c r="AK10" i="1"/>
  <c r="AJ10" i="1"/>
  <c r="AJ3" i="1"/>
  <c r="AJ4" i="1"/>
  <c r="AJ5" i="1"/>
  <c r="AJ2" i="1"/>
  <c r="AM13" i="1"/>
  <c r="AL10" i="1"/>
  <c r="AM8" i="1"/>
  <c r="AM10" i="1"/>
  <c r="AM12" i="1"/>
  <c r="AM68" i="1"/>
  <c r="AK8" i="1" s="1"/>
  <c r="AM21" i="1"/>
  <c r="AM9" i="1"/>
  <c r="AM11" i="1"/>
  <c r="AI12" i="1"/>
  <c r="AG10" i="1"/>
  <c r="AH10" i="1"/>
  <c r="AF4" i="1"/>
  <c r="AF5" i="1"/>
  <c r="AF2" i="1"/>
  <c r="AF3" i="1"/>
  <c r="AI21" i="1"/>
  <c r="AI69" i="1"/>
  <c r="AG9" i="1" s="1"/>
  <c r="AI9" i="1"/>
  <c r="AI11" i="1"/>
  <c r="AI13" i="1"/>
  <c r="AF10" i="1"/>
  <c r="AI8" i="1"/>
  <c r="AI10" i="1"/>
  <c r="AE10" i="1"/>
  <c r="AE13" i="1"/>
  <c r="AE8" i="1"/>
  <c r="AB10" i="1"/>
  <c r="AD10" i="1"/>
  <c r="AC10" i="1"/>
  <c r="AB2" i="1"/>
  <c r="AB3" i="1"/>
  <c r="AB4" i="1"/>
  <c r="AB5" i="1"/>
  <c r="AC13" i="1"/>
  <c r="AC12" i="1"/>
  <c r="AE19" i="1"/>
  <c r="AE12" i="1"/>
  <c r="AC9" i="1"/>
  <c r="AC11" i="1"/>
  <c r="AE9" i="1"/>
  <c r="AE11" i="1"/>
  <c r="AA13" i="1"/>
  <c r="AA12" i="1"/>
  <c r="AA10" i="1"/>
  <c r="AA19" i="1"/>
  <c r="X11" i="1" s="1"/>
  <c r="X4" i="1"/>
  <c r="X5" i="1"/>
  <c r="X2" i="1"/>
  <c r="X3" i="1"/>
  <c r="Y12" i="1"/>
  <c r="AA8" i="1"/>
  <c r="Y9" i="1"/>
  <c r="Y11" i="1"/>
  <c r="Y13" i="1"/>
  <c r="AA9" i="1"/>
  <c r="AA11" i="1"/>
  <c r="Y10" i="1"/>
  <c r="Z10" i="1"/>
  <c r="W10" i="1"/>
  <c r="T10" i="1"/>
  <c r="V10" i="1"/>
  <c r="T4" i="1"/>
  <c r="T5" i="1"/>
  <c r="T2" i="1"/>
  <c r="T3" i="1"/>
  <c r="W13" i="1"/>
  <c r="W11" i="1"/>
  <c r="W9" i="1"/>
  <c r="W8" i="1"/>
  <c r="W12" i="1"/>
  <c r="T9" i="1"/>
  <c r="T11" i="1"/>
  <c r="T13" i="1"/>
  <c r="W93" i="1"/>
  <c r="U12" i="1" s="1"/>
  <c r="T8" i="1"/>
  <c r="T12" i="1"/>
  <c r="U10" i="1"/>
  <c r="S13" i="1"/>
  <c r="R10" i="1"/>
  <c r="P3" i="1"/>
  <c r="P4" i="1"/>
  <c r="P5" i="1"/>
  <c r="P2" i="1"/>
  <c r="Q13" i="1"/>
  <c r="Q11" i="1"/>
  <c r="Q9" i="1"/>
  <c r="Q12" i="1"/>
  <c r="P10" i="1"/>
  <c r="Q10" i="1"/>
  <c r="S19" i="1"/>
  <c r="S8" i="1"/>
  <c r="S10" i="1"/>
  <c r="S12" i="1"/>
  <c r="S9" i="1"/>
  <c r="S11" i="1"/>
  <c r="L10" i="1"/>
  <c r="L5" i="1"/>
  <c r="L3" i="1"/>
  <c r="L2" i="1"/>
  <c r="L4" i="1"/>
  <c r="M12" i="1"/>
  <c r="O8" i="1"/>
  <c r="O13" i="1"/>
  <c r="O11" i="1"/>
  <c r="O9" i="1"/>
  <c r="O12" i="1"/>
  <c r="M11" i="1"/>
  <c r="M13" i="1"/>
  <c r="M9" i="1"/>
  <c r="O10" i="1"/>
  <c r="M10" i="1"/>
  <c r="O19" i="1"/>
  <c r="K13" i="1"/>
  <c r="H10" i="1"/>
  <c r="J10" i="1"/>
  <c r="H2" i="1"/>
  <c r="H4" i="1"/>
  <c r="H5" i="1"/>
  <c r="H3" i="1"/>
  <c r="I13" i="1"/>
  <c r="I11" i="1"/>
  <c r="I9" i="1"/>
  <c r="I12" i="1"/>
  <c r="I10" i="1"/>
  <c r="K19" i="1"/>
  <c r="K8" i="1"/>
  <c r="K10" i="1"/>
  <c r="K12" i="1"/>
  <c r="K9" i="1"/>
  <c r="K11" i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G249" i="1" s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G261" i="1" s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G298" i="1" s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G325" i="1" s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G337" i="1" s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G367" i="1" s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G395" i="1" s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G425" i="1" s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124" i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19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124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9" i="1"/>
  <c r="AG8" i="1" l="1"/>
  <c r="U8" i="1"/>
  <c r="X9" i="1"/>
  <c r="X12" i="1"/>
  <c r="Z9" i="1"/>
  <c r="Z8" i="1"/>
  <c r="Z11" i="1"/>
  <c r="Z12" i="1"/>
  <c r="X8" i="1"/>
  <c r="Z13" i="1"/>
  <c r="AL9" i="1"/>
  <c r="AL11" i="1"/>
  <c r="AJ8" i="1"/>
  <c r="AL8" i="1"/>
  <c r="AL13" i="1"/>
  <c r="AL12" i="1"/>
  <c r="AJ12" i="1"/>
  <c r="AK12" i="1"/>
  <c r="AK13" i="1"/>
  <c r="AK11" i="1"/>
  <c r="AK9" i="1"/>
  <c r="AJ9" i="1"/>
  <c r="AJ11" i="1"/>
  <c r="AJ13" i="1"/>
  <c r="AH11" i="1"/>
  <c r="AF8" i="1"/>
  <c r="AF12" i="1"/>
  <c r="AH9" i="1"/>
  <c r="AG11" i="1"/>
  <c r="AG13" i="1"/>
  <c r="AF9" i="1"/>
  <c r="AG12" i="1"/>
  <c r="AF11" i="1"/>
  <c r="AF13" i="1"/>
  <c r="AH13" i="1"/>
  <c r="AH12" i="1"/>
  <c r="AH8" i="1"/>
  <c r="AD13" i="1"/>
  <c r="AD11" i="1"/>
  <c r="AD9" i="1"/>
  <c r="AB13" i="1"/>
  <c r="AB11" i="1"/>
  <c r="AB9" i="1"/>
  <c r="AD12" i="1"/>
  <c r="AD8" i="1"/>
  <c r="AB12" i="1"/>
  <c r="AB8" i="1"/>
  <c r="X13" i="1"/>
  <c r="U9" i="1"/>
  <c r="V13" i="1"/>
  <c r="U11" i="1"/>
  <c r="V11" i="1"/>
  <c r="V9" i="1"/>
  <c r="V12" i="1"/>
  <c r="V8" i="1"/>
  <c r="U13" i="1"/>
  <c r="R13" i="1"/>
  <c r="R11" i="1"/>
  <c r="R9" i="1"/>
  <c r="P8" i="1"/>
  <c r="P13" i="1"/>
  <c r="P11" i="1"/>
  <c r="P9" i="1"/>
  <c r="R12" i="1"/>
  <c r="R8" i="1"/>
  <c r="P12" i="1"/>
  <c r="L13" i="1"/>
  <c r="L11" i="1"/>
  <c r="L9" i="1"/>
  <c r="N12" i="1"/>
  <c r="N8" i="1"/>
  <c r="L8" i="1"/>
  <c r="N13" i="1"/>
  <c r="N11" i="1"/>
  <c r="N9" i="1"/>
  <c r="L12" i="1"/>
  <c r="J11" i="1"/>
  <c r="J9" i="1"/>
  <c r="J13" i="1"/>
  <c r="H11" i="1"/>
  <c r="H9" i="1"/>
  <c r="H13" i="1"/>
  <c r="J8" i="1"/>
  <c r="H8" i="1"/>
  <c r="J12" i="1"/>
  <c r="H12" i="1"/>
  <c r="G124" i="1"/>
  <c r="G10" i="1"/>
  <c r="G19" i="1"/>
  <c r="D10" i="1"/>
  <c r="G68" i="1"/>
  <c r="E8" i="1" s="1"/>
  <c r="E10" i="1"/>
  <c r="F10" i="1"/>
  <c r="G13" i="1" l="1"/>
  <c r="G12" i="1"/>
  <c r="G11" i="1"/>
  <c r="G9" i="1"/>
  <c r="G8" i="1"/>
  <c r="E12" i="1"/>
  <c r="E9" i="1"/>
  <c r="E11" i="1"/>
  <c r="E13" i="1"/>
  <c r="F11" i="1"/>
  <c r="D9" i="1"/>
  <c r="F13" i="1"/>
  <c r="F12" i="1"/>
  <c r="D13" i="1"/>
  <c r="F9" i="1"/>
  <c r="D12" i="1"/>
  <c r="F8" i="1"/>
  <c r="D11" i="1"/>
  <c r="D8" i="1"/>
  <c r="B139" i="2" a="1"/>
  <c r="F22" i="2" a="1"/>
  <c r="B59" i="2" a="1"/>
  <c r="D82" i="2" a="1"/>
  <c r="D29" i="2" a="1"/>
  <c r="F196" i="2" a="1"/>
  <c r="E53" i="2" a="1"/>
  <c r="F103" i="2" a="1"/>
  <c r="B166" i="2" a="1"/>
  <c r="F197" i="2" a="1"/>
  <c r="E90" i="2" a="1"/>
  <c r="B144" i="2" a="1"/>
  <c r="F181" i="2" a="1"/>
  <c r="E115" i="2" a="1"/>
  <c r="C40" i="2" a="1"/>
  <c r="B3" i="2" a="1"/>
  <c r="E22" i="2" a="1"/>
  <c r="C122" i="2" a="1"/>
  <c r="E126" i="2" a="1"/>
  <c r="D131" i="2" a="1"/>
  <c r="C166" i="2" a="1"/>
  <c r="F82" i="2" a="1"/>
  <c r="D183" i="2" a="1"/>
  <c r="F32" i="2" a="1"/>
  <c r="F67" i="2" a="1"/>
  <c r="F192" i="2" a="1"/>
  <c r="B38" i="2" a="1"/>
  <c r="C28" i="2" a="1"/>
  <c r="D93" i="2" a="1"/>
  <c r="E46" i="2" a="1"/>
  <c r="F120" i="2" a="1"/>
  <c r="C124" i="2" a="1"/>
  <c r="D96" i="2" a="1"/>
  <c r="F13" i="2" a="1"/>
  <c r="E170" i="2" a="1"/>
  <c r="D10" i="2" a="1"/>
  <c r="B71" i="2" a="1"/>
  <c r="D111" i="2" a="1"/>
  <c r="E50" i="2" a="1"/>
  <c r="B62" i="2" a="1"/>
  <c r="C125" i="2" a="1"/>
  <c r="D58" i="2" a="1"/>
  <c r="B175" i="2" a="1"/>
  <c r="B191" i="2" a="1"/>
  <c r="E78" i="2" a="1"/>
  <c r="B184" i="2" a="1"/>
  <c r="D3" i="1" a="1"/>
  <c r="C91" i="2" a="1"/>
  <c r="B188" i="2" a="1"/>
  <c r="E12" i="2" a="1"/>
  <c r="B178" i="2" a="1"/>
  <c r="E128" i="2" a="1"/>
  <c r="E60" i="2" a="1"/>
  <c r="E122" i="2" a="1"/>
  <c r="F106" i="2" a="1"/>
  <c r="F165" i="2" a="1"/>
  <c r="E31" i="2" a="1"/>
  <c r="C45" i="2" a="1"/>
  <c r="C5" i="2" a="1"/>
  <c r="F184" i="2" a="1"/>
  <c r="C180" i="2" a="1"/>
  <c r="C35" i="2" a="1"/>
  <c r="D89" i="2" a="1"/>
  <c r="C59" i="2" a="1"/>
  <c r="C165" i="2" a="1"/>
  <c r="E24" i="2" a="1"/>
  <c r="E47" i="2" a="1"/>
  <c r="E165" i="2" a="1"/>
  <c r="D75" i="2" a="1"/>
  <c r="F175" i="2" a="1"/>
  <c r="D67" i="2" a="1"/>
  <c r="C24" i="2" a="1"/>
  <c r="F127" i="2" a="1"/>
  <c r="F4" i="2" a="1"/>
  <c r="B47" i="2" a="1"/>
  <c r="C33" i="2" a="1"/>
  <c r="B94" i="2" a="1"/>
  <c r="B181" i="2" a="1"/>
  <c r="C90" i="2" a="1"/>
  <c r="C16" i="2" a="1"/>
  <c r="B85" i="2" a="1"/>
  <c r="C86" i="2" a="1"/>
  <c r="D38" i="2" a="1"/>
  <c r="D31" i="2" a="1"/>
  <c r="D191" i="2" a="1"/>
  <c r="D170" i="2" a="1"/>
  <c r="B35" i="2" a="1"/>
  <c r="F33" i="2" a="1"/>
  <c r="F186" i="2" a="1"/>
  <c r="E123" i="2" a="1"/>
  <c r="E96" i="2" a="1"/>
  <c r="F81" i="2" a="1"/>
  <c r="E69" i="2" a="1"/>
  <c r="D61" i="2" a="1"/>
  <c r="C56" i="2" a="1"/>
  <c r="B92" i="2" a="1"/>
  <c r="B34" i="2" a="1"/>
  <c r="E59" i="2" a="1"/>
  <c r="F187" i="2" a="1"/>
  <c r="B33" i="2" a="1"/>
  <c r="F86" i="2" a="1"/>
  <c r="E175" i="2" a="1"/>
  <c r="C120" i="2" a="1"/>
  <c r="C76" i="2" a="1"/>
  <c r="F111" i="2" a="1"/>
  <c r="E202" i="2" a="1"/>
  <c r="D135" i="2" a="1"/>
  <c r="C70" i="2" a="1"/>
  <c r="B14" i="2" a="1"/>
  <c r="E27" i="2" a="1"/>
  <c r="F126" i="2" a="1"/>
  <c r="E92" i="2" a="1"/>
  <c r="C26" i="2" a="1"/>
  <c r="F63" i="2" a="1"/>
  <c r="F172" i="2" a="1"/>
  <c r="E152" i="2" a="1"/>
  <c r="C13" i="2" a="1"/>
  <c r="F202" i="2" a="1"/>
  <c r="B187" i="2" a="1"/>
  <c r="F98" i="2" a="1"/>
  <c r="C115" i="2" a="1"/>
  <c r="C83" i="2" a="1"/>
  <c r="C63" i="2" a="1"/>
  <c r="D138" i="2" a="1"/>
  <c r="F124" i="2" a="1"/>
  <c r="B72" i="2" a="1"/>
  <c r="B25" i="2" a="1"/>
  <c r="E186" i="2" a="1"/>
  <c r="E49" i="2" a="1"/>
  <c r="F146" i="2" a="1"/>
  <c r="B116" i="2" a="1"/>
  <c r="D107" i="2" a="1"/>
  <c r="C190" i="2" a="1"/>
  <c r="E161" i="2" a="1"/>
  <c r="B86" i="2" a="1"/>
  <c r="E112" i="2" a="1"/>
  <c r="B88" i="2" a="1"/>
  <c r="F41" i="2" a="1"/>
  <c r="B106" i="2" a="1"/>
  <c r="F142" i="2" a="1"/>
  <c r="D5" i="1" a="1"/>
  <c r="D39" i="2" a="1"/>
  <c r="C178" i="2" a="1"/>
  <c r="F117" i="2" a="1"/>
  <c r="E173" i="2" a="1"/>
  <c r="F119" i="2" a="1"/>
  <c r="B95" i="2" a="1"/>
  <c r="E146" i="2" a="1"/>
  <c r="F91" i="2" a="1"/>
  <c r="D36" i="2" a="1"/>
  <c r="F77" i="2" a="1"/>
  <c r="D200" i="2" a="1"/>
  <c r="C164" i="2" a="1"/>
  <c r="F53" i="2" a="1"/>
  <c r="B7" i="2" a="1"/>
  <c r="F97" i="2" a="1"/>
  <c r="B171" i="2" a="1"/>
  <c r="C80" i="2" a="1"/>
  <c r="C42" i="2" a="1"/>
  <c r="D176" i="2" a="1"/>
  <c r="E185" i="2" a="1"/>
  <c r="B8" i="2" a="1"/>
  <c r="D187" i="2" a="1"/>
  <c r="C171" i="2" a="1"/>
  <c r="B146" i="2" a="1"/>
  <c r="D168" i="2" a="1"/>
  <c r="C129" i="2" a="1"/>
  <c r="E137" i="2" a="1"/>
  <c r="F110" i="2" a="1"/>
  <c r="C69" i="2" a="1"/>
  <c r="D74" i="2" a="1"/>
  <c r="F69" i="2" a="1"/>
  <c r="E72" i="2" a="1"/>
  <c r="D108" i="2" a="1"/>
  <c r="F94" i="2" a="1"/>
  <c r="B150" i="2" a="1"/>
  <c r="F42" i="2" a="1"/>
  <c r="B155" i="2" a="1"/>
  <c r="B64" i="2" a="1"/>
  <c r="C150" i="2" a="1"/>
  <c r="C158" i="2" a="1"/>
  <c r="F56" i="2" a="1"/>
  <c r="D24" i="2" a="1"/>
  <c r="C87" i="2" a="1"/>
  <c r="B99" i="2" a="1"/>
  <c r="D153" i="2" a="1"/>
  <c r="C61" i="2" a="1"/>
  <c r="E103" i="2" a="1"/>
  <c r="F29" i="2" a="1"/>
  <c r="C66" i="2" a="1"/>
  <c r="E124" i="2" a="1"/>
  <c r="F72" i="2" a="1"/>
  <c r="E41" i="2" a="1"/>
  <c r="B179" i="2" a="1"/>
  <c r="B82" i="2" a="1"/>
  <c r="C4" i="2" a="1"/>
  <c r="E101" i="2" a="1"/>
  <c r="B48" i="2" a="1"/>
  <c r="D144" i="2" a="1"/>
  <c r="D62" i="2" a="1"/>
  <c r="D174" i="2" a="1"/>
  <c r="C197" i="2" a="1"/>
  <c r="C193" i="2" a="1"/>
  <c r="C36" i="2" a="1"/>
  <c r="F200" i="2" a="1"/>
  <c r="D161" i="2" a="1"/>
  <c r="D114" i="2" a="1"/>
  <c r="D162" i="2" a="1"/>
  <c r="C65" i="2" a="1"/>
  <c r="B156" i="2" a="1"/>
  <c r="F16" i="2" a="1"/>
  <c r="C58" i="2" a="1"/>
  <c r="B198" i="2" a="1"/>
  <c r="E139" i="2" a="1"/>
  <c r="D137" i="2" a="1"/>
  <c r="F176" i="2" a="1"/>
  <c r="C47" i="2" a="1"/>
  <c r="B54" i="2" a="1"/>
  <c r="D98" i="2" a="1"/>
  <c r="D172" i="2" a="1"/>
  <c r="E42" i="2" a="1"/>
  <c r="E52" i="2" a="1"/>
  <c r="D16" i="2" a="1"/>
  <c r="C17" i="2" a="1"/>
  <c r="D4" i="1" a="1"/>
  <c r="B74" i="2" a="1"/>
  <c r="C135" i="2" a="1"/>
  <c r="E56" i="2" a="1"/>
  <c r="F144" i="2" a="1"/>
  <c r="C186" i="2" a="1"/>
  <c r="E174" i="2" a="1"/>
  <c r="E171" i="2" a="1"/>
  <c r="E150" i="2" a="1"/>
  <c r="F113" i="2" a="1"/>
  <c r="D167" i="2" a="1"/>
  <c r="F201" i="2" a="1"/>
  <c r="D181" i="2" a="1"/>
  <c r="D171" i="2" a="1"/>
  <c r="E198" i="2" a="1"/>
  <c r="B189" i="2" a="1"/>
  <c r="B43" i="2" a="1"/>
  <c r="B161" i="2" a="1"/>
  <c r="F143" i="2" a="1"/>
  <c r="F70" i="2" a="1"/>
  <c r="B140" i="2" a="1"/>
  <c r="F96" i="2" a="1"/>
  <c r="F155" i="2" a="1"/>
  <c r="E168" i="2" a="1"/>
  <c r="D158" i="2" a="1"/>
  <c r="D20" i="2" a="1"/>
  <c r="C22" i="2" a="1"/>
  <c r="E157" i="2" a="1"/>
  <c r="B177" i="2" a="1"/>
  <c r="E18" i="2" a="1"/>
  <c r="E195" i="2" a="1"/>
  <c r="F147" i="2" a="1"/>
  <c r="C145" i="2" a="1"/>
  <c r="D48" i="2" a="1"/>
  <c r="D193" i="2" a="1"/>
  <c r="C119" i="2" a="1"/>
  <c r="B128" i="2" a="1"/>
  <c r="E141" i="2" a="1"/>
  <c r="D159" i="2" a="1"/>
  <c r="C7" i="2" a="1"/>
  <c r="C97" i="2" a="1"/>
  <c r="F92" i="2" a="1"/>
  <c r="C136" i="2" a="1"/>
  <c r="F84" i="2" a="1"/>
  <c r="F80" i="2" a="1"/>
  <c r="F168" i="2" a="1"/>
  <c r="E130" i="2" a="1"/>
  <c r="E178" i="2" a="1"/>
  <c r="B29" i="2" a="1"/>
  <c r="F54" i="2" a="1"/>
  <c r="C182" i="2" a="1"/>
  <c r="F78" i="2" a="1"/>
  <c r="F185" i="2" a="1"/>
  <c r="D165" i="2" a="1"/>
  <c r="B84" i="2" a="1"/>
  <c r="B67" i="2" a="1"/>
  <c r="D184" i="2" a="1"/>
  <c r="D99" i="2" a="1"/>
  <c r="F151" i="2" a="1"/>
  <c r="F87" i="2" a="1"/>
  <c r="D142" i="2" a="1"/>
  <c r="C134" i="2" a="1"/>
  <c r="D109" i="2" a="1"/>
  <c r="D197" i="2" a="1"/>
  <c r="D121" i="2" a="1"/>
  <c r="B52" i="2" a="1"/>
  <c r="D49" i="2" a="1"/>
  <c r="D30" i="2" a="1"/>
  <c r="E26" i="2" a="1"/>
  <c r="B36" i="2" a="1"/>
  <c r="D188" i="2" a="1"/>
  <c r="E109" i="2" a="1"/>
  <c r="D149" i="2" a="1"/>
  <c r="E55" i="2" a="1"/>
  <c r="D91" i="2" a="1"/>
  <c r="E51" i="2" a="1"/>
  <c r="F129" i="2" a="1"/>
  <c r="B75" i="2" a="1"/>
  <c r="F51" i="2" a="1"/>
  <c r="C102" i="2" a="1"/>
  <c r="B9" i="2" a="1"/>
  <c r="C174" i="2" a="1"/>
  <c r="F99" i="2" a="1"/>
  <c r="C72" i="2" a="1"/>
  <c r="B28" i="2" a="1"/>
  <c r="D122" i="2" a="1"/>
  <c r="C67" i="2" a="1"/>
  <c r="D102" i="2" a="1"/>
  <c r="E183" i="2" a="1"/>
  <c r="C113" i="2" a="1"/>
  <c r="D43" i="2" a="1"/>
  <c r="E169" i="2" a="1"/>
  <c r="D28" i="2" a="1"/>
  <c r="E10" i="2" a="1"/>
  <c r="E149" i="2" a="1"/>
  <c r="E110" i="2" a="1"/>
  <c r="E82" i="2" a="1"/>
  <c r="D133" i="2" a="1"/>
  <c r="D35" i="2" a="1"/>
  <c r="F149" i="2" a="1"/>
  <c r="F193" i="2" a="1"/>
  <c r="E162" i="2" a="1"/>
  <c r="F48" i="2" a="1"/>
  <c r="D190" i="2" a="1"/>
  <c r="F183" i="2" a="1"/>
  <c r="B69" i="2" a="1"/>
  <c r="E97" i="2" a="1"/>
  <c r="B50" i="2" a="1"/>
  <c r="B76" i="2" a="1"/>
  <c r="F125" i="2" a="1"/>
  <c r="B115" i="2" a="1"/>
  <c r="C104" i="2" a="1"/>
  <c r="B169" i="2" a="1"/>
  <c r="F123" i="2" a="1"/>
  <c r="E121" i="2" a="1"/>
  <c r="D56" i="2" a="1"/>
  <c r="C189" i="2" a="1"/>
  <c r="C109" i="2" a="1"/>
  <c r="C141" i="2" a="1"/>
  <c r="E5" i="2" a="1"/>
  <c r="D33" i="2" a="1"/>
  <c r="B61" i="2" a="1"/>
  <c r="D186" i="2" a="1"/>
  <c r="F131" i="2" a="1"/>
  <c r="B157" i="2" a="1"/>
  <c r="C154" i="2" a="1"/>
  <c r="D81" i="2" a="1"/>
  <c r="B163" i="2" a="1"/>
  <c r="C53" i="2" a="1"/>
  <c r="B131" i="2" a="1"/>
  <c r="F154" i="2" a="1"/>
  <c r="F26" i="2" a="1"/>
  <c r="B87" i="2" a="1"/>
  <c r="E65" i="2" a="1"/>
  <c r="D4" i="2" a="1"/>
  <c r="E3" i="2" a="1"/>
  <c r="F39" i="2" a="1"/>
  <c r="D69" i="2" a="1"/>
  <c r="C179" i="2" a="1"/>
  <c r="F161" i="2" a="1"/>
  <c r="F59" i="2" a="1"/>
  <c r="C173" i="2" a="1"/>
  <c r="F73" i="2" a="1"/>
  <c r="E85" i="2" a="1"/>
  <c r="F89" i="2" a="1"/>
  <c r="F167" i="2" a="1"/>
  <c r="E9" i="2" a="1"/>
  <c r="D182" i="2" a="1"/>
  <c r="E68" i="2" a="1"/>
  <c r="B13" i="2" a="1"/>
  <c r="E116" i="2" a="1"/>
  <c r="C79" i="2" a="1"/>
  <c r="E95" i="2" a="1"/>
  <c r="C118" i="2" a="1"/>
  <c r="F6" i="2" a="1"/>
  <c r="F95" i="2" a="1"/>
  <c r="D132" i="2" a="1"/>
  <c r="E196" i="2" a="1"/>
  <c r="E88" i="2" a="1"/>
  <c r="E23" i="2" a="1"/>
  <c r="B145" i="2" a="1"/>
  <c r="D115" i="2" a="1"/>
  <c r="C94" i="2" a="1"/>
  <c r="D57" i="2" a="1"/>
  <c r="C41" i="2" a="1"/>
  <c r="F74" i="2" a="1"/>
  <c r="E129" i="2" a="1"/>
  <c r="F156" i="2" a="1"/>
  <c r="D5" i="2" a="1"/>
  <c r="E30" i="2" a="1"/>
  <c r="D37" i="2" a="1"/>
  <c r="C103" i="2" a="1"/>
  <c r="D116" i="2" a="1"/>
  <c r="F10" i="2" a="1"/>
  <c r="B142" i="2" a="1"/>
  <c r="D128" i="2" a="1"/>
  <c r="F5" i="2" a="1"/>
  <c r="D9" i="2" a="1"/>
  <c r="E7" i="2" a="1"/>
  <c r="F71" i="2" a="1"/>
  <c r="F19" i="2" a="1"/>
  <c r="F134" i="2" a="1"/>
  <c r="E197" i="2" a="1"/>
  <c r="F23" i="2" a="1"/>
  <c r="E43" i="2" a="1"/>
  <c r="C43" i="2" a="1"/>
  <c r="E71" i="2" a="1"/>
  <c r="C52" i="2" a="1"/>
  <c r="D164" i="2" a="1"/>
  <c r="E61" i="2" a="1"/>
  <c r="D155" i="2" a="1"/>
  <c r="C172" i="2" a="1"/>
  <c r="D64" i="2" a="1"/>
  <c r="C29" i="2" a="1"/>
  <c r="E14" i="2" a="1"/>
  <c r="B105" i="2" a="1"/>
  <c r="C19" i="2" a="1"/>
  <c r="B183" i="2" a="1"/>
  <c r="B49" i="2" a="1"/>
  <c r="B170" i="2" a="1"/>
  <c r="B37" i="2" a="1"/>
  <c r="D71" i="2" a="1"/>
  <c r="E131" i="2" a="1"/>
  <c r="C192" i="2" a="1"/>
  <c r="F188" i="2" a="1"/>
  <c r="E106" i="2" a="1"/>
  <c r="B96" i="2" a="1"/>
  <c r="F121" i="2" a="1"/>
  <c r="E104" i="2" a="1"/>
  <c r="E143" i="2" a="1"/>
  <c r="E81" i="2" a="1"/>
  <c r="C20" i="2" a="1"/>
  <c r="E6" i="2" a="1"/>
  <c r="D202" i="2" a="1"/>
  <c r="D34" i="2" a="1"/>
  <c r="D130" i="2" a="1"/>
  <c r="F11" i="2" a="1"/>
  <c r="D70" i="2" a="1"/>
  <c r="C74" i="2" a="1"/>
  <c r="C51" i="2" a="1"/>
  <c r="C123" i="2" a="1"/>
  <c r="B73" i="2" a="1"/>
  <c r="D103" i="2" a="1"/>
  <c r="C185" i="2" a="1"/>
  <c r="B23" i="2" a="1"/>
  <c r="B108" i="2" a="1"/>
  <c r="C144" i="2" a="1"/>
  <c r="F150" i="2" a="1"/>
  <c r="D44" i="2" a="1"/>
  <c r="B160" i="2" a="1"/>
  <c r="C60" i="2" a="1"/>
  <c r="D151" i="2" a="1"/>
  <c r="D119" i="2" a="1"/>
  <c r="E164" i="2" a="1"/>
  <c r="F169" i="2" a="1"/>
  <c r="E191" i="2" a="1"/>
  <c r="F179" i="2" a="1"/>
  <c r="D160" i="2" a="1"/>
  <c r="B53" i="2" a="1"/>
  <c r="E73" i="2" a="1"/>
  <c r="E142" i="2" a="1"/>
  <c r="C184" i="2" a="1"/>
  <c r="E83" i="2" a="1"/>
  <c r="E63" i="2" a="1"/>
  <c r="E66" i="2" a="1"/>
  <c r="F136" i="2" a="1"/>
  <c r="C112" i="2" a="1"/>
  <c r="F34" i="2" a="1"/>
  <c r="D88" i="2" a="1"/>
  <c r="F25" i="2" a="1"/>
  <c r="D166" i="2" a="1"/>
  <c r="F55" i="2" a="1"/>
  <c r="B133" i="2" a="1"/>
  <c r="B66" i="2" a="1"/>
  <c r="B173" i="2" a="1"/>
  <c r="C46" i="2" a="1"/>
  <c r="D15" i="2" a="1"/>
  <c r="E108" i="2" a="1"/>
  <c r="B79" i="2" a="1"/>
  <c r="E200" i="2" a="1"/>
  <c r="F28" i="2" a="1"/>
  <c r="B135" i="2" a="1"/>
  <c r="E89" i="2" a="1"/>
  <c r="F189" i="2" a="1"/>
  <c r="C155" i="2" a="1"/>
  <c r="D169" i="2" a="1"/>
  <c r="C116" i="2" a="1"/>
  <c r="D63" i="2" a="1"/>
  <c r="C82" i="2" a="1"/>
  <c r="B143" i="2" a="1"/>
  <c r="D77" i="2" a="1"/>
  <c r="C73" i="2" a="1"/>
  <c r="B100" i="2" a="1"/>
  <c r="D110" i="2" a="1"/>
  <c r="F140" i="2" a="1"/>
  <c r="C37" i="2" a="1"/>
  <c r="C162" i="2" a="1"/>
  <c r="B194" i="2" a="1"/>
  <c r="F182" i="2" a="1"/>
  <c r="F37" i="2" a="1"/>
  <c r="F133" i="2" a="1"/>
  <c r="B40" i="2" a="1"/>
  <c r="D180" i="2" a="1"/>
  <c r="F163" i="2" a="1"/>
  <c r="C49" i="2" a="1"/>
  <c r="C200" i="2" a="1"/>
  <c r="B193" i="2" a="1"/>
  <c r="B125" i="2" a="1"/>
  <c r="D12" i="2" a="1"/>
  <c r="B45" i="2" a="1"/>
  <c r="C11" i="2" a="1"/>
  <c r="D23" i="2" a="1"/>
  <c r="B57" i="2" a="1"/>
  <c r="E166" i="2" a="1"/>
  <c r="E36" i="2" a="1"/>
  <c r="B123" i="2" a="1"/>
  <c r="F102" i="2" a="1"/>
  <c r="D13" i="2" a="1"/>
  <c r="F101" i="2" a="1"/>
  <c r="B42" i="2" a="1"/>
  <c r="E54" i="2" a="1"/>
  <c r="E160" i="2" a="1"/>
  <c r="B77" i="2" a="1"/>
  <c r="B22" i="2" a="1"/>
  <c r="D66" i="2" a="1"/>
  <c r="B200" i="2" a="1"/>
  <c r="C105" i="2" a="1"/>
  <c r="E114" i="2" a="1"/>
  <c r="B21" i="2" a="1"/>
  <c r="F21" i="2" a="1"/>
  <c r="F45" i="2" a="1"/>
  <c r="B93" i="2" a="1"/>
  <c r="B63" i="2" a="1"/>
  <c r="C34" i="2" a="1"/>
  <c r="B148" i="2" a="1"/>
  <c r="D157" i="2" a="1"/>
  <c r="E188" i="2" a="1"/>
  <c r="B114" i="2" a="1"/>
  <c r="C88" i="2" a="1"/>
  <c r="D118" i="2" a="1"/>
  <c r="E99" i="2" a="1"/>
  <c r="E100" i="2" a="1"/>
  <c r="E167" i="2" a="1"/>
  <c r="F148" i="2" a="1"/>
  <c r="C201" i="2" a="1"/>
  <c r="F118" i="2" a="1"/>
  <c r="B126" i="2" a="1"/>
  <c r="D148" i="2" a="1"/>
  <c r="C168" i="2" a="1"/>
  <c r="D173" i="2" a="1"/>
  <c r="B39" i="2" a="1"/>
  <c r="D18" i="2" a="1"/>
  <c r="D156" i="2" a="1"/>
  <c r="B164" i="2" a="1"/>
  <c r="B89" i="2" a="1"/>
  <c r="B20" i="2" a="1"/>
  <c r="B68" i="2" a="1"/>
  <c r="F8" i="2" a="1"/>
  <c r="E127" i="2" a="1"/>
  <c r="C157" i="2" a="1"/>
  <c r="F50" i="2" a="1"/>
  <c r="C142" i="2" a="1"/>
  <c r="B113" i="2" a="1"/>
  <c r="B17" i="2" a="1"/>
  <c r="D83" i="2" a="1"/>
  <c r="E58" i="2" a="1"/>
  <c r="C169" i="2" a="1"/>
  <c r="B51" i="2" a="1"/>
  <c r="D146" i="2" a="1"/>
  <c r="E182" i="2" a="1"/>
  <c r="F60" i="2" a="1"/>
  <c r="E87" i="2" a="1"/>
  <c r="D97" i="2" a="1"/>
  <c r="B137" i="2" a="1"/>
  <c r="C121" i="2" a="1"/>
  <c r="F15" i="2" a="1"/>
  <c r="C202" i="2" a="1"/>
  <c r="C93" i="2" a="1"/>
  <c r="C78" i="2" a="1"/>
  <c r="B91" i="2" a="1"/>
  <c r="D150" i="2" a="1"/>
  <c r="E134" i="2" a="1"/>
  <c r="B141" i="2" a="1"/>
  <c r="D65" i="2" a="1"/>
  <c r="F135" i="2" a="1"/>
  <c r="E199" i="2" a="1"/>
  <c r="D129" i="2" a="1"/>
  <c r="C140" i="2" a="1"/>
  <c r="C160" i="2" a="1"/>
  <c r="D68" i="2" a="1"/>
  <c r="C152" i="2" a="1"/>
  <c r="C198" i="2" a="1"/>
  <c r="E39" i="2" a="1"/>
  <c r="C147" i="2" a="1"/>
  <c r="C130" i="2" a="1"/>
  <c r="F157" i="2" a="1"/>
  <c r="D95" i="2" a="1"/>
  <c r="E86" i="2" a="1"/>
  <c r="D92" i="2" a="1"/>
  <c r="F3" i="2" a="1"/>
  <c r="C95" i="2" a="1"/>
  <c r="C127" i="2" a="1"/>
  <c r="C57" i="2" a="1"/>
  <c r="F46" i="2" a="1"/>
  <c r="E193" i="2" a="1"/>
  <c r="F88" i="2" a="1"/>
  <c r="E33" i="2" a="1"/>
  <c r="E111" i="2" a="1"/>
  <c r="B185" i="2" a="1"/>
  <c r="E201" i="2" a="1"/>
  <c r="C25" i="2" a="1"/>
  <c r="D198" i="2" a="1"/>
  <c r="F57" i="2" a="1"/>
  <c r="F177" i="2" a="1"/>
  <c r="E37" i="2" a="1"/>
  <c r="F38" i="2" a="1"/>
  <c r="E177" i="2" a="1"/>
  <c r="D87" i="2" a="1"/>
  <c r="B186" i="2" a="1"/>
  <c r="B30" i="2" a="1"/>
  <c r="F180" i="2" a="1"/>
  <c r="B134" i="2" a="1"/>
  <c r="C30" i="2" a="1"/>
  <c r="F108" i="2" a="1"/>
  <c r="D86" i="2" a="1"/>
  <c r="B12" i="2" a="1"/>
  <c r="E75" i="2" a="1"/>
  <c r="C117" i="2" a="1"/>
  <c r="C89" i="2" a="1"/>
  <c r="E16" i="2" a="1"/>
  <c r="D46" i="2" a="1"/>
  <c r="D124" i="2" a="1"/>
  <c r="C194" i="2" a="1"/>
  <c r="B195" i="2" a="1"/>
  <c r="C170" i="2" a="1"/>
  <c r="F30" i="2" a="1"/>
  <c r="B110" i="2" a="1"/>
  <c r="C199" i="2" a="1"/>
  <c r="E84" i="2" a="1"/>
  <c r="B172" i="2" a="1"/>
  <c r="B158" i="2" a="1"/>
  <c r="E135" i="2" a="1"/>
  <c r="B196" i="2" a="1"/>
  <c r="B130" i="2" a="1"/>
  <c r="D154" i="2" a="1"/>
  <c r="B165" i="2" a="1"/>
  <c r="B103" i="2" a="1"/>
  <c r="D85" i="2" a="1"/>
  <c r="D139" i="2" a="1"/>
  <c r="C159" i="2" a="1"/>
  <c r="E151" i="2" a="1"/>
  <c r="E189" i="2" a="1"/>
  <c r="D147" i="2" a="1"/>
  <c r="D123" i="2" a="1"/>
  <c r="C71" i="2" a="1"/>
  <c r="C156" i="2" a="1"/>
  <c r="B153" i="2" a="1"/>
  <c r="B122" i="2" a="1"/>
  <c r="F173" i="2" a="1"/>
  <c r="C151" i="2" a="1"/>
  <c r="F20" i="2" a="1"/>
  <c r="F105" i="2" a="1"/>
  <c r="B152" i="2" a="1"/>
  <c r="F194" i="2" a="1"/>
  <c r="B121" i="2" a="1"/>
  <c r="C114" i="2" a="1"/>
  <c r="E93" i="2" a="1"/>
  <c r="B129" i="2" a="1"/>
  <c r="D80" i="2" a="1"/>
  <c r="E117" i="2" a="1"/>
  <c r="C23" i="2" a="1"/>
  <c r="D101" i="2" a="1"/>
  <c r="E94" i="2" a="1"/>
  <c r="E20" i="2" a="1"/>
  <c r="D11" i="2" a="1"/>
  <c r="E119" i="2" a="1"/>
  <c r="C139" i="2" a="1"/>
  <c r="F49" i="2" a="1"/>
  <c r="F7" i="2" a="1"/>
  <c r="C196" i="2" a="1"/>
  <c r="C138" i="2" a="1"/>
  <c r="B78" i="2" a="1"/>
  <c r="D17" i="2" a="1"/>
  <c r="D45" i="2" a="1"/>
  <c r="D59" i="2" a="1"/>
  <c r="C31" i="2" a="1"/>
  <c r="B192" i="2" a="1"/>
  <c r="B111" i="2" a="1"/>
  <c r="B174" i="2" a="1"/>
  <c r="B197" i="2" a="1"/>
  <c r="F27" i="2" a="1"/>
  <c r="E140" i="2" a="1"/>
  <c r="E74" i="2" a="1"/>
  <c r="C9" i="2" a="1"/>
  <c r="C10" i="2" a="1"/>
  <c r="E133" i="2" a="1"/>
  <c r="D54" i="2" a="1"/>
  <c r="B41" i="2" a="1"/>
  <c r="C8" i="2" a="1"/>
  <c r="E107" i="2" a="1"/>
  <c r="D78" i="2" a="1"/>
  <c r="C181" i="2" a="1"/>
  <c r="D41" i="2" a="1"/>
  <c r="E154" i="2" a="1"/>
  <c r="B18" i="2" a="1"/>
  <c r="C21" i="2" a="1"/>
  <c r="F130" i="2" a="1"/>
  <c r="D136" i="2" a="1"/>
  <c r="B80" i="2" a="1"/>
  <c r="B32" i="2" a="1"/>
  <c r="C27" i="2" a="1"/>
  <c r="B190" i="2" a="1"/>
  <c r="F166" i="2" a="1"/>
  <c r="F141" i="2" a="1"/>
  <c r="B202" i="2" a="1"/>
  <c r="D152" i="2" a="1"/>
  <c r="E77" i="2" a="1"/>
  <c r="E158" i="2" a="1"/>
  <c r="D3" i="2" a="1"/>
  <c r="F137" i="2" a="1"/>
  <c r="F47" i="2" a="1"/>
  <c r="B24" i="2" a="1"/>
  <c r="D199" i="2" a="1"/>
  <c r="D55" i="2" a="1"/>
  <c r="D25" i="2" a="1"/>
  <c r="E35" i="2" a="1"/>
  <c r="D94" i="2" a="1"/>
  <c r="E147" i="2" a="1"/>
  <c r="B162" i="2" a="1"/>
  <c r="E192" i="2" a="1"/>
  <c r="D127" i="2" a="1"/>
  <c r="E176" i="2" a="1"/>
  <c r="F198" i="2" a="1"/>
  <c r="D120" i="2" a="1"/>
  <c r="D47" i="2" a="1"/>
  <c r="E153" i="2" a="1"/>
  <c r="B6" i="2" a="1"/>
  <c r="B159" i="2" a="1"/>
  <c r="B60" i="2" a="1"/>
  <c r="C85" i="2" a="1"/>
  <c r="E125" i="2" a="1"/>
  <c r="C126" i="2" a="1"/>
  <c r="E118" i="2" a="1"/>
  <c r="D72" i="2" a="1"/>
  <c r="C143" i="2" a="1"/>
  <c r="C3" i="2" a="1"/>
  <c r="C12" i="2" a="1"/>
  <c r="D177" i="2" a="1"/>
  <c r="F178" i="2" a="1"/>
  <c r="F17" i="2" a="1"/>
  <c r="D175" i="2" a="1"/>
  <c r="F153" i="2" a="1"/>
  <c r="E155" i="2" a="1"/>
  <c r="B176" i="2" a="1"/>
  <c r="C167" i="2" a="1"/>
  <c r="B182" i="2" a="1"/>
  <c r="F139" i="2" a="1"/>
  <c r="C108" i="2" a="1"/>
  <c r="B55" i="2" a="1"/>
  <c r="C75" i="2" a="1"/>
  <c r="D113" i="2" a="1"/>
  <c r="D179" i="2" a="1"/>
  <c r="F159" i="2" a="1"/>
  <c r="D195" i="2" a="1"/>
  <c r="C175" i="2" a="1"/>
  <c r="F52" i="2" a="1"/>
  <c r="B124" i="2" a="1"/>
  <c r="D22" i="2" a="1"/>
  <c r="B46" i="2" a="1"/>
  <c r="E187" i="2" a="1"/>
  <c r="E17" i="2" a="1"/>
  <c r="C14" i="2" a="1"/>
  <c r="C32" i="2" a="1"/>
  <c r="F79" i="2" a="1"/>
  <c r="E32" i="2" a="1"/>
  <c r="B107" i="2" a="1"/>
  <c r="C183" i="2" a="1"/>
  <c r="C15" i="2" a="1"/>
  <c r="B117" i="2" a="1"/>
  <c r="C54" i="2" a="1"/>
  <c r="E57" i="2" a="1"/>
  <c r="F164" i="2" a="1"/>
  <c r="F191" i="2" a="1"/>
  <c r="F85" i="2" a="1"/>
  <c r="B120" i="2" a="1"/>
  <c r="E28" i="2" a="1"/>
  <c r="C81" i="2" a="1"/>
  <c r="E34" i="2" a="1"/>
  <c r="C163" i="2" a="1"/>
  <c r="B118" i="2" a="1"/>
  <c r="D76" i="2" a="1"/>
  <c r="F107" i="2" a="1"/>
  <c r="E64" i="2" a="1"/>
  <c r="C101" i="2" a="1"/>
  <c r="C6" i="2" a="1"/>
  <c r="F31" i="2" a="1"/>
  <c r="E91" i="2" a="1"/>
  <c r="B11" i="2" a="1"/>
  <c r="D19" i="2" a="1"/>
  <c r="C18" i="2" a="1"/>
  <c r="F132" i="2" a="1"/>
  <c r="E144" i="2" a="1"/>
  <c r="E148" i="2" a="1"/>
  <c r="D140" i="2" a="1"/>
  <c r="F14" i="2" a="1"/>
  <c r="E138" i="2" a="1"/>
  <c r="B149" i="2" a="1"/>
  <c r="E62" i="2" a="1"/>
  <c r="D143" i="2" a="1"/>
  <c r="D104" i="2" a="1"/>
  <c r="D192" i="2" a="1"/>
  <c r="C64" i="2" a="1"/>
  <c r="E15" i="2" a="1"/>
  <c r="C96" i="2" a="1"/>
  <c r="E120" i="2" a="1"/>
  <c r="F36" i="2" a="1"/>
  <c r="D117" i="2" a="1"/>
  <c r="C161" i="2" a="1"/>
  <c r="E156" i="2" a="1"/>
  <c r="D100" i="2" a="1"/>
  <c r="C50" i="2" a="1"/>
  <c r="D2" i="1" a="1"/>
  <c r="B168" i="2" a="1"/>
  <c r="B70" i="2" a="1"/>
  <c r="F62" i="2" a="1"/>
  <c r="C133" i="2" a="1"/>
  <c r="C84" i="2" a="1"/>
  <c r="E181" i="2" a="1"/>
  <c r="F115" i="2" a="1"/>
  <c r="B15" i="2" a="1"/>
  <c r="B65" i="2" a="1"/>
  <c r="F18" i="2" a="1"/>
  <c r="C98" i="2" a="1"/>
  <c r="F68" i="2" a="1"/>
  <c r="E21" i="2" a="1"/>
  <c r="D32" i="2" a="1"/>
  <c r="F195" i="2" a="1"/>
  <c r="E159" i="2" a="1"/>
  <c r="E98" i="2" a="1"/>
  <c r="B19" i="2" a="1"/>
  <c r="E8" i="2" a="1"/>
  <c r="F152" i="2" a="1"/>
  <c r="C195" i="2" a="1"/>
  <c r="D196" i="2" a="1"/>
  <c r="E79" i="2" a="1"/>
  <c r="D105" i="2" a="1"/>
  <c r="B56" i="2" a="1"/>
  <c r="E40" i="2" a="1"/>
  <c r="D53" i="2" a="1"/>
  <c r="B90" i="2" a="1"/>
  <c r="C110" i="2" a="1"/>
  <c r="F145" i="2" a="1"/>
  <c r="D189" i="2" a="1"/>
  <c r="B104" i="2" a="1"/>
  <c r="E29" i="2" a="1"/>
  <c r="B127" i="2" a="1"/>
  <c r="E44" i="2" a="1"/>
  <c r="F138" i="2" a="1"/>
  <c r="F44" i="2" a="1"/>
  <c r="C62" i="2" a="1"/>
  <c r="C191" i="2" a="1"/>
  <c r="E13" i="2" a="1"/>
  <c r="E48" i="2" a="1"/>
  <c r="F58" i="2" a="1"/>
  <c r="F66" i="2" a="1"/>
  <c r="F61" i="2" a="1"/>
  <c r="E179" i="2" a="1"/>
  <c r="B4" i="2" a="1"/>
  <c r="B98" i="2" a="1"/>
  <c r="C146" i="2" a="1"/>
  <c r="F75" i="2" a="1"/>
  <c r="F122" i="2" a="1"/>
  <c r="C128" i="2" a="1"/>
  <c r="B10" i="2" a="1"/>
  <c r="E113" i="2" a="1"/>
  <c r="F199" i="2" a="1"/>
  <c r="D163" i="2" a="1"/>
  <c r="E45" i="2" a="1"/>
  <c r="F112" i="2" a="1"/>
  <c r="E180" i="2" a="1"/>
  <c r="B132" i="2" a="1"/>
  <c r="F100" i="2" a="1"/>
  <c r="F12" i="2" a="1"/>
  <c r="E194" i="2" a="1"/>
  <c r="F93" i="2" a="1"/>
  <c r="C188" i="2" a="1"/>
  <c r="F158" i="2" a="1"/>
  <c r="C77" i="2" a="1"/>
  <c r="E70" i="2" a="1"/>
  <c r="B26" i="2" a="1"/>
  <c r="E163" i="2" a="1"/>
  <c r="C137" i="2" a="1"/>
  <c r="B109" i="2" a="1"/>
  <c r="E190" i="2" a="1"/>
  <c r="E184" i="2" a="1"/>
  <c r="C68" i="2" a="1"/>
  <c r="F35" i="2" a="1"/>
  <c r="D134" i="2" a="1"/>
  <c r="C153" i="2" a="1"/>
  <c r="B101" i="2" a="1"/>
  <c r="D125" i="2" a="1"/>
  <c r="B102" i="2" a="1"/>
  <c r="D26" i="2" a="1"/>
  <c r="F109" i="2" a="1"/>
  <c r="B81" i="2" a="1"/>
  <c r="F128" i="2" a="1"/>
  <c r="D178" i="2" a="1"/>
  <c r="C177" i="2" a="1"/>
  <c r="C131" i="2" a="1"/>
  <c r="B58" i="2" a="1"/>
  <c r="C44" i="2" a="1"/>
  <c r="C176" i="2" a="1"/>
  <c r="D52" i="2" a="1"/>
  <c r="B167" i="2" a="1"/>
  <c r="C99" i="2" a="1"/>
  <c r="D141" i="2" a="1"/>
  <c r="D194" i="2" a="1"/>
  <c r="E11" i="2" a="1"/>
  <c r="D126" i="2" a="1"/>
  <c r="F76" i="2" a="1"/>
  <c r="B136" i="2" a="1"/>
  <c r="B83" i="2" a="1"/>
  <c r="E80" i="2" a="1"/>
  <c r="D14" i="2" a="1"/>
  <c r="F24" i="2" a="1"/>
  <c r="E67" i="2" a="1"/>
  <c r="B154" i="2" a="1"/>
  <c r="B201" i="2" a="1"/>
  <c r="E132" i="2" a="1"/>
  <c r="D42" i="2" a="1"/>
  <c r="D201" i="2" a="1"/>
  <c r="F40" i="2" a="1"/>
  <c r="C92" i="2" a="1"/>
  <c r="B180" i="2" a="1"/>
  <c r="D50" i="2" a="1"/>
  <c r="C149" i="2" a="1"/>
  <c r="F160" i="2" a="1"/>
  <c r="F64" i="2" a="1"/>
  <c r="D79" i="2" a="1"/>
  <c r="E145" i="2" a="1"/>
  <c r="E105" i="2" a="1"/>
  <c r="D84" i="2" a="1"/>
  <c r="E136" i="2" a="1"/>
  <c r="D90" i="2" a="1"/>
  <c r="C132" i="2" a="1"/>
  <c r="E76" i="2" a="1"/>
  <c r="F65" i="2" a="1"/>
  <c r="B151" i="2" a="1"/>
  <c r="B5" i="2" a="1"/>
  <c r="D51" i="2" a="1"/>
  <c r="C100" i="2" a="1"/>
  <c r="B27" i="2" a="1"/>
  <c r="B112" i="2" a="1"/>
  <c r="B147" i="2" a="1"/>
  <c r="F83" i="2" a="1"/>
  <c r="B31" i="2" a="1"/>
  <c r="C55" i="2" a="1"/>
  <c r="D40" i="2" a="1"/>
  <c r="C107" i="2" a="1"/>
  <c r="F90" i="2" a="1"/>
  <c r="F170" i="2" a="1"/>
  <c r="B199" i="2" a="1"/>
  <c r="E19" i="2" a="1"/>
  <c r="D112" i="2" a="1"/>
  <c r="D106" i="2" a="1"/>
  <c r="E25" i="2" a="1"/>
  <c r="D6" i="2" a="1"/>
  <c r="D145" i="2" a="1"/>
  <c r="C106" i="2" a="1"/>
  <c r="F171" i="2" a="1"/>
  <c r="F104" i="2" a="1"/>
  <c r="F116" i="2" a="1"/>
  <c r="F190" i="2" a="1"/>
  <c r="B44" i="2" a="1"/>
  <c r="D21" i="2" a="1"/>
  <c r="D27" i="2" a="1"/>
  <c r="B16" i="2" a="1"/>
  <c r="B138" i="2" a="1"/>
  <c r="F43" i="2" a="1"/>
  <c r="C38" i="2" a="1"/>
  <c r="B119" i="2" a="1"/>
  <c r="B97" i="2" a="1"/>
  <c r="C39" i="2" a="1"/>
  <c r="F162" i="2" a="1"/>
  <c r="F9" i="2" a="1"/>
  <c r="E102" i="2" a="1"/>
  <c r="E4" i="2" a="1"/>
  <c r="D185" i="2" a="1"/>
  <c r="D8" i="2" a="1"/>
  <c r="C187" i="2" a="1"/>
  <c r="C111" i="2" a="1"/>
  <c r="C48" i="2" a="1"/>
  <c r="F174" i="2" a="1"/>
  <c r="D73" i="2" a="1"/>
  <c r="D60" i="2" a="1"/>
  <c r="C148" i="2" a="1"/>
  <c r="E38" i="2" a="1"/>
  <c r="E172" i="2" a="1"/>
  <c r="F114" i="2" a="1"/>
  <c r="D7" i="2" a="1"/>
  <c r="D7" i="2" l="1"/>
  <c r="F114" i="2"/>
  <c r="E172" i="2"/>
  <c r="E38" i="2"/>
  <c r="C148" i="2"/>
  <c r="D60" i="2"/>
  <c r="D73" i="2"/>
  <c r="F174" i="2"/>
  <c r="C48" i="2"/>
  <c r="C111" i="2"/>
  <c r="C187" i="2"/>
  <c r="D8" i="2"/>
  <c r="D185" i="2"/>
  <c r="E4" i="2"/>
  <c r="E102" i="2"/>
  <c r="F9" i="2"/>
  <c r="F162" i="2"/>
  <c r="C39" i="2"/>
  <c r="B97" i="2"/>
  <c r="B119" i="2"/>
  <c r="C38" i="2"/>
  <c r="F43" i="2"/>
  <c r="B138" i="2"/>
  <c r="B16" i="2"/>
  <c r="D27" i="2"/>
  <c r="D21" i="2"/>
  <c r="B44" i="2"/>
  <c r="F190" i="2"/>
  <c r="F116" i="2"/>
  <c r="F104" i="2"/>
  <c r="F171" i="2"/>
  <c r="C106" i="2"/>
  <c r="D145" i="2"/>
  <c r="D6" i="2"/>
  <c r="E25" i="2"/>
  <c r="D106" i="2"/>
  <c r="D112" i="2"/>
  <c r="E19" i="2"/>
  <c r="B199" i="2"/>
  <c r="F170" i="2"/>
  <c r="F90" i="2"/>
  <c r="C107" i="2"/>
  <c r="D40" i="2"/>
  <c r="C55" i="2"/>
  <c r="B31" i="2"/>
  <c r="F83" i="2"/>
  <c r="B147" i="2"/>
  <c r="B112" i="2"/>
  <c r="B27" i="2"/>
  <c r="C100" i="2"/>
  <c r="D51" i="2"/>
  <c r="B5" i="2"/>
  <c r="B151" i="2"/>
  <c r="F65" i="2"/>
  <c r="E76" i="2"/>
  <c r="C132" i="2"/>
  <c r="D90" i="2"/>
  <c r="E136" i="2"/>
  <c r="D84" i="2"/>
  <c r="E105" i="2"/>
  <c r="E145" i="2"/>
  <c r="D79" i="2"/>
  <c r="F64" i="2"/>
  <c r="F160" i="2"/>
  <c r="C149" i="2"/>
  <c r="D50" i="2"/>
  <c r="B180" i="2"/>
  <c r="C92" i="2"/>
  <c r="F40" i="2"/>
  <c r="D201" i="2"/>
  <c r="D42" i="2"/>
  <c r="E132" i="2"/>
  <c r="B201" i="2"/>
  <c r="B154" i="2"/>
  <c r="E67" i="2"/>
  <c r="F24" i="2"/>
  <c r="D14" i="2"/>
  <c r="E80" i="2"/>
  <c r="B83" i="2"/>
  <c r="B136" i="2"/>
  <c r="F76" i="2"/>
  <c r="D126" i="2"/>
  <c r="E11" i="2"/>
  <c r="D194" i="2"/>
  <c r="D141" i="2"/>
  <c r="C99" i="2"/>
  <c r="B167" i="2"/>
  <c r="D52" i="2"/>
  <c r="C176" i="2"/>
  <c r="C44" i="2"/>
  <c r="B58" i="2"/>
  <c r="C131" i="2"/>
  <c r="C177" i="2"/>
  <c r="D178" i="2"/>
  <c r="F128" i="2"/>
  <c r="B81" i="2"/>
  <c r="F109" i="2"/>
  <c r="D26" i="2"/>
  <c r="B102" i="2"/>
  <c r="D125" i="2"/>
  <c r="B101" i="2"/>
  <c r="C153" i="2"/>
  <c r="D134" i="2"/>
  <c r="F35" i="2"/>
  <c r="C68" i="2"/>
  <c r="E184" i="2"/>
  <c r="E190" i="2"/>
  <c r="B109" i="2"/>
  <c r="C137" i="2"/>
  <c r="E163" i="2"/>
  <c r="B26" i="2"/>
  <c r="E70" i="2"/>
  <c r="C77" i="2"/>
  <c r="F158" i="2"/>
  <c r="C188" i="2"/>
  <c r="F93" i="2"/>
  <c r="E194" i="2"/>
  <c r="F12" i="2"/>
  <c r="F100" i="2"/>
  <c r="B132" i="2"/>
  <c r="E180" i="2"/>
  <c r="F112" i="2"/>
  <c r="E45" i="2"/>
  <c r="D163" i="2"/>
  <c r="F199" i="2"/>
  <c r="E113" i="2"/>
  <c r="B10" i="2"/>
  <c r="C128" i="2"/>
  <c r="F122" i="2"/>
  <c r="F75" i="2"/>
  <c r="C146" i="2"/>
  <c r="B98" i="2"/>
  <c r="B4" i="2"/>
  <c r="E179" i="2"/>
  <c r="F61" i="2"/>
  <c r="F66" i="2"/>
  <c r="F58" i="2"/>
  <c r="E48" i="2"/>
  <c r="E13" i="2"/>
  <c r="C191" i="2"/>
  <c r="C62" i="2"/>
  <c r="F44" i="2"/>
  <c r="F138" i="2"/>
  <c r="E44" i="2"/>
  <c r="B127" i="2"/>
  <c r="E29" i="2"/>
  <c r="B104" i="2"/>
  <c r="D189" i="2"/>
  <c r="F145" i="2"/>
  <c r="C110" i="2"/>
  <c r="B90" i="2"/>
  <c r="D53" i="2"/>
  <c r="E40" i="2"/>
  <c r="B56" i="2"/>
  <c r="D105" i="2"/>
  <c r="E79" i="2"/>
  <c r="D196" i="2"/>
  <c r="C195" i="2"/>
  <c r="F152" i="2"/>
  <c r="E8" i="2"/>
  <c r="B19" i="2"/>
  <c r="E98" i="2"/>
  <c r="E159" i="2"/>
  <c r="F195" i="2"/>
  <c r="D32" i="2"/>
  <c r="E21" i="2"/>
  <c r="F68" i="2"/>
  <c r="C98" i="2"/>
  <c r="F18" i="2"/>
  <c r="B65" i="2"/>
  <c r="B15" i="2"/>
  <c r="F115" i="2"/>
  <c r="E181" i="2"/>
  <c r="C84" i="2"/>
  <c r="C133" i="2"/>
  <c r="F62" i="2"/>
  <c r="B70" i="2"/>
  <c r="B168" i="2"/>
  <c r="D2" i="1"/>
  <c r="C50" i="2"/>
  <c r="D100" i="2"/>
  <c r="E156" i="2"/>
  <c r="C161" i="2"/>
  <c r="D117" i="2"/>
  <c r="F36" i="2"/>
  <c r="E120" i="2"/>
  <c r="C96" i="2"/>
  <c r="E15" i="2"/>
  <c r="C64" i="2"/>
  <c r="D192" i="2"/>
  <c r="D104" i="2"/>
  <c r="D143" i="2"/>
  <c r="E62" i="2"/>
  <c r="B149" i="2"/>
  <c r="E138" i="2"/>
  <c r="F14" i="2"/>
  <c r="D140" i="2"/>
  <c r="E148" i="2"/>
  <c r="E144" i="2"/>
  <c r="F132" i="2"/>
  <c r="C18" i="2"/>
  <c r="D19" i="2"/>
  <c r="B11" i="2"/>
  <c r="E91" i="2"/>
  <c r="F31" i="2"/>
  <c r="C6" i="2"/>
  <c r="C101" i="2"/>
  <c r="E64" i="2"/>
  <c r="F107" i="2"/>
  <c r="D76" i="2"/>
  <c r="B118" i="2"/>
  <c r="C163" i="2"/>
  <c r="E34" i="2"/>
  <c r="C81" i="2"/>
  <c r="E28" i="2"/>
  <c r="B120" i="2"/>
  <c r="F85" i="2"/>
  <c r="F191" i="2"/>
  <c r="F164" i="2"/>
  <c r="E57" i="2"/>
  <c r="C54" i="2"/>
  <c r="B117" i="2"/>
  <c r="C15" i="2"/>
  <c r="C183" i="2"/>
  <c r="B107" i="2"/>
  <c r="E32" i="2"/>
  <c r="F79" i="2"/>
  <c r="C32" i="2"/>
  <c r="C14" i="2"/>
  <c r="E17" i="2"/>
  <c r="E187" i="2"/>
  <c r="B46" i="2"/>
  <c r="D22" i="2"/>
  <c r="B124" i="2"/>
  <c r="F52" i="2"/>
  <c r="C175" i="2"/>
  <c r="D195" i="2"/>
  <c r="F159" i="2"/>
  <c r="D179" i="2"/>
  <c r="D113" i="2"/>
  <c r="C75" i="2"/>
  <c r="B55" i="2"/>
  <c r="C108" i="2"/>
  <c r="F139" i="2"/>
  <c r="B182" i="2"/>
  <c r="C167" i="2"/>
  <c r="B176" i="2"/>
  <c r="E155" i="2"/>
  <c r="F153" i="2"/>
  <c r="D175" i="2"/>
  <c r="F17" i="2"/>
  <c r="F178" i="2"/>
  <c r="D177" i="2"/>
  <c r="C12" i="2"/>
  <c r="C3" i="2"/>
  <c r="C143" i="2"/>
  <c r="D72" i="2"/>
  <c r="E118" i="2"/>
  <c r="C126" i="2"/>
  <c r="E125" i="2"/>
  <c r="C85" i="2"/>
  <c r="B60" i="2"/>
  <c r="B159" i="2"/>
  <c r="B6" i="2"/>
  <c r="E153" i="2"/>
  <c r="D47" i="2"/>
  <c r="D120" i="2"/>
  <c r="F198" i="2"/>
  <c r="E176" i="2"/>
  <c r="D127" i="2"/>
  <c r="E192" i="2"/>
  <c r="B162" i="2"/>
  <c r="E147" i="2"/>
  <c r="D94" i="2"/>
  <c r="E35" i="2"/>
  <c r="D25" i="2"/>
  <c r="D55" i="2"/>
  <c r="D199" i="2"/>
  <c r="B24" i="2"/>
  <c r="F47" i="2"/>
  <c r="F137" i="2"/>
  <c r="D3" i="2"/>
  <c r="E158" i="2"/>
  <c r="E77" i="2"/>
  <c r="D152" i="2"/>
  <c r="B202" i="2"/>
  <c r="F141" i="2"/>
  <c r="F166" i="2"/>
  <c r="B190" i="2"/>
  <c r="C27" i="2"/>
  <c r="B32" i="2"/>
  <c r="B80" i="2"/>
  <c r="D136" i="2"/>
  <c r="F130" i="2"/>
  <c r="C21" i="2"/>
  <c r="B18" i="2"/>
  <c r="E154" i="2"/>
  <c r="D41" i="2"/>
  <c r="C181" i="2"/>
  <c r="D78" i="2"/>
  <c r="E107" i="2"/>
  <c r="C8" i="2"/>
  <c r="B41" i="2"/>
  <c r="D54" i="2"/>
  <c r="E133" i="2"/>
  <c r="C10" i="2"/>
  <c r="C9" i="2"/>
  <c r="E74" i="2"/>
  <c r="E140" i="2"/>
  <c r="F27" i="2"/>
  <c r="B197" i="2"/>
  <c r="B174" i="2"/>
  <c r="B111" i="2"/>
  <c r="B192" i="2"/>
  <c r="C31" i="2"/>
  <c r="D59" i="2"/>
  <c r="D45" i="2"/>
  <c r="D17" i="2"/>
  <c r="B78" i="2"/>
  <c r="C138" i="2"/>
  <c r="C196" i="2"/>
  <c r="F7" i="2"/>
  <c r="F49" i="2"/>
  <c r="C139" i="2"/>
  <c r="E119" i="2"/>
  <c r="D11" i="2"/>
  <c r="E20" i="2"/>
  <c r="E94" i="2"/>
  <c r="D101" i="2"/>
  <c r="C23" i="2"/>
  <c r="E117" i="2"/>
  <c r="D80" i="2"/>
  <c r="B129" i="2"/>
  <c r="E93" i="2"/>
  <c r="C114" i="2"/>
  <c r="B121" i="2"/>
  <c r="F194" i="2"/>
  <c r="B152" i="2"/>
  <c r="F105" i="2"/>
  <c r="F20" i="2"/>
  <c r="C151" i="2"/>
  <c r="F173" i="2"/>
  <c r="B122" i="2"/>
  <c r="B153" i="2"/>
  <c r="C156" i="2"/>
  <c r="C71" i="2"/>
  <c r="D123" i="2"/>
  <c r="D147" i="2"/>
  <c r="E189" i="2"/>
  <c r="E151" i="2"/>
  <c r="C159" i="2"/>
  <c r="D139" i="2"/>
  <c r="D85" i="2"/>
  <c r="B103" i="2"/>
  <c r="B165" i="2"/>
  <c r="D154" i="2"/>
  <c r="B130" i="2"/>
  <c r="B196" i="2"/>
  <c r="E135" i="2"/>
  <c r="B158" i="2"/>
  <c r="B172" i="2"/>
  <c r="E84" i="2"/>
  <c r="C199" i="2"/>
  <c r="B110" i="2"/>
  <c r="F30" i="2"/>
  <c r="C170" i="2"/>
  <c r="B195" i="2"/>
  <c r="C194" i="2"/>
  <c r="D124" i="2"/>
  <c r="D46" i="2"/>
  <c r="E16" i="2"/>
  <c r="C89" i="2"/>
  <c r="C117" i="2"/>
  <c r="E75" i="2"/>
  <c r="B12" i="2"/>
  <c r="D86" i="2"/>
  <c r="F108" i="2"/>
  <c r="C30" i="2"/>
  <c r="B134" i="2"/>
  <c r="F180" i="2"/>
  <c r="B30" i="2"/>
  <c r="B186" i="2"/>
  <c r="D87" i="2"/>
  <c r="E177" i="2"/>
  <c r="F38" i="2"/>
  <c r="E37" i="2"/>
  <c r="F177" i="2"/>
  <c r="F57" i="2"/>
  <c r="D198" i="2"/>
  <c r="C25" i="2"/>
  <c r="E201" i="2"/>
  <c r="B185" i="2"/>
  <c r="E111" i="2"/>
  <c r="E33" i="2"/>
  <c r="F88" i="2"/>
  <c r="E193" i="2"/>
  <c r="F46" i="2"/>
  <c r="C57" i="2"/>
  <c r="C127" i="2"/>
  <c r="C95" i="2"/>
  <c r="F3" i="2"/>
  <c r="D92" i="2"/>
  <c r="E86" i="2"/>
  <c r="D95" i="2"/>
  <c r="F157" i="2"/>
  <c r="C130" i="2"/>
  <c r="C147" i="2"/>
  <c r="E39" i="2"/>
  <c r="C198" i="2"/>
  <c r="C152" i="2"/>
  <c r="D68" i="2"/>
  <c r="C160" i="2"/>
  <c r="C140" i="2"/>
  <c r="D129" i="2"/>
  <c r="E199" i="2"/>
  <c r="F135" i="2"/>
  <c r="D65" i="2"/>
  <c r="B141" i="2"/>
  <c r="E134" i="2"/>
  <c r="D150" i="2"/>
  <c r="B91" i="2"/>
  <c r="C78" i="2"/>
  <c r="C93" i="2"/>
  <c r="C202" i="2"/>
  <c r="F15" i="2"/>
  <c r="C121" i="2"/>
  <c r="B137" i="2"/>
  <c r="D97" i="2"/>
  <c r="E87" i="2"/>
  <c r="F60" i="2"/>
  <c r="E182" i="2"/>
  <c r="D146" i="2"/>
  <c r="B51" i="2"/>
  <c r="C169" i="2"/>
  <c r="E58" i="2"/>
  <c r="D83" i="2"/>
  <c r="B17" i="2"/>
  <c r="B113" i="2"/>
  <c r="C142" i="2"/>
  <c r="F50" i="2"/>
  <c r="C157" i="2"/>
  <c r="E127" i="2"/>
  <c r="F8" i="2"/>
  <c r="B68" i="2"/>
  <c r="B20" i="2"/>
  <c r="B89" i="2"/>
  <c r="B164" i="2"/>
  <c r="D156" i="2"/>
  <c r="D18" i="2"/>
  <c r="B39" i="2"/>
  <c r="D173" i="2"/>
  <c r="C168" i="2"/>
  <c r="D148" i="2"/>
  <c r="B126" i="2"/>
  <c r="F118" i="2"/>
  <c r="C201" i="2"/>
  <c r="F148" i="2"/>
  <c r="E167" i="2"/>
  <c r="E100" i="2"/>
  <c r="E99" i="2"/>
  <c r="D118" i="2"/>
  <c r="C88" i="2"/>
  <c r="B114" i="2"/>
  <c r="E188" i="2"/>
  <c r="D157" i="2"/>
  <c r="B148" i="2"/>
  <c r="C34" i="2"/>
  <c r="B63" i="2"/>
  <c r="B93" i="2"/>
  <c r="F45" i="2"/>
  <c r="F21" i="2"/>
  <c r="B21" i="2"/>
  <c r="E114" i="2"/>
  <c r="C105" i="2"/>
  <c r="B200" i="2"/>
  <c r="D66" i="2"/>
  <c r="B22" i="2"/>
  <c r="B77" i="2"/>
  <c r="E160" i="2"/>
  <c r="E54" i="2"/>
  <c r="B42" i="2"/>
  <c r="F101" i="2"/>
  <c r="D13" i="2"/>
  <c r="F102" i="2"/>
  <c r="B123" i="2"/>
  <c r="E36" i="2"/>
  <c r="E166" i="2"/>
  <c r="B57" i="2"/>
  <c r="D23" i="2"/>
  <c r="C11" i="2"/>
  <c r="B45" i="2"/>
  <c r="D12" i="2"/>
  <c r="B125" i="2"/>
  <c r="B193" i="2"/>
  <c r="C200" i="2"/>
  <c r="C49" i="2"/>
  <c r="F163" i="2"/>
  <c r="D180" i="2"/>
  <c r="B40" i="2"/>
  <c r="F133" i="2"/>
  <c r="F37" i="2"/>
  <c r="F182" i="2"/>
  <c r="B194" i="2"/>
  <c r="C162" i="2"/>
  <c r="C37" i="2"/>
  <c r="F140" i="2"/>
  <c r="D110" i="2"/>
  <c r="B100" i="2"/>
  <c r="C73" i="2"/>
  <c r="D77" i="2"/>
  <c r="B143" i="2"/>
  <c r="C82" i="2"/>
  <c r="D63" i="2"/>
  <c r="C116" i="2"/>
  <c r="D169" i="2"/>
  <c r="C155" i="2"/>
  <c r="F189" i="2"/>
  <c r="E89" i="2"/>
  <c r="B135" i="2"/>
  <c r="F28" i="2"/>
  <c r="E200" i="2"/>
  <c r="B79" i="2"/>
  <c r="E108" i="2"/>
  <c r="D15" i="2"/>
  <c r="C46" i="2"/>
  <c r="B173" i="2"/>
  <c r="B66" i="2"/>
  <c r="B133" i="2"/>
  <c r="F55" i="2"/>
  <c r="D166" i="2"/>
  <c r="F25" i="2"/>
  <c r="D88" i="2"/>
  <c r="F34" i="2"/>
  <c r="C112" i="2"/>
  <c r="F136" i="2"/>
  <c r="E66" i="2"/>
  <c r="E63" i="2"/>
  <c r="E83" i="2"/>
  <c r="C184" i="2"/>
  <c r="E142" i="2"/>
  <c r="E73" i="2"/>
  <c r="B53" i="2"/>
  <c r="D160" i="2"/>
  <c r="F179" i="2"/>
  <c r="E191" i="2"/>
  <c r="F169" i="2"/>
  <c r="E164" i="2"/>
  <c r="D119" i="2"/>
  <c r="D151" i="2"/>
  <c r="C60" i="2"/>
  <c r="B160" i="2"/>
  <c r="D44" i="2"/>
  <c r="F150" i="2"/>
  <c r="C144" i="2"/>
  <c r="B108" i="2"/>
  <c r="B23" i="2"/>
  <c r="C185" i="2"/>
  <c r="D103" i="2"/>
  <c r="B73" i="2"/>
  <c r="C123" i="2"/>
  <c r="C51" i="2"/>
  <c r="C74" i="2"/>
  <c r="D70" i="2"/>
  <c r="F11" i="2"/>
  <c r="D130" i="2"/>
  <c r="D34" i="2"/>
  <c r="D202" i="2"/>
  <c r="E6" i="2"/>
  <c r="C20" i="2"/>
  <c r="E81" i="2"/>
  <c r="E143" i="2"/>
  <c r="E104" i="2"/>
  <c r="F121" i="2"/>
  <c r="B96" i="2"/>
  <c r="E106" i="2"/>
  <c r="F188" i="2"/>
  <c r="C192" i="2"/>
  <c r="E131" i="2"/>
  <c r="D71" i="2"/>
  <c r="B37" i="2"/>
  <c r="B170" i="2"/>
  <c r="B49" i="2"/>
  <c r="B183" i="2"/>
  <c r="C19" i="2"/>
  <c r="B105" i="2"/>
  <c r="E14" i="2"/>
  <c r="C29" i="2"/>
  <c r="D64" i="2"/>
  <c r="C172" i="2"/>
  <c r="D155" i="2"/>
  <c r="E61" i="2"/>
  <c r="D164" i="2"/>
  <c r="C52" i="2"/>
  <c r="E71" i="2"/>
  <c r="C43" i="2"/>
  <c r="E43" i="2"/>
  <c r="F23" i="2"/>
  <c r="E197" i="2"/>
  <c r="F134" i="2"/>
  <c r="F19" i="2"/>
  <c r="F71" i="2"/>
  <c r="E7" i="2"/>
  <c r="D9" i="2"/>
  <c r="F5" i="2"/>
  <c r="D128" i="2"/>
  <c r="B142" i="2"/>
  <c r="F10" i="2"/>
  <c r="D116" i="2"/>
  <c r="C103" i="2"/>
  <c r="D37" i="2"/>
  <c r="E30" i="2"/>
  <c r="D5" i="2"/>
  <c r="F156" i="2"/>
  <c r="E129" i="2"/>
  <c r="F74" i="2"/>
  <c r="C41" i="2"/>
  <c r="D57" i="2"/>
  <c r="C94" i="2"/>
  <c r="D115" i="2"/>
  <c r="B145" i="2"/>
  <c r="E23" i="2"/>
  <c r="E88" i="2"/>
  <c r="E196" i="2"/>
  <c r="D132" i="2"/>
  <c r="F95" i="2"/>
  <c r="F6" i="2"/>
  <c r="C118" i="2"/>
  <c r="E95" i="2"/>
  <c r="C79" i="2"/>
  <c r="E116" i="2"/>
  <c r="B13" i="2"/>
  <c r="E68" i="2"/>
  <c r="D182" i="2"/>
  <c r="E9" i="2"/>
  <c r="F167" i="2"/>
  <c r="F89" i="2"/>
  <c r="E85" i="2"/>
  <c r="F73" i="2"/>
  <c r="C173" i="2"/>
  <c r="F59" i="2"/>
  <c r="F161" i="2"/>
  <c r="C179" i="2"/>
  <c r="D69" i="2"/>
  <c r="F39" i="2"/>
  <c r="E3" i="2"/>
  <c r="D4" i="2"/>
  <c r="E65" i="2"/>
  <c r="B87" i="2"/>
  <c r="F26" i="2"/>
  <c r="F154" i="2"/>
  <c r="B131" i="2"/>
  <c r="C53" i="2"/>
  <c r="B163" i="2"/>
  <c r="D81" i="2"/>
  <c r="C154" i="2"/>
  <c r="B157" i="2"/>
  <c r="F131" i="2"/>
  <c r="D186" i="2"/>
  <c r="B61" i="2"/>
  <c r="D33" i="2"/>
  <c r="E5" i="2"/>
  <c r="C141" i="2"/>
  <c r="C109" i="2"/>
  <c r="C189" i="2"/>
  <c r="D56" i="2"/>
  <c r="E121" i="2"/>
  <c r="F123" i="2"/>
  <c r="B169" i="2"/>
  <c r="C104" i="2"/>
  <c r="B115" i="2"/>
  <c r="F125" i="2"/>
  <c r="B76" i="2"/>
  <c r="B50" i="2"/>
  <c r="E97" i="2"/>
  <c r="B69" i="2"/>
  <c r="F183" i="2"/>
  <c r="D190" i="2"/>
  <c r="F48" i="2"/>
  <c r="E162" i="2"/>
  <c r="F193" i="2"/>
  <c r="F149" i="2"/>
  <c r="D35" i="2"/>
  <c r="D133" i="2"/>
  <c r="E82" i="2"/>
  <c r="E110" i="2"/>
  <c r="E149" i="2"/>
  <c r="E10" i="2"/>
  <c r="D28" i="2"/>
  <c r="E169" i="2"/>
  <c r="D43" i="2"/>
  <c r="C113" i="2"/>
  <c r="E183" i="2"/>
  <c r="D102" i="2"/>
  <c r="C67" i="2"/>
  <c r="D122" i="2"/>
  <c r="B28" i="2"/>
  <c r="C72" i="2"/>
  <c r="F99" i="2"/>
  <c r="C174" i="2"/>
  <c r="B9" i="2"/>
  <c r="C102" i="2"/>
  <c r="F51" i="2"/>
  <c r="B75" i="2"/>
  <c r="F129" i="2"/>
  <c r="E51" i="2"/>
  <c r="D91" i="2"/>
  <c r="E55" i="2"/>
  <c r="D149" i="2"/>
  <c r="E109" i="2"/>
  <c r="D188" i="2"/>
  <c r="B36" i="2"/>
  <c r="E26" i="2"/>
  <c r="D30" i="2"/>
  <c r="D49" i="2"/>
  <c r="B52" i="2"/>
  <c r="D121" i="2"/>
  <c r="D197" i="2"/>
  <c r="D109" i="2"/>
  <c r="C134" i="2"/>
  <c r="D142" i="2"/>
  <c r="F87" i="2"/>
  <c r="F151" i="2"/>
  <c r="D99" i="2"/>
  <c r="D184" i="2"/>
  <c r="B67" i="2"/>
  <c r="B84" i="2"/>
  <c r="D165" i="2"/>
  <c r="F185" i="2"/>
  <c r="F78" i="2"/>
  <c r="C182" i="2"/>
  <c r="F54" i="2"/>
  <c r="B29" i="2"/>
  <c r="E178" i="2"/>
  <c r="E130" i="2"/>
  <c r="F168" i="2"/>
  <c r="F80" i="2"/>
  <c r="F84" i="2"/>
  <c r="C136" i="2"/>
  <c r="F92" i="2"/>
  <c r="C97" i="2"/>
  <c r="C7" i="2"/>
  <c r="D159" i="2"/>
  <c r="E141" i="2"/>
  <c r="B128" i="2"/>
  <c r="C119" i="2"/>
  <c r="D193" i="2"/>
  <c r="D48" i="2"/>
  <c r="C145" i="2"/>
  <c r="F147" i="2"/>
  <c r="E195" i="2"/>
  <c r="E18" i="2"/>
  <c r="B177" i="2"/>
  <c r="E157" i="2"/>
  <c r="C22" i="2"/>
  <c r="D20" i="2"/>
  <c r="D158" i="2"/>
  <c r="E168" i="2"/>
  <c r="F155" i="2"/>
  <c r="F96" i="2"/>
  <c r="B140" i="2"/>
  <c r="F70" i="2"/>
  <c r="F143" i="2"/>
  <c r="B161" i="2"/>
  <c r="B43" i="2"/>
  <c r="B189" i="2"/>
  <c r="E198" i="2"/>
  <c r="D171" i="2"/>
  <c r="D181" i="2"/>
  <c r="F201" i="2"/>
  <c r="D167" i="2"/>
  <c r="F113" i="2"/>
  <c r="E150" i="2"/>
  <c r="E171" i="2"/>
  <c r="E174" i="2"/>
  <c r="C186" i="2"/>
  <c r="F144" i="2"/>
  <c r="E56" i="2"/>
  <c r="C135" i="2"/>
  <c r="B74" i="2"/>
  <c r="D4" i="1"/>
  <c r="C17" i="2"/>
  <c r="D16" i="2"/>
  <c r="E52" i="2"/>
  <c r="E42" i="2"/>
  <c r="D172" i="2"/>
  <c r="D98" i="2"/>
  <c r="B54" i="2"/>
  <c r="C47" i="2"/>
  <c r="F176" i="2"/>
  <c r="D137" i="2"/>
  <c r="E139" i="2"/>
  <c r="B198" i="2"/>
  <c r="C58" i="2"/>
  <c r="F16" i="2"/>
  <c r="B156" i="2"/>
  <c r="C65" i="2"/>
  <c r="D162" i="2"/>
  <c r="D114" i="2"/>
  <c r="D161" i="2"/>
  <c r="F200" i="2"/>
  <c r="C36" i="2"/>
  <c r="C193" i="2"/>
  <c r="C197" i="2"/>
  <c r="D174" i="2"/>
  <c r="D62" i="2"/>
  <c r="D144" i="2"/>
  <c r="B48" i="2"/>
  <c r="E101" i="2"/>
  <c r="C4" i="2"/>
  <c r="B82" i="2"/>
  <c r="B179" i="2"/>
  <c r="E41" i="2"/>
  <c r="F72" i="2"/>
  <c r="E124" i="2"/>
  <c r="C66" i="2"/>
  <c r="F29" i="2"/>
  <c r="E103" i="2"/>
  <c r="C61" i="2"/>
  <c r="D153" i="2"/>
  <c r="B99" i="2"/>
  <c r="C87" i="2"/>
  <c r="D24" i="2"/>
  <c r="F56" i="2"/>
  <c r="C158" i="2"/>
  <c r="C150" i="2"/>
  <c r="B64" i="2"/>
  <c r="B155" i="2"/>
  <c r="F42" i="2"/>
  <c r="B150" i="2"/>
  <c r="F94" i="2"/>
  <c r="D108" i="2"/>
  <c r="E72" i="2"/>
  <c r="F69" i="2"/>
  <c r="D74" i="2"/>
  <c r="C69" i="2"/>
  <c r="F110" i="2"/>
  <c r="E137" i="2"/>
  <c r="C129" i="2"/>
  <c r="D168" i="2"/>
  <c r="B146" i="2"/>
  <c r="C171" i="2"/>
  <c r="D187" i="2"/>
  <c r="B8" i="2"/>
  <c r="E185" i="2"/>
  <c r="D176" i="2"/>
  <c r="C42" i="2"/>
  <c r="C80" i="2"/>
  <c r="B171" i="2"/>
  <c r="F97" i="2"/>
  <c r="B7" i="2"/>
  <c r="F53" i="2"/>
  <c r="C164" i="2"/>
  <c r="D200" i="2"/>
  <c r="F77" i="2"/>
  <c r="D36" i="2"/>
  <c r="F91" i="2"/>
  <c r="E146" i="2"/>
  <c r="B95" i="2"/>
  <c r="F119" i="2"/>
  <c r="E173" i="2"/>
  <c r="F117" i="2"/>
  <c r="C178" i="2"/>
  <c r="D39" i="2"/>
  <c r="D5" i="1"/>
  <c r="F142" i="2"/>
  <c r="B106" i="2"/>
  <c r="F41" i="2"/>
  <c r="B88" i="2"/>
  <c r="E112" i="2"/>
  <c r="B86" i="2"/>
  <c r="E161" i="2"/>
  <c r="C190" i="2"/>
  <c r="D107" i="2"/>
  <c r="B116" i="2"/>
  <c r="F146" i="2"/>
  <c r="E49" i="2"/>
  <c r="E186" i="2"/>
  <c r="B25" i="2"/>
  <c r="B72" i="2"/>
  <c r="F124" i="2"/>
  <c r="D138" i="2"/>
  <c r="C63" i="2"/>
  <c r="C83" i="2"/>
  <c r="C115" i="2"/>
  <c r="F98" i="2"/>
  <c r="B187" i="2"/>
  <c r="F202" i="2"/>
  <c r="C13" i="2"/>
  <c r="E152" i="2"/>
  <c r="F172" i="2"/>
  <c r="F63" i="2"/>
  <c r="C26" i="2"/>
  <c r="E92" i="2"/>
  <c r="F126" i="2"/>
  <c r="E27" i="2"/>
  <c r="B14" i="2"/>
  <c r="C70" i="2"/>
  <c r="D135" i="2"/>
  <c r="E202" i="2"/>
  <c r="F111" i="2"/>
  <c r="C76" i="2"/>
  <c r="C120" i="2"/>
  <c r="E175" i="2"/>
  <c r="F86" i="2"/>
  <c r="B33" i="2"/>
  <c r="F187" i="2"/>
  <c r="E59" i="2"/>
  <c r="B34" i="2"/>
  <c r="B92" i="2"/>
  <c r="C56" i="2"/>
  <c r="D61" i="2"/>
  <c r="E69" i="2"/>
  <c r="F81" i="2"/>
  <c r="E96" i="2"/>
  <c r="E123" i="2"/>
  <c r="F186" i="2"/>
  <c r="F33" i="2"/>
  <c r="B35" i="2"/>
  <c r="D170" i="2"/>
  <c r="D191" i="2"/>
  <c r="D31" i="2"/>
  <c r="D38" i="2"/>
  <c r="C86" i="2"/>
  <c r="B85" i="2"/>
  <c r="C16" i="2"/>
  <c r="C90" i="2"/>
  <c r="B181" i="2"/>
  <c r="B94" i="2"/>
  <c r="C33" i="2"/>
  <c r="B47" i="2"/>
  <c r="F4" i="2"/>
  <c r="F127" i="2"/>
  <c r="C24" i="2"/>
  <c r="D67" i="2"/>
  <c r="F175" i="2"/>
  <c r="D75" i="2"/>
  <c r="E165" i="2"/>
  <c r="E47" i="2"/>
  <c r="E24" i="2"/>
  <c r="C165" i="2"/>
  <c r="C59" i="2"/>
  <c r="D89" i="2"/>
  <c r="C35" i="2"/>
  <c r="C180" i="2"/>
  <c r="F184" i="2"/>
  <c r="C5" i="2"/>
  <c r="C45" i="2"/>
  <c r="E31" i="2"/>
  <c r="F165" i="2"/>
  <c r="F106" i="2"/>
  <c r="E122" i="2"/>
  <c r="E60" i="2"/>
  <c r="E128" i="2"/>
  <c r="B178" i="2"/>
  <c r="E12" i="2"/>
  <c r="B188" i="2"/>
  <c r="C91" i="2"/>
  <c r="D3" i="1"/>
  <c r="B184" i="2"/>
  <c r="E78" i="2"/>
  <c r="B191" i="2"/>
  <c r="B175" i="2"/>
  <c r="D58" i="2"/>
  <c r="C125" i="2"/>
  <c r="B62" i="2"/>
  <c r="E50" i="2"/>
  <c r="D111" i="2"/>
  <c r="B71" i="2"/>
  <c r="D10" i="2"/>
  <c r="E170" i="2"/>
  <c r="F13" i="2"/>
  <c r="D96" i="2"/>
  <c r="C124" i="2"/>
  <c r="F120" i="2"/>
  <c r="E46" i="2"/>
  <c r="D93" i="2"/>
  <c r="C28" i="2"/>
  <c r="B38" i="2"/>
  <c r="F192" i="2"/>
  <c r="F67" i="2"/>
  <c r="F32" i="2"/>
  <c r="D183" i="2"/>
  <c r="F82" i="2"/>
  <c r="C166" i="2"/>
  <c r="D131" i="2"/>
  <c r="E126" i="2"/>
  <c r="C122" i="2"/>
  <c r="E22" i="2"/>
  <c r="B3" i="2"/>
  <c r="C40" i="2"/>
  <c r="E115" i="2"/>
  <c r="F181" i="2"/>
  <c r="B144" i="2"/>
  <c r="E90" i="2"/>
  <c r="F197" i="2"/>
  <c r="B166" i="2"/>
  <c r="F103" i="2"/>
  <c r="E53" i="2"/>
  <c r="F196" i="2"/>
  <c r="D29" i="2"/>
  <c r="D82" i="2"/>
  <c r="B59" i="2"/>
  <c r="F22" i="2"/>
  <c r="B139" i="2"/>
  <c r="I112" i="2" a="1"/>
  <c r="H108" i="2" a="1"/>
  <c r="H195" i="2" a="1"/>
  <c r="Y86" i="2" a="1"/>
  <c r="AD33" i="2" a="1"/>
  <c r="H198" i="2" a="1"/>
  <c r="AA13" i="2" a="1"/>
  <c r="G107" i="2" a="1"/>
  <c r="I78" i="2" a="1"/>
  <c r="AB60" i="2" a="1"/>
  <c r="J153" i="2" a="1"/>
  <c r="AA81" i="2" a="1"/>
  <c r="K3" i="2" a="1"/>
  <c r="AG65" i="2" a="1"/>
  <c r="AD82" i="2" a="1"/>
  <c r="AA33" i="2" a="1"/>
  <c r="AC52" i="2" a="1"/>
  <c r="AF96" i="2" a="1"/>
  <c r="H177" i="2" a="1"/>
  <c r="AC96" i="2" a="1"/>
  <c r="AA5" i="2" a="1"/>
  <c r="J31" i="2" a="1"/>
  <c r="Z50" i="2" a="1"/>
  <c r="J157" i="2" a="1"/>
  <c r="AD12" i="2" a="1"/>
  <c r="K159" i="2" a="1"/>
  <c r="J165" i="2" a="1"/>
  <c r="AD23" i="2" a="1"/>
  <c r="K155" i="2" a="1"/>
  <c r="K174" i="2" a="1"/>
  <c r="AA60" i="2" a="1"/>
  <c r="X34" i="2" a="1"/>
  <c r="G102" i="2" a="1"/>
  <c r="H149" i="2" a="1"/>
  <c r="J193" i="2" a="1"/>
  <c r="J166" i="2" a="1"/>
  <c r="AE87" i="2" a="1"/>
  <c r="K97" i="2" a="1"/>
  <c r="I190" i="2" a="1"/>
  <c r="AA76" i="2" a="1"/>
  <c r="AC31" i="2" a="1"/>
  <c r="J97" i="2" a="1"/>
  <c r="AG59" i="2" a="1"/>
  <c r="G200" i="2" a="1"/>
  <c r="H166" i="2" a="1"/>
  <c r="X87" i="2" a="1"/>
  <c r="AF95" i="2" a="1"/>
  <c r="K89" i="2" a="1"/>
  <c r="AE71" i="2" a="1"/>
  <c r="AA84" i="2" a="1"/>
  <c r="Y44" i="2" a="1"/>
  <c r="K144" i="2" a="1"/>
  <c r="AA70" i="2" a="1"/>
  <c r="Z77" i="2" a="1"/>
  <c r="X23" i="2" a="1"/>
  <c r="K99" i="2" a="1"/>
  <c r="H51" i="2" a="1"/>
  <c r="AG7" i="2" a="1"/>
  <c r="X12" i="2" a="1"/>
  <c r="AB50" i="2" a="1"/>
  <c r="AE53" i="2" a="1"/>
  <c r="K160" i="2" a="1"/>
  <c r="I50" i="2" a="1"/>
  <c r="AF80" i="2" a="1"/>
  <c r="I64" i="2" a="1"/>
  <c r="H160" i="2" a="1"/>
  <c r="AG17" i="2" a="1"/>
  <c r="I165" i="2" a="1"/>
  <c r="X14" i="2" a="1"/>
  <c r="AB42" i="2" a="1"/>
  <c r="X32" i="2" a="1"/>
  <c r="I107" i="2" a="1"/>
  <c r="G146" i="2" a="1"/>
  <c r="AG86" i="2" a="1"/>
  <c r="AE26" i="2" a="1"/>
  <c r="G199" i="2" a="1"/>
  <c r="AB68" i="2" a="1"/>
  <c r="AA75" i="2" a="1"/>
  <c r="AE63" i="2" a="1"/>
  <c r="I80" i="2" a="1"/>
  <c r="AE88" i="2" a="1"/>
  <c r="H120" i="2" a="1"/>
  <c r="G115" i="2" a="1"/>
  <c r="G181" i="2" a="1"/>
  <c r="J162" i="2" a="1"/>
  <c r="AF37" i="2" a="1"/>
  <c r="Y22" i="2" a="1"/>
  <c r="AG22" i="2" a="1"/>
  <c r="AE86" i="2" a="1"/>
  <c r="AE61" i="2" a="1"/>
  <c r="AD56" i="2" a="1"/>
  <c r="J108" i="2" a="1"/>
  <c r="G45" i="2" a="1"/>
  <c r="G130" i="2" a="1"/>
  <c r="AE54" i="2" a="1"/>
  <c r="Z3" i="2" a="1"/>
  <c r="AD25" i="2" a="1"/>
  <c r="H53" i="2" a="1"/>
  <c r="K128" i="2" a="1"/>
  <c r="AD68" i="2" a="1"/>
  <c r="K33" i="2" a="1"/>
  <c r="AF19" i="2" a="1"/>
  <c r="AE75" i="2" a="1"/>
  <c r="AE20" i="2" a="1"/>
  <c r="X45" i="2" a="1"/>
  <c r="J81" i="2" a="1"/>
  <c r="Z39" i="2" a="1"/>
  <c r="AA37" i="2" a="1"/>
  <c r="H182" i="2" a="1"/>
  <c r="Z46" i="2" a="1"/>
  <c r="K94" i="2" a="1"/>
  <c r="I9" i="2" a="1"/>
  <c r="G62" i="2" a="1"/>
  <c r="I7" i="2" a="1"/>
  <c r="AD91" i="2" a="1"/>
  <c r="Y63" i="2" a="1"/>
  <c r="I87" i="2" a="1"/>
  <c r="H151" i="2" a="1"/>
  <c r="H57" i="2" a="1"/>
  <c r="I85" i="2" a="1"/>
  <c r="AD71" i="2" a="1"/>
  <c r="X95" i="2" a="1"/>
  <c r="AF91" i="2" a="1"/>
  <c r="H48" i="2" a="1"/>
  <c r="J127" i="2" a="1"/>
  <c r="AC11" i="2" a="1"/>
  <c r="Z72" i="2" a="1"/>
  <c r="AD53" i="2" a="1"/>
  <c r="J124" i="2" a="1"/>
  <c r="G53" i="2" a="1"/>
  <c r="Z56" i="2" a="1"/>
  <c r="Y67" i="2" a="1"/>
  <c r="K57" i="2" a="1"/>
  <c r="AD3" i="2" a="1"/>
  <c r="I57" i="2" a="1"/>
  <c r="AF27" i="2" a="1"/>
  <c r="J91" i="2" a="1"/>
  <c r="AB37" i="2" a="1"/>
  <c r="K198" i="2" a="1"/>
  <c r="K158" i="2" a="1"/>
  <c r="AE89" i="2" a="1"/>
  <c r="X9" i="2" a="1"/>
  <c r="AD45" i="2" a="1"/>
  <c r="Z12" i="2" a="1"/>
  <c r="K98" i="2" a="1"/>
  <c r="H63" i="2" a="1"/>
  <c r="H93" i="2" a="1"/>
  <c r="G84" i="2" a="1"/>
  <c r="AB96" i="2" a="1"/>
  <c r="K122" i="2" a="1"/>
  <c r="H146" i="2" a="1"/>
  <c r="H114" i="2" a="1"/>
  <c r="K93" i="2" a="1"/>
  <c r="X93" i="2" a="1"/>
  <c r="X68" i="2" a="1"/>
  <c r="X97" i="2" a="1"/>
  <c r="I168" i="2" a="1"/>
  <c r="J164" i="2" a="1"/>
  <c r="J182" i="2" a="1"/>
  <c r="AB72" i="2" a="1"/>
  <c r="J11" i="2" a="1"/>
  <c r="K156" i="2" a="1"/>
  <c r="Z23" i="2" a="1"/>
  <c r="I51" i="2" a="1"/>
  <c r="J196" i="2" a="1"/>
  <c r="I187" i="2" a="1"/>
  <c r="AE52" i="2" a="1"/>
  <c r="I108" i="2" a="1"/>
  <c r="AC94" i="2" a="1"/>
  <c r="H36" i="2" a="1"/>
  <c r="AA6" i="2" a="1"/>
  <c r="H103" i="2" a="1"/>
  <c r="AB95" i="2" a="1"/>
  <c r="AG56" i="2" a="1"/>
  <c r="Y19" i="2" a="1"/>
  <c r="J38" i="2" a="1"/>
  <c r="J15" i="2" a="1"/>
  <c r="AB21" i="2" a="1"/>
  <c r="AC34" i="2" a="1"/>
  <c r="G50" i="2" a="1"/>
  <c r="AD10" i="2" a="1"/>
  <c r="AB46" i="2" a="1"/>
  <c r="I170" i="2" a="1"/>
  <c r="J104" i="2" a="1"/>
  <c r="AF98" i="2" a="1"/>
  <c r="K170" i="2" a="1"/>
  <c r="K163" i="2" a="1"/>
  <c r="J191" i="2" a="1"/>
  <c r="J179" i="2" a="1"/>
  <c r="J152" i="2" a="1"/>
  <c r="AA46" i="2" a="1"/>
  <c r="Z22" i="2" a="1"/>
  <c r="Y69" i="2" a="1"/>
  <c r="Y12" i="2" a="1"/>
  <c r="AC41" i="2" a="1"/>
  <c r="Z36" i="2" a="1"/>
  <c r="Z86" i="2" a="1"/>
  <c r="Z14" i="2" a="1"/>
  <c r="AD99" i="2" a="1"/>
  <c r="G31" i="2" a="1"/>
  <c r="G28" i="2" a="1"/>
  <c r="Y72" i="2" a="1"/>
  <c r="I196" i="2" a="1"/>
  <c r="AG37" i="2" a="1"/>
  <c r="AB44" i="2" a="1"/>
  <c r="AG13" i="2" a="1"/>
  <c r="AF76" i="2" a="1"/>
  <c r="AC38" i="2" a="1"/>
  <c r="AB76" i="2" a="1"/>
  <c r="K169" i="2" a="1"/>
  <c r="AC40" i="2" a="1"/>
  <c r="AE81" i="2" a="1"/>
  <c r="G106" i="2" a="1"/>
  <c r="Y75" i="2" a="1"/>
  <c r="AG19" i="2" a="1"/>
  <c r="AB3" i="2" a="1"/>
  <c r="H13" i="2" a="1"/>
  <c r="AD41" i="2" a="1"/>
  <c r="AC54" i="2" a="1"/>
  <c r="G155" i="2" a="1"/>
  <c r="AF79" i="2" a="1"/>
  <c r="G71" i="2" a="1"/>
  <c r="AG24" i="2" a="1"/>
  <c r="AF85" i="2" a="1"/>
  <c r="K6" i="2" a="1"/>
  <c r="Y89" i="2" a="1"/>
  <c r="AA26" i="2" a="1"/>
  <c r="H194" i="2" a="1"/>
  <c r="J98" i="2" a="1"/>
  <c r="G73" i="2" a="1"/>
  <c r="J149" i="2" a="1"/>
  <c r="K90" i="2" a="1"/>
  <c r="I144" i="2" a="1"/>
  <c r="AB41" i="2" a="1"/>
  <c r="AG6" i="2" a="1"/>
  <c r="AE11" i="2" a="1"/>
  <c r="AA79" i="2" a="1"/>
  <c r="AC3" i="2" a="1"/>
  <c r="AD28" i="2" a="1"/>
  <c r="G89" i="2" a="1"/>
  <c r="AE98" i="2" a="1"/>
  <c r="AA51" i="2" a="1"/>
  <c r="Z45" i="2" a="1"/>
  <c r="AD14" i="2" a="1"/>
  <c r="K171" i="2" a="1"/>
  <c r="G32" i="2" a="1"/>
  <c r="K62" i="2" a="1"/>
  <c r="G40" i="2" a="1"/>
  <c r="I23" i="2" a="1"/>
  <c r="J169" i="2" a="1"/>
  <c r="AF18" i="2" a="1"/>
  <c r="J14" i="2" a="1"/>
  <c r="I28" i="2" a="1"/>
  <c r="AG50" i="2" a="1"/>
  <c r="AE56" i="2" a="1"/>
  <c r="G167" i="2" a="1"/>
  <c r="G98" i="2" a="1"/>
  <c r="K164" i="2" a="1"/>
  <c r="AA31" i="2" a="1"/>
  <c r="AG20" i="2" a="1"/>
  <c r="Y25" i="2" a="1"/>
  <c r="G112" i="2" a="1"/>
  <c r="J8" i="2" a="1"/>
  <c r="H119" i="2" a="1"/>
  <c r="H97" i="2" a="1"/>
  <c r="H82" i="2" a="1"/>
  <c r="G174" i="2" a="1"/>
  <c r="I88" i="2" a="1"/>
  <c r="H199" i="2" a="1"/>
  <c r="Y87" i="2" a="1"/>
  <c r="AD97" i="2" a="1"/>
  <c r="AB99" i="2" a="1"/>
  <c r="I43" i="2" a="1"/>
  <c r="AG77" i="2" a="1"/>
  <c r="AD80" i="2" a="1"/>
  <c r="K84" i="2" a="1"/>
  <c r="J20" i="2" a="1"/>
  <c r="Y27" i="2" a="1"/>
  <c r="H90" i="2" a="1"/>
  <c r="AF62" i="2" a="1"/>
  <c r="K85" i="2" a="1"/>
  <c r="Y37" i="2" a="1"/>
  <c r="J7" i="2" a="1"/>
  <c r="AG87" i="2" a="1"/>
  <c r="AG15" i="2" a="1"/>
  <c r="G188" i="2" a="1"/>
  <c r="I124" i="2" a="1"/>
  <c r="I200" i="2" a="1"/>
  <c r="K75" i="2" a="1"/>
  <c r="J117" i="2" a="1"/>
  <c r="I135" i="2" a="1"/>
  <c r="AC62" i="2" a="1"/>
  <c r="I26" i="2" a="1"/>
  <c r="H33" i="2" a="1"/>
  <c r="I12" i="2" a="1"/>
  <c r="AC55" i="2" a="1"/>
  <c r="AC60" i="2" a="1"/>
  <c r="J163" i="2" a="1"/>
  <c r="H74" i="2" a="1"/>
  <c r="AC64" i="2" a="1"/>
  <c r="K194" i="2" a="1"/>
  <c r="AB28" i="2" a="1"/>
  <c r="AA89" i="2" a="1"/>
  <c r="AB71" i="2" a="1"/>
  <c r="AF83" i="2" a="1"/>
  <c r="H22" i="2" a="1"/>
  <c r="Z73" i="2" a="1"/>
  <c r="X56" i="2" a="1"/>
  <c r="AF46" i="2" a="1"/>
  <c r="AD15" i="2" a="1"/>
  <c r="K121" i="2" a="1"/>
  <c r="AG60" i="2" a="1"/>
  <c r="H24" i="2" a="1"/>
  <c r="AD54" i="2" a="1"/>
  <c r="Z70" i="2" a="1"/>
  <c r="AC29" i="2" a="1"/>
  <c r="J62" i="2" a="1"/>
  <c r="AF56" i="2" a="1"/>
  <c r="K132" i="2" a="1"/>
  <c r="I84" i="2" a="1"/>
  <c r="AB27" i="2" a="1"/>
  <c r="J202" i="2" a="1"/>
  <c r="Z67" i="2" a="1"/>
  <c r="I42" i="2" a="1"/>
  <c r="K161" i="2" a="1"/>
  <c r="G13" i="2" a="1"/>
  <c r="K182" i="2" a="1"/>
  <c r="I21" i="2" a="1"/>
  <c r="G170" i="2" a="1"/>
  <c r="H5" i="2" a="1"/>
  <c r="X62" i="2" a="1"/>
  <c r="K32" i="2" a="1"/>
  <c r="I99" i="2" a="1"/>
  <c r="G18" i="2" a="1"/>
  <c r="X52" i="2" a="1"/>
  <c r="G33" i="2" a="1"/>
  <c r="X92" i="2" a="1"/>
  <c r="Y65" i="2" a="1"/>
  <c r="J175" i="2" a="1"/>
  <c r="AE32" i="2" a="1"/>
  <c r="K142" i="2" a="1"/>
  <c r="X79" i="2" a="1"/>
  <c r="G95" i="2" a="1"/>
  <c r="AC10" i="2" a="1"/>
  <c r="K56" i="2" a="1"/>
  <c r="AC81" i="2" a="1"/>
  <c r="K109" i="2" a="1"/>
  <c r="AG28" i="2" a="1"/>
  <c r="AG76" i="2" a="1"/>
  <c r="J42" i="2" a="1"/>
  <c r="G127" i="2" a="1"/>
  <c r="H50" i="2" a="1"/>
  <c r="G30" i="2" a="1"/>
  <c r="J43" i="2" a="1"/>
  <c r="G118" i="2" a="1"/>
  <c r="AF23" i="2" a="1"/>
  <c r="G132" i="2" a="1"/>
  <c r="AB81" i="2" a="1"/>
  <c r="AA90" i="2" a="1"/>
  <c r="AG82" i="2" a="1"/>
  <c r="X49" i="2" a="1"/>
  <c r="Z31" i="2" a="1"/>
  <c r="I56" i="2" a="1"/>
  <c r="J95" i="2" a="1"/>
  <c r="G141" i="2" a="1"/>
  <c r="K184" i="2" a="1"/>
  <c r="H110" i="2" a="1"/>
  <c r="J122" i="2" a="1"/>
  <c r="J34" i="2" a="1"/>
  <c r="I169" i="2" a="1"/>
  <c r="Y26" i="2" a="1"/>
  <c r="G56" i="2" a="1"/>
  <c r="AC33" i="2" a="1"/>
  <c r="I73" i="2" a="1"/>
  <c r="AG69" i="2" a="1"/>
  <c r="AA14" i="2" a="1"/>
  <c r="AD35" i="2" a="1"/>
  <c r="J100" i="2" a="1"/>
  <c r="AB30" i="2" a="1"/>
  <c r="J171" i="2" a="1"/>
  <c r="K114" i="2" a="1"/>
  <c r="Y83" i="2" a="1"/>
  <c r="AA24" i="2" a="1"/>
  <c r="AF20" i="2" a="1"/>
  <c r="AG91" i="2" a="1"/>
  <c r="G122" i="2" a="1"/>
  <c r="AF43" i="2" a="1"/>
  <c r="AA28" i="2" a="1"/>
  <c r="AC39" i="2" a="1"/>
  <c r="H49" i="2" a="1"/>
  <c r="AB33" i="2" a="1"/>
  <c r="AA27" i="2" a="1"/>
  <c r="K106" i="2" a="1"/>
  <c r="G201" i="2" a="1"/>
  <c r="J172" i="2" a="1"/>
  <c r="AF30" i="2" a="1"/>
  <c r="I134" i="2" a="1"/>
  <c r="AG72" i="2" a="1"/>
  <c r="AC20" i="2" a="1"/>
  <c r="AC37" i="2" a="1"/>
  <c r="J96" i="2" a="1"/>
  <c r="I54" i="2" a="1"/>
  <c r="AC17" i="2" a="1"/>
  <c r="AA9" i="2" a="1"/>
  <c r="AC13" i="2" a="1"/>
  <c r="AA36" i="2" a="1"/>
  <c r="AB7" i="2" a="1"/>
  <c r="G119" i="2" a="1"/>
  <c r="H128" i="2" a="1"/>
  <c r="J123" i="2" a="1"/>
  <c r="AA12" i="2" a="1"/>
  <c r="G5" i="2" a="1"/>
  <c r="J33" i="2" a="1"/>
  <c r="G182" i="2" a="1"/>
  <c r="AE24" i="2" a="1"/>
  <c r="Z66" i="2" a="1"/>
  <c r="AB5" i="2" a="1"/>
  <c r="I37" i="2" a="1"/>
  <c r="Y96" i="2" a="1"/>
  <c r="X21" i="2" a="1"/>
  <c r="I141" i="2" a="1"/>
  <c r="J46" i="2" a="1"/>
  <c r="AF82" i="2" a="1"/>
  <c r="G152" i="2" a="1"/>
  <c r="H171" i="2" a="1"/>
  <c r="Y79" i="2" a="1"/>
  <c r="AG3" i="2" a="1"/>
  <c r="G87" i="2" a="1"/>
  <c r="H163" i="2" a="1"/>
  <c r="K39" i="2" a="1"/>
  <c r="Z20" i="2" a="1"/>
  <c r="Y78" i="2" a="1"/>
  <c r="J133" i="2" a="1"/>
  <c r="G63" i="2" a="1"/>
  <c r="AE40" i="2" a="1"/>
  <c r="H95" i="2" a="1"/>
  <c r="G68" i="2" a="1"/>
  <c r="X89" i="2" a="1"/>
  <c r="J126" i="2" a="1"/>
  <c r="X22" i="2" a="1"/>
  <c r="J120" i="2" a="1"/>
  <c r="J9" i="2" a="1"/>
  <c r="G145" i="2" a="1"/>
  <c r="H77" i="2" a="1"/>
  <c r="AB22" i="2" a="1"/>
  <c r="AG47" i="2" a="1"/>
  <c r="I194" i="2" a="1"/>
  <c r="K130" i="2" a="1"/>
  <c r="AG49" i="2" a="1"/>
  <c r="K126" i="2" a="1"/>
  <c r="I183" i="2" a="1"/>
  <c r="J159" i="2" a="1"/>
  <c r="AF87" i="2" a="1"/>
  <c r="X36" i="2" a="1"/>
  <c r="K105" i="2" a="1"/>
  <c r="I157" i="2" a="1"/>
  <c r="I24" i="2" a="1"/>
  <c r="H111" i="2" a="1"/>
  <c r="Y82" i="2" a="1"/>
  <c r="X73" i="2" a="1"/>
  <c r="H112" i="2" a="1"/>
  <c r="I58" i="2" a="1"/>
  <c r="K176" i="2" a="1"/>
  <c r="AB29" i="2" a="1"/>
  <c r="AD64" i="2" a="1"/>
  <c r="AE65" i="2" a="1"/>
  <c r="G24" i="2" a="1"/>
  <c r="H169" i="2" a="1"/>
  <c r="H8" i="2" a="1"/>
  <c r="H67" i="2" a="1"/>
  <c r="J50" i="2" a="1"/>
  <c r="K150" i="2" a="1"/>
  <c r="H190" i="2" a="1"/>
  <c r="AE85" i="2" a="1"/>
  <c r="Y31" i="2" a="1"/>
  <c r="AG18" i="2" a="1"/>
  <c r="Z16" i="2" a="1"/>
  <c r="AC76" i="2" a="1"/>
  <c r="K100" i="2" a="1"/>
  <c r="AE35" i="2" a="1"/>
  <c r="I175" i="2" a="1"/>
  <c r="AC19" i="2" a="1"/>
  <c r="AC61" i="2" a="1"/>
  <c r="K11" i="2" a="1"/>
  <c r="K148" i="2" a="1"/>
  <c r="J87" i="2" a="1"/>
  <c r="AG96" i="2" a="1"/>
  <c r="AE68" i="2" a="1"/>
  <c r="AG4" i="2" a="1"/>
  <c r="Z94" i="2" a="1"/>
  <c r="G96" i="2" a="1"/>
  <c r="AF9" i="2" a="1"/>
  <c r="X8" i="2" a="1"/>
  <c r="AE5" i="2" a="1"/>
  <c r="Z53" i="2" a="1"/>
  <c r="G128" i="2" a="1"/>
  <c r="AA41" i="2" a="1"/>
  <c r="J154" i="2" a="1"/>
  <c r="AD62" i="2" a="1"/>
  <c r="AD37" i="2" a="1"/>
  <c r="G65" i="2" a="1"/>
  <c r="AE62" i="2" a="1"/>
  <c r="J144" i="2" a="1"/>
  <c r="AB43" i="2" a="1"/>
  <c r="AA15" i="2" a="1"/>
  <c r="AF77" i="2" a="1"/>
  <c r="AD39" i="2" a="1"/>
  <c r="Y48" i="2" a="1"/>
  <c r="H87" i="2" a="1"/>
  <c r="J118" i="2" a="1"/>
  <c r="Z28" i="2" a="1"/>
  <c r="G12" i="2" a="1"/>
  <c r="G153" i="2" a="1"/>
  <c r="J189" i="2" a="1"/>
  <c r="AC28" i="2" a="1"/>
  <c r="Y61" i="2" a="1"/>
  <c r="G101" i="2" a="1"/>
  <c r="G156" i="2" a="1"/>
  <c r="X77" i="2" a="1"/>
  <c r="I14" i="2" a="1"/>
  <c r="Z92" i="2" a="1"/>
  <c r="G202" i="2" a="1"/>
  <c r="Z30" i="2" a="1"/>
  <c r="Y46" i="2" a="1"/>
  <c r="H143" i="2" a="1"/>
  <c r="H134" i="2" a="1"/>
  <c r="Y5" i="2" a="1"/>
  <c r="I31" i="2" a="1"/>
  <c r="I33" i="2" a="1"/>
  <c r="AA35" i="2" a="1"/>
  <c r="AE23" i="2" a="1"/>
  <c r="I39" i="2" a="1"/>
  <c r="AD73" i="2" a="1"/>
  <c r="K66" i="2" a="1"/>
  <c r="G159" i="2" a="1"/>
  <c r="K72" i="2" a="1"/>
  <c r="AF58" i="2" a="1"/>
  <c r="AD88" i="2" a="1"/>
  <c r="AD77" i="2" a="1"/>
  <c r="H71" i="2" a="1"/>
  <c r="AF59" i="2" a="1"/>
  <c r="X27" i="2" a="1"/>
  <c r="AF45" i="2" a="1"/>
  <c r="AE25" i="2" a="1"/>
  <c r="AB92" i="2" a="1"/>
  <c r="K79" i="2" a="1"/>
  <c r="K87" i="2" a="1"/>
  <c r="K46" i="2" a="1"/>
  <c r="G173" i="2" a="1"/>
  <c r="AG70" i="2" a="1"/>
  <c r="K136" i="2" a="1"/>
  <c r="G75" i="2" a="1"/>
  <c r="AD57" i="2" a="1"/>
  <c r="Y35" i="2" a="1"/>
  <c r="G158" i="2" a="1"/>
  <c r="AG98" i="2" a="1"/>
  <c r="Z38" i="2" a="1"/>
  <c r="Y93" i="2" a="1"/>
  <c r="G61" i="2" a="1"/>
  <c r="X96" i="2" a="1"/>
  <c r="H179" i="2" a="1"/>
  <c r="H30" i="2" a="1"/>
  <c r="J115" i="2" a="1"/>
  <c r="J29" i="2" a="1"/>
  <c r="I71" i="2" a="1"/>
  <c r="J93" i="2" a="1"/>
  <c r="J130" i="2" a="1"/>
  <c r="Z83" i="2" a="1"/>
  <c r="AA72" i="2" a="1"/>
  <c r="G134" i="2" a="1"/>
  <c r="Y68" i="2" a="1"/>
  <c r="J48" i="2" a="1"/>
  <c r="G39" i="2" a="1"/>
  <c r="AG27" i="2" a="1"/>
  <c r="Z4" i="2" a="1"/>
  <c r="AG94" i="2" a="1"/>
  <c r="AD21" i="2" a="1"/>
  <c r="Y18" i="2" a="1"/>
  <c r="AD76" i="2" a="1"/>
  <c r="I91" i="2" a="1"/>
  <c r="AA19" i="2" a="1"/>
  <c r="I52" i="2" a="1"/>
  <c r="H42" i="2" a="1"/>
  <c r="AC7" i="2" a="1"/>
  <c r="H73" i="2" a="1"/>
  <c r="K27" i="2" a="1"/>
  <c r="K23" i="2" a="1"/>
  <c r="AB67" i="2" a="1"/>
  <c r="X71" i="2" a="1"/>
  <c r="AA54" i="2" a="1"/>
  <c r="I72" i="2" a="1"/>
  <c r="AF53" i="2" a="1"/>
  <c r="AE27" i="2" a="1"/>
  <c r="H147" i="2" a="1"/>
  <c r="J55" i="2" a="1"/>
  <c r="AA11" i="2" a="1"/>
  <c r="Y62" i="2" a="1"/>
  <c r="X63" i="2" a="1"/>
  <c r="AE8" i="2" a="1"/>
  <c r="K162" i="2" a="1"/>
  <c r="AC25" i="2" a="1"/>
  <c r="AC6" i="2" a="1"/>
  <c r="J88" i="2" a="1"/>
  <c r="X65" i="2" a="1"/>
  <c r="AB58" i="2" a="1"/>
  <c r="I128" i="2" a="1"/>
  <c r="AC23" i="2" a="1"/>
  <c r="Z59" i="2" a="1"/>
  <c r="I97" i="2" a="1"/>
  <c r="I100" i="2" a="1"/>
  <c r="H145" i="2" a="1"/>
  <c r="Y92" i="2" a="1"/>
  <c r="K115" i="2" a="1"/>
  <c r="Z88" i="2" a="1"/>
  <c r="I40" i="2" a="1"/>
  <c r="AE66" i="2" a="1"/>
  <c r="AG53" i="2" a="1"/>
  <c r="AC47" i="2" a="1"/>
  <c r="K35" i="2" a="1"/>
  <c r="J110" i="2" a="1"/>
  <c r="Y81" i="2" a="1"/>
  <c r="AA78" i="2" a="1"/>
  <c r="H156" i="2" a="1"/>
  <c r="I105" i="2" a="1"/>
  <c r="AF38" i="2" a="1"/>
  <c r="Y23" i="2" a="1"/>
  <c r="AD70" i="2" a="1"/>
  <c r="I142" i="2" a="1"/>
  <c r="H66" i="2" a="1"/>
  <c r="AF47" i="2" a="1"/>
  <c r="AG66" i="2" a="1"/>
  <c r="K102" i="2" a="1"/>
  <c r="I166" i="2" a="1"/>
  <c r="AG14" i="2" a="1"/>
  <c r="J61" i="2" a="1"/>
  <c r="H40" i="2" a="1"/>
  <c r="K59" i="2" a="1"/>
  <c r="AE3" i="2" a="1"/>
  <c r="K195" i="2" a="1"/>
  <c r="I38" i="2" a="1"/>
  <c r="Z41" i="2" a="1"/>
  <c r="AD74" i="2" a="1"/>
  <c r="G69" i="2" a="1"/>
  <c r="AA40" i="2" a="1"/>
  <c r="H130" i="2" a="1"/>
  <c r="AD17" i="2" a="1"/>
  <c r="J102" i="2" a="1"/>
  <c r="AG32" i="2" a="1"/>
  <c r="G25" i="2" a="1"/>
  <c r="K190" i="2" a="1"/>
  <c r="AD83" i="2" a="1"/>
  <c r="AA85" i="2" a="1"/>
  <c r="I140" i="2" a="1"/>
  <c r="AE7" i="2" a="1"/>
  <c r="AD67" i="2" a="1"/>
  <c r="J6" i="2" a="1"/>
  <c r="AD51" i="2" a="1"/>
  <c r="J184" i="2" a="1"/>
  <c r="AB23" i="2" a="1"/>
  <c r="G120" i="2" a="1"/>
  <c r="I16" i="2" a="1"/>
  <c r="H31" i="2" a="1"/>
  <c r="AB40" i="2" a="1"/>
  <c r="AD31" i="2" a="1"/>
  <c r="K192" i="2" a="1"/>
  <c r="X4" i="2" a="1"/>
  <c r="J129" i="2" a="1"/>
  <c r="H115" i="2" a="1"/>
  <c r="AD86" i="2" a="1"/>
  <c r="I25" i="2" a="1"/>
  <c r="K37" i="2" a="1"/>
  <c r="J59" i="2" a="1"/>
  <c r="I118" i="2" a="1"/>
  <c r="Z78" i="2" a="1"/>
  <c r="G111" i="2" a="1"/>
  <c r="AC18" i="2" a="1"/>
  <c r="AE17" i="2" a="1"/>
  <c r="I20" i="2" a="1"/>
  <c r="G194" i="2" a="1"/>
  <c r="AD66" i="2" a="1"/>
  <c r="AC35" i="2" a="1"/>
  <c r="X24" i="2" a="1"/>
  <c r="AC65" i="2" a="1"/>
  <c r="AA66" i="2" a="1"/>
  <c r="H136" i="2" a="1"/>
  <c r="K34" i="2" a="1"/>
  <c r="G51" i="2" a="1"/>
  <c r="H37" i="2" a="1"/>
  <c r="AD65" i="2" a="1"/>
  <c r="X13" i="2" a="1"/>
  <c r="I147" i="2" a="1"/>
  <c r="Y77" i="2" a="1"/>
  <c r="H173" i="2" a="1"/>
  <c r="AB35" i="2" a="1"/>
  <c r="X85" i="2" a="1"/>
  <c r="J99" i="2" a="1"/>
  <c r="J101" i="2" a="1"/>
  <c r="G126" i="2" a="1"/>
  <c r="AD5" i="2" a="1"/>
  <c r="G90" i="2" a="1"/>
  <c r="J121" i="2" a="1"/>
  <c r="AC68" i="2" a="1"/>
  <c r="AA82" i="2" a="1"/>
  <c r="K48" i="2" a="1"/>
  <c r="J183" i="2" a="1"/>
  <c r="K30" i="2" a="1"/>
  <c r="H84" i="2" a="1"/>
  <c r="G9" i="2" a="1"/>
  <c r="X84" i="2" a="1"/>
  <c r="I133" i="2" a="1"/>
  <c r="J114" i="2" a="1"/>
  <c r="Y41" i="2" a="1"/>
  <c r="I98" i="2" a="1"/>
  <c r="X61" i="2" a="1"/>
  <c r="I179" i="2" a="1"/>
  <c r="K112" i="2" a="1"/>
  <c r="I63" i="2" a="1"/>
  <c r="AA7" i="2" a="1"/>
  <c r="AF49" i="2" a="1"/>
  <c r="J19" i="2" a="1"/>
  <c r="G74" i="2" a="1"/>
  <c r="K153" i="2" a="1"/>
  <c r="AD92" i="2" a="1"/>
  <c r="I103" i="2" a="1"/>
  <c r="AC21" i="2" a="1"/>
  <c r="AC12" i="2" a="1"/>
  <c r="AE9" i="2" a="1"/>
  <c r="AA8" i="2" a="1"/>
  <c r="AC50" i="2" a="1"/>
  <c r="G16" i="2" a="1"/>
  <c r="G172" i="2" a="1"/>
  <c r="Y4" i="2" a="1"/>
  <c r="G166" i="2" a="1"/>
  <c r="K80" i="2" a="1"/>
  <c r="J137" i="2" a="1"/>
  <c r="Y24" i="2" a="1"/>
  <c r="AF17" i="2" a="1"/>
  <c r="G85" i="2" a="1"/>
  <c r="AE95" i="2" a="1"/>
  <c r="G72" i="2" a="1"/>
  <c r="I34" i="2" a="1"/>
  <c r="K181" i="2" a="1"/>
  <c r="AA95" i="2" a="1"/>
  <c r="Z49" i="2" a="1"/>
  <c r="X5" i="2" a="1"/>
  <c r="I60" i="2" a="1"/>
  <c r="I15" i="2" a="1"/>
  <c r="AB47" i="2" a="1"/>
  <c r="K41" i="2" a="1"/>
  <c r="I90" i="2" a="1"/>
  <c r="Y64" i="2" a="1"/>
  <c r="Y90" i="2" a="1"/>
  <c r="AF22" i="2" a="1"/>
  <c r="AG29" i="2" a="1"/>
  <c r="AE19" i="2" a="1"/>
  <c r="AB65" i="2" a="1"/>
  <c r="K65" i="2" a="1"/>
  <c r="AB85" i="2" a="1"/>
  <c r="AB20" i="2" a="1"/>
  <c r="I94" i="2" a="1"/>
  <c r="AA93" i="2" a="1"/>
  <c r="G37" i="2" a="1"/>
  <c r="I49" i="2" a="1"/>
  <c r="AC77" i="2" a="1"/>
  <c r="Z8" i="2" a="1"/>
  <c r="Z99" i="2" a="1"/>
  <c r="AD7" i="2" a="1"/>
  <c r="H88" i="2" a="1"/>
  <c r="AG16" i="2" a="1"/>
  <c r="K178" i="2" a="1"/>
  <c r="AB70" i="2" a="1"/>
  <c r="AA39" i="2" a="1"/>
  <c r="Z97" i="2" a="1"/>
  <c r="G58" i="2" a="1"/>
  <c r="J177" i="2" a="1"/>
  <c r="AE49" i="2" a="1"/>
  <c r="J24" i="2" a="1"/>
  <c r="I93" i="2" a="1"/>
  <c r="Y6" i="2" a="1"/>
  <c r="I159" i="2" a="1"/>
  <c r="AA21" i="2" a="1"/>
  <c r="AB48" i="2" a="1"/>
  <c r="AG8" i="2" a="1"/>
  <c r="AF8" i="2" a="1"/>
  <c r="H68" i="2" a="1"/>
  <c r="AD84" i="2" a="1"/>
  <c r="G82" i="2" a="1"/>
  <c r="J135" i="2" a="1"/>
  <c r="AD58" i="2" a="1"/>
  <c r="Y98" i="2" a="1"/>
  <c r="H104" i="2" a="1"/>
  <c r="AC14" i="2" a="1"/>
  <c r="G26" i="2" a="1"/>
  <c r="J141" i="2" a="1"/>
  <c r="I130" i="2" a="1"/>
  <c r="I83" i="2" a="1"/>
  <c r="I65" i="2" a="1"/>
  <c r="AG31" i="2" a="1"/>
  <c r="I202" i="2" a="1"/>
  <c r="G23" i="2" a="1"/>
  <c r="X91" i="2" a="1"/>
  <c r="X18" i="2" a="1"/>
  <c r="AB93" i="2" a="1"/>
  <c r="Y40" i="2" a="1"/>
  <c r="AC43" i="2" a="1"/>
  <c r="X31" i="2" a="1"/>
  <c r="H54" i="2" a="1"/>
  <c r="AB32" i="2" a="1"/>
  <c r="K167" i="2" a="1"/>
  <c r="AC78" i="2" a="1"/>
  <c r="AE78" i="2" a="1"/>
  <c r="AG42" i="2" a="1"/>
  <c r="AE84" i="2" a="1"/>
  <c r="AC57" i="2" a="1"/>
  <c r="AF31" i="2" a="1"/>
  <c r="Z47" i="2" a="1"/>
  <c r="G161" i="2" a="1"/>
  <c r="AD18" i="2" a="1"/>
  <c r="G4" i="2" a="1"/>
  <c r="J69" i="2" a="1"/>
  <c r="J168" i="2" a="1"/>
  <c r="K4" i="2" a="1"/>
  <c r="J44" i="2" a="1"/>
  <c r="AC66" i="2" a="1"/>
  <c r="J106" i="2" a="1"/>
  <c r="G105" i="2" a="1"/>
  <c r="Z87" i="2" a="1"/>
  <c r="Z33" i="2" a="1"/>
  <c r="AA30" i="2" a="1"/>
  <c r="H162" i="2" a="1"/>
  <c r="AD8" i="2" a="1"/>
  <c r="K172" i="2" a="1"/>
  <c r="K47" i="2" a="1"/>
  <c r="K179" i="2" a="1"/>
  <c r="I174" i="2" a="1"/>
  <c r="AC79" i="2" a="1"/>
  <c r="AA96" i="2" a="1"/>
  <c r="K189" i="2" a="1"/>
  <c r="AF51" i="2" a="1"/>
  <c r="AB62" i="2" a="1"/>
  <c r="I197" i="2" a="1"/>
  <c r="J197" i="2" a="1"/>
  <c r="AG41" i="2" a="1"/>
  <c r="H58" i="2" a="1"/>
  <c r="AE31" i="2" a="1"/>
  <c r="Y13" i="2" a="1"/>
  <c r="G78" i="2" a="1"/>
  <c r="X74" i="2" a="1"/>
  <c r="H46" i="2" a="1"/>
  <c r="AG79" i="2" a="1"/>
  <c r="H188" i="2" a="1"/>
  <c r="J65" i="2" a="1"/>
  <c r="Y10" i="2" a="1"/>
  <c r="I115" i="2" a="1"/>
  <c r="G66" i="2" a="1"/>
  <c r="J16" i="2" a="1"/>
  <c r="G27" i="2" a="1"/>
  <c r="Y53" i="2" a="1"/>
  <c r="K51" i="2" a="1"/>
  <c r="J67" i="2" a="1"/>
  <c r="Z7" i="2" a="1"/>
  <c r="K82" i="2" a="1"/>
  <c r="J76" i="2" a="1"/>
  <c r="J201" i="2" a="1"/>
  <c r="I146" i="2" a="1"/>
  <c r="I69" i="2" a="1"/>
  <c r="G163" i="2" a="1"/>
  <c r="H135" i="2" a="1"/>
  <c r="Y7" i="2" a="1"/>
  <c r="Z43" i="2" a="1"/>
  <c r="J25" i="2" a="1"/>
  <c r="H79" i="2" a="1"/>
  <c r="AA34" i="2" a="1"/>
  <c r="AE57" i="2" a="1"/>
  <c r="K168" i="2" a="1"/>
  <c r="X98" i="2" a="1"/>
  <c r="J30" i="2" a="1"/>
  <c r="G178" i="2" a="1"/>
  <c r="AF61" i="2" a="1"/>
  <c r="AE30" i="2" a="1"/>
  <c r="K183" i="2" a="1"/>
  <c r="AC93" i="2" a="1"/>
  <c r="AG39" i="2" a="1"/>
  <c r="AA10" i="2" a="1"/>
  <c r="K45" i="2" a="1"/>
  <c r="AA47" i="2" a="1"/>
  <c r="I117" i="2" a="1"/>
  <c r="AA58" i="2" a="1"/>
  <c r="J21" i="2" a="1"/>
  <c r="AB31" i="2" a="1"/>
  <c r="AG67" i="2" a="1"/>
  <c r="AF7" i="2" a="1"/>
  <c r="G189" i="2" a="1"/>
  <c r="AD46" i="2" a="1"/>
  <c r="G79" i="2" a="1"/>
  <c r="AB89" i="2" a="1"/>
  <c r="Y76" i="2" a="1"/>
  <c r="H125" i="2" a="1"/>
  <c r="G36" i="2" a="1"/>
  <c r="AF26" i="2" a="1"/>
  <c r="AD20" i="2" a="1"/>
  <c r="G94" i="2" a="1"/>
  <c r="H170" i="2" a="1"/>
  <c r="G140" i="2" a="1"/>
  <c r="AD32" i="2" a="1"/>
  <c r="AB79" i="2" a="1"/>
  <c r="H55" i="2" a="1"/>
  <c r="AC83" i="2" a="1"/>
  <c r="AB98" i="2" a="1"/>
  <c r="Z25" i="2" a="1"/>
  <c r="AD98" i="2" a="1"/>
  <c r="I89" i="2" a="1"/>
  <c r="AB82" i="2" a="1"/>
  <c r="X51" i="2" a="1"/>
  <c r="I149" i="2" a="1"/>
  <c r="I55" i="2" a="1"/>
  <c r="AD75" i="2" a="1"/>
  <c r="G91" i="2" a="1"/>
  <c r="AG40" i="2" a="1"/>
  <c r="H165" i="2" a="1"/>
  <c r="G184" i="2" a="1"/>
  <c r="I109" i="2" a="1"/>
  <c r="H14" i="2" a="1"/>
  <c r="AE37" i="2" a="1"/>
  <c r="AG81" i="2" a="1"/>
  <c r="I110" i="2" a="1"/>
  <c r="AE28" i="2" a="1"/>
  <c r="G176" i="2" a="1"/>
  <c r="AE42" i="2" a="1"/>
  <c r="J90" i="2" a="1"/>
  <c r="AA74" i="2" a="1"/>
  <c r="Z90" i="2" a="1"/>
  <c r="AE96" i="2" a="1"/>
  <c r="H186" i="2" a="1"/>
  <c r="Z40" i="2" a="1"/>
  <c r="K141" i="2" a="1"/>
  <c r="AB25" i="2" a="1"/>
  <c r="I198" i="2" a="1"/>
  <c r="AF16" i="2" a="1"/>
  <c r="I19" i="2" a="1"/>
  <c r="K19" i="2" a="1"/>
  <c r="J128" i="2" a="1"/>
  <c r="J156" i="2" a="1"/>
  <c r="Z74" i="2" a="1"/>
  <c r="AC16" i="2" a="1"/>
  <c r="AA18" i="2" a="1"/>
  <c r="Y56" i="2" a="1"/>
  <c r="AD34" i="2" a="1"/>
  <c r="I79" i="2" a="1"/>
  <c r="AD60" i="2" a="1"/>
  <c r="AD11" i="2" a="1"/>
  <c r="G57" i="2" a="1"/>
  <c r="H159" i="2" a="1"/>
  <c r="Z29" i="2" a="1"/>
  <c r="I178" i="2" a="1"/>
  <c r="J23" i="2" a="1"/>
  <c r="I59" i="2" a="1"/>
  <c r="AA23" i="2" a="1"/>
  <c r="G186" i="2" a="1"/>
  <c r="H142" i="2" a="1"/>
  <c r="I181" i="2" a="1"/>
  <c r="Y91" i="2" a="1"/>
  <c r="G38" i="2" a="1"/>
  <c r="H69" i="2" a="1"/>
  <c r="AF3" i="2" a="1"/>
  <c r="K145" i="2" a="1"/>
  <c r="AC67" i="2" a="1"/>
  <c r="Z32" i="2" a="1"/>
  <c r="AB12" i="2" a="1"/>
  <c r="I17" i="2" a="1"/>
  <c r="Z60" i="2" a="1"/>
  <c r="Z91" i="2" a="1"/>
  <c r="AF33" i="2" a="1"/>
  <c r="K197" i="2" a="1"/>
  <c r="AG43" i="2" a="1"/>
  <c r="J72" i="2" a="1"/>
  <c r="H10" i="2" a="1"/>
  <c r="H133" i="2" a="1"/>
  <c r="I195" i="2" a="1"/>
  <c r="K44" i="2" a="1"/>
  <c r="AE18" i="2" a="1"/>
  <c r="X16" i="2" a="1"/>
  <c r="AB84" i="2" a="1"/>
  <c r="X28" i="2" a="1"/>
  <c r="AG63" i="2" a="1"/>
  <c r="K26" i="2" a="1"/>
  <c r="J190" i="2" a="1"/>
  <c r="I96" i="2" a="1"/>
  <c r="G92" i="2" a="1"/>
  <c r="H126" i="2" a="1"/>
  <c r="G154" i="2" a="1"/>
  <c r="AA67" i="2" a="1"/>
  <c r="AD30" i="2" a="1"/>
  <c r="AC26" i="2" a="1"/>
  <c r="K9" i="2" a="1"/>
  <c r="Y9" i="2" a="1"/>
  <c r="K63" i="2" a="1"/>
  <c r="K28" i="2" a="1"/>
  <c r="H9" i="2" a="1"/>
  <c r="AE29" i="2" a="1"/>
  <c r="H153" i="2" a="1"/>
  <c r="X72" i="2" a="1"/>
  <c r="AD85" i="2" a="1"/>
  <c r="X26" i="2" a="1"/>
  <c r="Y51" i="2" a="1"/>
  <c r="AD90" i="2" a="1"/>
  <c r="H92" i="2" a="1"/>
  <c r="J80" i="2" a="1"/>
  <c r="G41" i="2" a="1"/>
  <c r="X53" i="2" a="1"/>
  <c r="AG26" i="2" a="1"/>
  <c r="K20" i="2" a="1"/>
  <c r="AA99" i="2" a="1"/>
  <c r="AA45" i="2" a="1"/>
  <c r="AE83" i="2" a="1"/>
  <c r="J66" i="2" a="1"/>
  <c r="K201" i="2" a="1"/>
  <c r="G81" i="2" a="1"/>
  <c r="AF32" i="2" a="1"/>
  <c r="AC36" i="2" a="1"/>
  <c r="J195" i="2" a="1"/>
  <c r="G47" i="2" a="1"/>
  <c r="K120" i="2" a="1"/>
  <c r="I77" i="2" a="1"/>
  <c r="I188" i="2" a="1"/>
  <c r="J71" i="2" a="1"/>
  <c r="I121" i="2" a="1"/>
  <c r="AE64" i="2" a="1"/>
  <c r="Y30" i="2" a="1"/>
  <c r="Y32" i="2" a="1"/>
  <c r="AG89" i="2" a="1"/>
  <c r="AC86" i="2" a="1"/>
  <c r="J36" i="2" a="1"/>
  <c r="X47" i="2" a="1"/>
  <c r="X3" i="2" a="1"/>
  <c r="K92" i="2" a="1"/>
  <c r="I129" i="2" a="1"/>
  <c r="AE38" i="2" a="1"/>
  <c r="AE46" i="2" a="1"/>
  <c r="H150" i="2" a="1"/>
  <c r="G70" i="2" a="1"/>
  <c r="K127" i="2" a="1"/>
  <c r="X17" i="2" a="1"/>
  <c r="K16" i="2" a="1"/>
  <c r="J142" i="2" a="1"/>
  <c r="Y54" i="2" a="1"/>
  <c r="AA71" i="2" a="1"/>
  <c r="AA20" i="2" a="1"/>
  <c r="J4" i="2" a="1"/>
  <c r="AD44" i="2" a="1"/>
  <c r="AC90" i="2" a="1"/>
  <c r="AG58" i="2" a="1"/>
  <c r="AG44" i="2" a="1"/>
  <c r="H34" i="2" a="1"/>
  <c r="X75" i="2" a="1"/>
  <c r="AB26" i="2" a="1"/>
  <c r="G117" i="2" a="1"/>
  <c r="Z35" i="2" a="1"/>
  <c r="I154" i="2" a="1"/>
  <c r="AF63" i="2" a="1"/>
  <c r="AD22" i="2" a="1"/>
  <c r="AB69" i="2" a="1"/>
  <c r="K110" i="2" a="1"/>
  <c r="Z5" i="2" a="1"/>
  <c r="AG48" i="2" a="1"/>
  <c r="AC53" i="2" a="1"/>
  <c r="H158" i="2" a="1"/>
  <c r="I167" i="2" a="1"/>
  <c r="Z95" i="2" a="1"/>
  <c r="X70" i="2" a="1"/>
  <c r="G149" i="2" a="1"/>
  <c r="AA25" i="2" a="1"/>
  <c r="I44" i="2" a="1"/>
  <c r="AB75" i="2" a="1"/>
  <c r="I123" i="2" a="1"/>
  <c r="AG62" i="2" a="1"/>
  <c r="I164" i="2" a="1"/>
  <c r="H131" i="2" a="1"/>
  <c r="Z18" i="2" a="1"/>
  <c r="AC87" i="2" a="1"/>
  <c r="H94" i="2" a="1"/>
  <c r="X59" i="2" a="1"/>
  <c r="I136" i="2" a="1"/>
  <c r="J173" i="2" a="1"/>
  <c r="I120" i="2" a="1"/>
  <c r="AD72" i="2" a="1"/>
  <c r="X40" i="2" a="1"/>
  <c r="X60" i="2" a="1"/>
  <c r="J53" i="2" a="1"/>
  <c r="G93" i="2" a="1"/>
  <c r="X11" i="2" a="1"/>
  <c r="AF75" i="2" a="1"/>
  <c r="AC42" i="2" a="1"/>
  <c r="Z68" i="2" a="1"/>
  <c r="AG51" i="2" a="1"/>
  <c r="AD42" i="2" a="1"/>
  <c r="AF48" i="2" a="1"/>
  <c r="AC71" i="2" a="1"/>
  <c r="Z44" i="2" a="1"/>
  <c r="H17" i="2" a="1"/>
  <c r="AA29" i="2" a="1"/>
  <c r="AB45" i="2" a="1"/>
  <c r="X64" i="2" a="1"/>
  <c r="H138" i="2" a="1"/>
  <c r="K73" i="2" a="1"/>
  <c r="Y73" i="2" a="1"/>
  <c r="J167" i="2" a="1"/>
  <c r="H12" i="2" a="1"/>
  <c r="AF21" i="2" a="1"/>
  <c r="AF81" i="2" a="1"/>
  <c r="J111" i="2" a="1"/>
  <c r="K17" i="2" a="1"/>
  <c r="J78" i="2" a="1"/>
  <c r="AA16" i="2" a="1"/>
  <c r="H80" i="2" a="1"/>
  <c r="AF54" i="2" a="1"/>
  <c r="AG34" i="2" a="1"/>
  <c r="J92" i="2" a="1"/>
  <c r="AD78" i="2" a="1"/>
  <c r="J82" i="2" a="1"/>
  <c r="AE93" i="2" a="1"/>
  <c r="Z63" i="2" a="1"/>
  <c r="AF67" i="2" a="1"/>
  <c r="AE69" i="2" a="1"/>
  <c r="K187" i="2" a="1"/>
  <c r="AG64" i="2" a="1"/>
  <c r="H200" i="2" a="1"/>
  <c r="J181" i="2" a="1"/>
  <c r="H181" i="2" a="1"/>
  <c r="K95" i="2" a="1"/>
  <c r="Y14" i="2" a="1"/>
  <c r="J103" i="2" a="1"/>
  <c r="AB17" i="2" a="1"/>
  <c r="K104" i="2" a="1"/>
  <c r="AB9" i="2" a="1"/>
  <c r="G15" i="2" a="1"/>
  <c r="J83" i="2" a="1"/>
  <c r="I163" i="2" a="1"/>
  <c r="I75" i="2" a="1"/>
  <c r="J28" i="2" a="1"/>
  <c r="AF24" i="2" a="1"/>
  <c r="G190" i="2" a="1"/>
  <c r="G191" i="2" a="1"/>
  <c r="AC75" i="2" a="1"/>
  <c r="AB63" i="2" a="1"/>
  <c r="H11" i="2" a="1"/>
  <c r="AE72" i="2" a="1"/>
  <c r="AG25" i="2" a="1"/>
  <c r="H189" i="2" a="1"/>
  <c r="H122" i="2" a="1"/>
  <c r="J35" i="2" a="1"/>
  <c r="H107" i="2" a="1"/>
  <c r="AF74" i="2" a="1"/>
  <c r="I138" i="2" a="1"/>
  <c r="AG97" i="2" a="1"/>
  <c r="G11" i="2" a="1"/>
  <c r="H196" i="2" a="1"/>
  <c r="I137" i="2" a="1"/>
  <c r="J107" i="2" a="1"/>
  <c r="K138" i="2" a="1"/>
  <c r="K81" i="2" a="1"/>
  <c r="G103" i="2" a="1"/>
  <c r="Z19" i="2" a="1"/>
  <c r="AF28" i="2" a="1"/>
  <c r="AE14" i="2" a="1"/>
  <c r="G144" i="2" a="1"/>
  <c r="G19" i="2" a="1"/>
  <c r="AG73" i="2" a="1"/>
  <c r="I116" i="2" a="1"/>
  <c r="I127" i="2" a="1"/>
  <c r="H76" i="2" a="1"/>
  <c r="G88" i="2" a="1"/>
  <c r="J105" i="2" a="1"/>
  <c r="AE34" i="2" a="1"/>
  <c r="J139" i="2" a="1"/>
  <c r="G114" i="2" a="1"/>
  <c r="AA91" i="2" a="1"/>
  <c r="I192" i="2" a="1"/>
  <c r="AC92" i="2" a="1"/>
  <c r="AB91" i="2" a="1"/>
  <c r="AF92" i="2" a="1"/>
  <c r="K180" i="2" a="1"/>
  <c r="H38" i="2" a="1"/>
  <c r="X38" i="2" a="1"/>
  <c r="AD47" i="2" a="1"/>
  <c r="K13" i="2" a="1"/>
  <c r="J79" i="2" a="1"/>
  <c r="AF11" i="2" a="1"/>
  <c r="H64" i="2" a="1"/>
  <c r="K15" i="2" a="1"/>
  <c r="J125" i="2" a="1"/>
  <c r="AB51" i="2" a="1"/>
  <c r="H100" i="2" a="1"/>
  <c r="G151" i="2" a="1"/>
  <c r="AD52" i="2" a="1"/>
  <c r="K166" i="2" a="1"/>
  <c r="H61" i="2" a="1"/>
  <c r="J52" i="2" a="1"/>
  <c r="Z79" i="2" a="1"/>
  <c r="AA44" i="2" a="1"/>
  <c r="K157" i="2" a="1"/>
  <c r="AA4" i="2" a="1"/>
  <c r="X57" i="2" a="1"/>
  <c r="I182" i="2" a="1"/>
  <c r="K10" i="2" a="1"/>
  <c r="K200" i="2" a="1"/>
  <c r="K151" i="2" a="1"/>
  <c r="AF72" i="2" a="1"/>
  <c r="AD26" i="2" a="1"/>
  <c r="I199" i="2" a="1"/>
  <c r="K154" i="2" a="1"/>
  <c r="H121" i="2" a="1"/>
  <c r="AB94" i="2" a="1"/>
  <c r="H3" i="2" a="1"/>
  <c r="K165" i="2" a="1"/>
  <c r="AE43" i="2" a="1"/>
  <c r="AA55" i="2" a="1"/>
  <c r="J148" i="2" a="1"/>
  <c r="AF36" i="2" a="1"/>
  <c r="AA57" i="2" a="1"/>
  <c r="AF71" i="2" a="1"/>
  <c r="AE97" i="2" a="1"/>
  <c r="H28" i="2" a="1"/>
  <c r="AC49" i="2" a="1"/>
  <c r="AD16" i="2" a="1"/>
  <c r="K69" i="2" a="1"/>
  <c r="AE55" i="2" a="1"/>
  <c r="I145" i="2" a="1"/>
  <c r="G180" i="2" a="1"/>
  <c r="G168" i="2" a="1"/>
  <c r="AA53" i="2" a="1"/>
  <c r="I155" i="2" a="1"/>
  <c r="X50" i="2" a="1"/>
  <c r="H62" i="2" a="1"/>
  <c r="J84" i="2" a="1"/>
  <c r="AA49" i="2" a="1"/>
  <c r="I193" i="2" a="1"/>
  <c r="I150" i="2" a="1"/>
  <c r="J200" i="2" a="1"/>
  <c r="X76" i="2" a="1"/>
  <c r="K29" i="2" a="1"/>
  <c r="I131" i="2" a="1"/>
  <c r="AB36" i="2" a="1"/>
  <c r="I3" i="2" a="1"/>
  <c r="J119" i="2" a="1"/>
  <c r="H141" i="2" a="1"/>
  <c r="G44" i="2" a="1"/>
  <c r="AC27" i="2" a="1"/>
  <c r="K135" i="2" a="1"/>
  <c r="H102" i="2" a="1"/>
  <c r="Y49" i="2" a="1"/>
  <c r="AF69" i="2" a="1"/>
  <c r="AE92" i="2" a="1"/>
  <c r="J89" i="2" a="1"/>
  <c r="Z37" i="2" a="1"/>
  <c r="G197" i="2" a="1"/>
  <c r="K124" i="2" a="1"/>
  <c r="AG52" i="2" a="1"/>
  <c r="K55" i="2" a="1"/>
  <c r="H101" i="2" a="1"/>
  <c r="AF15" i="2" a="1"/>
  <c r="K152" i="2" a="1"/>
  <c r="K175" i="2" a="1"/>
  <c r="K202" i="2" a="1"/>
  <c r="I68" i="2" a="1"/>
  <c r="I113" i="2" a="1"/>
  <c r="G160" i="2" a="1"/>
  <c r="G185" i="2" a="1"/>
  <c r="H44" i="2" a="1"/>
  <c r="AF86" i="2" a="1"/>
  <c r="J63" i="2" a="1"/>
  <c r="AG61" i="2" a="1"/>
  <c r="K134" i="2" a="1"/>
  <c r="J194" i="2" a="1"/>
  <c r="K185" i="2" a="1"/>
  <c r="AF10" i="2" a="1"/>
  <c r="AG46" i="2" a="1"/>
  <c r="Z48" i="2" a="1"/>
  <c r="I153" i="2" a="1"/>
  <c r="AD4" i="2" a="1"/>
  <c r="I171" i="2" a="1"/>
  <c r="G104" i="2" a="1"/>
  <c r="AF14" i="2" a="1"/>
  <c r="G29" i="2" a="1"/>
  <c r="H178" i="2" a="1"/>
  <c r="Z42" i="2" a="1"/>
  <c r="G80" i="2" a="1"/>
  <c r="I61" i="2" a="1"/>
  <c r="Y52" i="2" a="1"/>
  <c r="J131" i="2" a="1"/>
  <c r="AG5" i="2" a="1"/>
  <c r="AE51" i="2" a="1"/>
  <c r="AA48" i="2" a="1"/>
  <c r="G14" i="2" a="1"/>
  <c r="G137" i="2" a="1"/>
  <c r="AE10" i="2" a="1"/>
  <c r="J58" i="2" a="1"/>
  <c r="G116" i="2" a="1"/>
  <c r="AC56" i="2" a="1"/>
  <c r="AF41" i="2" a="1"/>
  <c r="H19" i="2" a="1"/>
  <c r="J54" i="2" a="1"/>
  <c r="X99" i="2" a="1"/>
  <c r="K50" i="2" a="1"/>
  <c r="Z61" i="2" a="1"/>
  <c r="AF29" i="2" a="1"/>
  <c r="Z84" i="2" a="1"/>
  <c r="AD50" i="2" a="1"/>
  <c r="I126" i="2" a="1"/>
  <c r="H154" i="2" a="1"/>
  <c r="K77" i="2" a="1"/>
  <c r="AB19" i="2" a="1"/>
  <c r="J188" i="2" a="1"/>
  <c r="G195" i="2" a="1"/>
  <c r="AB54" i="2" a="1"/>
  <c r="K173" i="2" a="1"/>
  <c r="G99" i="2" a="1"/>
  <c r="H59" i="2" a="1"/>
  <c r="I66" i="2" a="1"/>
  <c r="AD95" i="2" a="1"/>
  <c r="AF39" i="2" a="1"/>
  <c r="AG33" i="2" a="1"/>
  <c r="Y55" i="2" a="1"/>
  <c r="Y3" i="2" a="1"/>
  <c r="Z65" i="2" a="1"/>
  <c r="K76" i="2" a="1"/>
  <c r="I160" i="2" a="1"/>
  <c r="I125" i="2" a="1"/>
  <c r="AD96" i="2" a="1"/>
  <c r="AG12" i="2" a="1"/>
  <c r="AG85" i="2" a="1"/>
  <c r="I92" i="2" a="1"/>
  <c r="H167" i="2" a="1"/>
  <c r="H116" i="2" a="1"/>
  <c r="G143" i="2" a="1"/>
  <c r="G6" i="2" a="1"/>
  <c r="AE41" i="2" a="1"/>
  <c r="AF65" i="2" a="1"/>
  <c r="AA59" i="2" a="1"/>
  <c r="H25" i="2" a="1"/>
  <c r="AE36" i="2" a="1"/>
  <c r="AB57" i="2" a="1"/>
  <c r="H202" i="2" a="1"/>
  <c r="I114" i="2" a="1"/>
  <c r="H113" i="2" a="1"/>
  <c r="AC85" i="2" a="1"/>
  <c r="Z57" i="2" a="1"/>
  <c r="AG45" i="2" a="1"/>
  <c r="AB16" i="2" a="1"/>
  <c r="X46" i="2" a="1"/>
  <c r="AE79" i="2" a="1"/>
  <c r="K36" i="2" a="1"/>
  <c r="AF35" i="2" a="1"/>
  <c r="J136" i="2" a="1"/>
  <c r="K140" i="2" a="1"/>
  <c r="AB4" i="2" a="1"/>
  <c r="K188" i="2" a="1"/>
  <c r="AB77" i="2" a="1"/>
  <c r="AG78" i="2" a="1"/>
  <c r="AC97" i="2" a="1"/>
  <c r="G147" i="2" a="1"/>
  <c r="I184" i="2" a="1"/>
  <c r="AF66" i="2" a="1"/>
  <c r="G133" i="2" a="1"/>
  <c r="G97" i="2" a="1"/>
  <c r="G179" i="2" a="1"/>
  <c r="G22" i="2" a="1"/>
  <c r="J57" i="2" a="1"/>
  <c r="AG75" i="2" a="1"/>
  <c r="K52" i="2" a="1"/>
  <c r="G177" i="2" a="1"/>
  <c r="AG35" i="2" a="1"/>
  <c r="I101" i="2" a="1"/>
  <c r="AE13" i="2" a="1"/>
  <c r="AB39" i="2" a="1"/>
  <c r="G139" i="2" a="1"/>
  <c r="AF68" i="2" a="1"/>
  <c r="AC22" i="2" a="1"/>
  <c r="K191" i="2" a="1"/>
  <c r="Z17" i="2" a="1"/>
  <c r="AF94" i="2" a="1"/>
  <c r="I11" i="2" a="1"/>
  <c r="AD89" i="2" a="1"/>
  <c r="K119" i="2" a="1"/>
  <c r="Y45" i="2" a="1"/>
  <c r="K196" i="2" a="1"/>
  <c r="J134" i="2" a="1"/>
  <c r="X20" i="2" a="1"/>
  <c r="J199" i="2" a="1"/>
  <c r="AE33" i="2" a="1"/>
  <c r="G135" i="2" a="1"/>
  <c r="H132" i="2" a="1"/>
  <c r="K12" i="2" a="1"/>
  <c r="AA86" i="2" a="1"/>
  <c r="K96" i="2" a="1"/>
  <c r="AC5" i="2" a="1"/>
  <c r="Z52" i="2" a="1"/>
  <c r="H192" i="2" a="1"/>
  <c r="I67" i="2" a="1"/>
  <c r="X55" i="2" a="1"/>
  <c r="H70" i="2" a="1"/>
  <c r="H193" i="2" a="1"/>
  <c r="AE59" i="2" a="1"/>
  <c r="K61" i="2" a="1"/>
  <c r="AE12" i="2" a="1"/>
  <c r="H23" i="2" a="1"/>
  <c r="G76" i="2" a="1"/>
  <c r="J192" i="2" a="1"/>
  <c r="AC32" i="2" a="1"/>
  <c r="AE50" i="2" a="1"/>
  <c r="J185" i="2" a="1"/>
  <c r="K116" i="2" a="1"/>
  <c r="H98" i="2" a="1"/>
  <c r="AA69" i="2" a="1"/>
  <c r="J160" i="2" a="1"/>
  <c r="J17" i="2" a="1"/>
  <c r="AA80" i="2" a="1"/>
  <c r="AG93" i="2" a="1"/>
  <c r="AE70" i="2" a="1"/>
  <c r="AD79" i="2" a="1"/>
  <c r="J113" i="2" a="1"/>
  <c r="H47" i="2" a="1"/>
  <c r="J74" i="2" a="1"/>
  <c r="Z69" i="2" a="1"/>
  <c r="Z82" i="2" a="1"/>
  <c r="G21" i="2" a="1"/>
  <c r="AA97" i="2" a="1"/>
  <c r="AE74" i="2" a="1"/>
  <c r="Z6" i="2" a="1"/>
  <c r="AF70" i="2" a="1"/>
  <c r="Z85" i="2" a="1"/>
  <c r="AF40" i="2" a="1"/>
  <c r="Y11" i="2" a="1"/>
  <c r="X33" i="2" a="1"/>
  <c r="G192" i="2" a="1"/>
  <c r="I13" i="2" a="1"/>
  <c r="G60" i="2" a="1"/>
  <c r="G129" i="2" a="1"/>
  <c r="H148" i="2" a="1"/>
  <c r="AA43" i="2" a="1"/>
  <c r="H45" i="2" a="1"/>
  <c r="AF52" i="2" a="1"/>
  <c r="Z9" i="2" a="1"/>
  <c r="AC74" i="2" a="1"/>
  <c r="J132" i="2" a="1"/>
  <c r="G148" i="2" a="1"/>
  <c r="I132" i="2" a="1"/>
  <c r="I185" i="2" a="1"/>
  <c r="H43" i="2" a="1"/>
  <c r="I86" i="2" a="1"/>
  <c r="H105" i="2" a="1"/>
  <c r="AG83" i="2" a="1"/>
  <c r="H183" i="2" a="1"/>
  <c r="AD13" i="2" a="1"/>
  <c r="AA68" i="2" a="1"/>
  <c r="AC99" i="2" a="1"/>
  <c r="I27" i="2" a="1"/>
  <c r="AB8" i="2" a="1"/>
  <c r="Y34" i="2" a="1"/>
  <c r="X7" i="2" a="1"/>
  <c r="AB87" i="2" a="1"/>
  <c r="Z98" i="2" a="1"/>
  <c r="J109" i="2" a="1"/>
  <c r="AA88" i="2" a="1"/>
  <c r="AA63" i="2" a="1"/>
  <c r="G193" i="2" a="1"/>
  <c r="H52" i="2" a="1"/>
  <c r="AC88" i="2" a="1"/>
  <c r="Z75" i="2" a="1"/>
  <c r="K54" i="2" a="1"/>
  <c r="J186" i="2" a="1"/>
  <c r="J39" i="2" a="1"/>
  <c r="I70" i="2" a="1"/>
  <c r="AB74" i="2" a="1"/>
  <c r="AC95" i="2" a="1"/>
  <c r="X82" i="2" a="1"/>
  <c r="H20" i="2" a="1"/>
  <c r="AG80" i="2" a="1"/>
  <c r="G49" i="2" a="1"/>
  <c r="J94" i="2" a="1"/>
  <c r="AG9" i="2" a="1"/>
  <c r="I122" i="2" a="1"/>
  <c r="AG74" i="2" a="1"/>
  <c r="Z76" i="2" a="1"/>
  <c r="H75" i="2" a="1"/>
  <c r="Y36" i="2" a="1"/>
  <c r="AA77" i="2" a="1"/>
  <c r="H99" i="2" a="1"/>
  <c r="AE82" i="2" a="1"/>
  <c r="X67" i="2" a="1"/>
  <c r="H78" i="2" a="1"/>
  <c r="Y17" i="2" a="1"/>
  <c r="Z64" i="2" a="1"/>
  <c r="AF78" i="2" a="1"/>
  <c r="AF93" i="2" a="1"/>
  <c r="AC84" i="2" a="1"/>
  <c r="Z81" i="2" a="1"/>
  <c r="Y43" i="2" a="1"/>
  <c r="I152" i="2" a="1"/>
  <c r="AG55" i="2" a="1"/>
  <c r="Y74" i="2" a="1"/>
  <c r="AE94" i="2" a="1"/>
  <c r="H65" i="2" a="1"/>
  <c r="H191" i="2" a="1"/>
  <c r="AA83" i="2" a="1"/>
  <c r="K149" i="2" a="1"/>
  <c r="K58" i="2" a="1"/>
  <c r="AC70" i="2" a="1"/>
  <c r="Y28" i="2" a="1"/>
  <c r="I29" i="2" a="1"/>
  <c r="AD93" i="2" a="1"/>
  <c r="X39" i="2" a="1"/>
  <c r="H117" i="2" a="1"/>
  <c r="K193" i="2" a="1"/>
  <c r="H18" i="2" a="1"/>
  <c r="H152" i="2" a="1"/>
  <c r="I148" i="2" a="1"/>
  <c r="J49" i="2" a="1"/>
  <c r="H83" i="2" a="1"/>
  <c r="Y60" i="2" a="1"/>
  <c r="G35" i="2" a="1"/>
  <c r="J64" i="2" a="1"/>
  <c r="H164" i="2" a="1"/>
  <c r="AF6" i="2" a="1"/>
  <c r="Z93" i="2" a="1"/>
  <c r="K24" i="2" a="1"/>
  <c r="J161" i="2" a="1"/>
  <c r="Z55" i="2" a="1"/>
  <c r="AC44" i="2" a="1"/>
  <c r="AF84" i="2" a="1"/>
  <c r="H161" i="2" a="1"/>
  <c r="AE77" i="2" a="1"/>
  <c r="I201" i="2" a="1"/>
  <c r="AD40" i="2" a="1"/>
  <c r="J70" i="2" a="1"/>
  <c r="J51" i="2" a="1"/>
  <c r="K64" i="2" a="1"/>
  <c r="AA94" i="2" a="1"/>
  <c r="J5" i="2" a="1"/>
  <c r="K118" i="2" a="1"/>
  <c r="J10" i="2" a="1"/>
  <c r="J86" i="2" a="1"/>
  <c r="G34" i="2" a="1"/>
  <c r="AF60" i="2" a="1"/>
  <c r="AE80" i="2" a="1"/>
  <c r="Z15" i="2" a="1"/>
  <c r="J75" i="2" a="1"/>
  <c r="AC9" i="2" a="1"/>
  <c r="AE48" i="2" a="1"/>
  <c r="AF4" i="2" a="1"/>
  <c r="J37" i="2" a="1"/>
  <c r="I186" i="2" a="1"/>
  <c r="J180" i="2" a="1"/>
  <c r="AB49" i="2" a="1"/>
  <c r="J85" i="2" a="1"/>
  <c r="AB10" i="2" a="1"/>
  <c r="J68" i="2" a="1"/>
  <c r="Z10" i="2" a="1"/>
  <c r="J40" i="2" a="1"/>
  <c r="AA73" i="2" a="1"/>
  <c r="AB15" i="2" a="1"/>
  <c r="AE90" i="2" a="1"/>
  <c r="AC69" i="2" a="1"/>
  <c r="G83" i="2" a="1"/>
  <c r="AB34" i="2" a="1"/>
  <c r="K31" i="2" a="1"/>
  <c r="X48" i="2" a="1"/>
  <c r="AA38" i="2" a="1"/>
  <c r="Y39" i="2" a="1"/>
  <c r="G198" i="2" a="1"/>
  <c r="X41" i="2" a="1"/>
  <c r="AC48" i="2" a="1"/>
  <c r="AF89" i="2" a="1"/>
  <c r="I180" i="2" a="1"/>
  <c r="K78" i="2" a="1"/>
  <c r="H124" i="2" a="1"/>
  <c r="Z51" i="2" a="1"/>
  <c r="Z62" i="2" a="1"/>
  <c r="K60" i="2" a="1"/>
  <c r="Y97" i="2" a="1"/>
  <c r="Y84" i="2" a="1"/>
  <c r="K21" i="2" a="1"/>
  <c r="X81" i="2" a="1"/>
  <c r="H174" i="2" a="1"/>
  <c r="I35" i="2" a="1"/>
  <c r="I191" i="2" a="1"/>
  <c r="J151" i="2" a="1"/>
  <c r="H41" i="2" a="1"/>
  <c r="AA50" i="2" a="1"/>
  <c r="AG54" i="2" a="1"/>
  <c r="AE16" i="2" a="1"/>
  <c r="I53" i="2" a="1"/>
  <c r="AG30" i="2" a="1"/>
  <c r="I81" i="2" a="1"/>
  <c r="AB80" i="2" a="1"/>
  <c r="AC15" i="2" a="1"/>
  <c r="J12" i="2" a="1"/>
  <c r="AE15" i="2" a="1"/>
  <c r="I18" i="2" a="1"/>
  <c r="K137" i="2" a="1"/>
  <c r="G43" i="2" a="1"/>
  <c r="G77" i="2" a="1"/>
  <c r="I143" i="2" a="1"/>
  <c r="K129" i="2" a="1"/>
  <c r="K71" i="2" a="1"/>
  <c r="Z71" i="2" a="1"/>
  <c r="H89" i="2" a="1"/>
  <c r="AC51" i="2" a="1"/>
  <c r="H109" i="2" a="1"/>
  <c r="AA64" i="2" a="1"/>
  <c r="H16" i="2" a="1"/>
  <c r="Y21" i="2" a="1"/>
  <c r="I45" i="2" a="1"/>
  <c r="AG71" i="2" a="1"/>
  <c r="J143" i="2" a="1"/>
  <c r="J158" i="2" a="1"/>
  <c r="AA52" i="2" a="1"/>
  <c r="AD61" i="2" a="1"/>
  <c r="AE6" i="2" a="1"/>
  <c r="K146" i="2" a="1"/>
  <c r="Z80" i="2" a="1"/>
  <c r="H201" i="2" a="1"/>
  <c r="G10" i="2" a="1"/>
  <c r="X86" i="2" a="1"/>
  <c r="AA92" i="2" a="1"/>
  <c r="I46" i="2" a="1"/>
  <c r="Y66" i="2" a="1"/>
  <c r="G113" i="2" a="1"/>
  <c r="Z96" i="2" a="1"/>
  <c r="G55" i="2" a="1"/>
  <c r="AA42" i="2" a="1"/>
  <c r="X19" i="2" a="1"/>
  <c r="AB52" i="2" a="1"/>
  <c r="AE91" i="2" a="1"/>
  <c r="I5" i="2" a="1"/>
  <c r="AC98" i="2" a="1"/>
  <c r="G48" i="2" a="1"/>
  <c r="I158" i="2" a="1"/>
  <c r="G7" i="2" a="1"/>
  <c r="G42" i="2" a="1"/>
  <c r="K40" i="2" a="1"/>
  <c r="X35" i="2" a="1"/>
  <c r="G110" i="2" a="1"/>
  <c r="G169" i="2" a="1"/>
  <c r="G59" i="2" a="1"/>
  <c r="H157" i="2" a="1"/>
  <c r="H56" i="2" a="1"/>
  <c r="J174" i="2" a="1"/>
  <c r="K88" i="2" a="1"/>
  <c r="Y58" i="2" a="1"/>
  <c r="H185" i="2" a="1"/>
  <c r="AG90" i="2" a="1"/>
  <c r="AD69" i="2" a="1"/>
  <c r="AD49" i="2" a="1"/>
  <c r="X29" i="2" a="1"/>
  <c r="H106" i="2" a="1"/>
  <c r="AF64" i="2" a="1"/>
  <c r="I32" i="2" a="1"/>
  <c r="Z54" i="2" a="1"/>
  <c r="AB78" i="2" a="1"/>
  <c r="H137" i="2" a="1"/>
  <c r="Y85" i="2" a="1"/>
  <c r="I95" i="2" a="1"/>
  <c r="X10" i="2" a="1"/>
  <c r="Y99" i="2" a="1"/>
  <c r="G8" i="2" a="1"/>
  <c r="Z21" i="2" a="1"/>
  <c r="H21" i="2" a="1"/>
  <c r="I8" i="2" a="1"/>
  <c r="AE45" i="2" a="1"/>
  <c r="Y71" i="2" a="1"/>
  <c r="K86" i="2" a="1"/>
  <c r="AD6" i="2" a="1"/>
  <c r="H129" i="2" a="1"/>
  <c r="AB66" i="2" a="1"/>
  <c r="AG95" i="2" a="1"/>
  <c r="H140" i="2" a="1"/>
  <c r="G109" i="2" a="1"/>
  <c r="K139" i="2" a="1"/>
  <c r="H144" i="2" a="1"/>
  <c r="Y57" i="2" a="1"/>
  <c r="K147" i="2" a="1"/>
  <c r="G136" i="2" a="1"/>
  <c r="AE44" i="2" a="1"/>
  <c r="G67" i="2" a="1"/>
  <c r="AD19" i="2" a="1"/>
  <c r="G150" i="2" a="1"/>
  <c r="Z13" i="2" a="1"/>
  <c r="AD43" i="2" a="1"/>
  <c r="H72" i="2" a="1"/>
  <c r="X94" i="2" a="1"/>
  <c r="K125" i="2" a="1"/>
  <c r="AF97" i="2" a="1"/>
  <c r="G100" i="2" a="1"/>
  <c r="K42" i="2" a="1"/>
  <c r="K49" i="2" a="1"/>
  <c r="G125" i="2" a="1"/>
  <c r="AD81" i="2" a="1"/>
  <c r="H32" i="2" a="1"/>
  <c r="G162" i="2" a="1"/>
  <c r="G183" i="2" a="1"/>
  <c r="I76" i="2" a="1"/>
  <c r="K123" i="2" a="1"/>
  <c r="G64" i="2" a="1"/>
  <c r="AA87" i="2" a="1"/>
  <c r="X37" i="2" a="1"/>
  <c r="AD48" i="2" a="1"/>
  <c r="I151" i="2" a="1"/>
  <c r="X66" i="2" a="1"/>
  <c r="AB56" i="2" a="1"/>
  <c r="J178" i="2" a="1"/>
  <c r="J170" i="2" a="1"/>
  <c r="AF55" i="2" a="1"/>
  <c r="AF5" i="2" a="1"/>
  <c r="AF13" i="2" a="1"/>
  <c r="H29" i="2" a="1"/>
  <c r="AB73" i="2" a="1"/>
  <c r="G20" i="2" a="1"/>
  <c r="I176" i="2" a="1"/>
  <c r="AE76" i="2" a="1"/>
  <c r="AE39" i="2" a="1"/>
  <c r="I47" i="2" a="1"/>
  <c r="G131" i="2" a="1"/>
  <c r="AG36" i="2" a="1"/>
  <c r="AE4" i="2" a="1"/>
  <c r="J41" i="2" a="1"/>
  <c r="J145" i="2" a="1"/>
  <c r="K199" i="2" a="1"/>
  <c r="Z58" i="2" a="1"/>
  <c r="Y15" i="2" a="1"/>
  <c r="G175" i="2" a="1"/>
  <c r="AC4" i="2" a="1"/>
  <c r="X90" i="2" a="1"/>
  <c r="X15" i="2" a="1"/>
  <c r="AD59" i="2" a="1"/>
  <c r="AF57" i="2" a="1"/>
  <c r="AD9" i="2" a="1"/>
  <c r="G17" i="2" a="1"/>
  <c r="H184" i="2" a="1"/>
  <c r="J187" i="2" a="1"/>
  <c r="AF42" i="2" a="1"/>
  <c r="K101" i="2" a="1"/>
  <c r="H187" i="2" a="1"/>
  <c r="X80" i="2" a="1"/>
  <c r="G157" i="2" a="1"/>
  <c r="Y29" i="2" a="1"/>
  <c r="AA17" i="2" a="1"/>
  <c r="AG84" i="2" a="1"/>
  <c r="AB97" i="2" a="1"/>
  <c r="H15" i="2" a="1"/>
  <c r="X42" i="2" a="1"/>
  <c r="K91" i="2" a="1"/>
  <c r="H4" i="2" a="1"/>
  <c r="K177" i="2" a="1"/>
  <c r="J176" i="2" a="1"/>
  <c r="AF50" i="2" a="1"/>
  <c r="I177" i="2" a="1"/>
  <c r="AC45" i="2" a="1"/>
  <c r="Y70" i="2" a="1"/>
  <c r="Y50" i="2" a="1"/>
  <c r="H39" i="2" a="1"/>
  <c r="AG10" i="2" a="1"/>
  <c r="K111" i="2" a="1"/>
  <c r="AC58" i="2" a="1"/>
  <c r="AC8" i="2" a="1"/>
  <c r="J150" i="2" a="1"/>
  <c r="J73" i="2" a="1"/>
  <c r="G171" i="2" a="1"/>
  <c r="AD29" i="2" a="1"/>
  <c r="AG23" i="2" a="1"/>
  <c r="AA56" i="2" a="1"/>
  <c r="AB88" i="2" a="1"/>
  <c r="AB90" i="2" a="1"/>
  <c r="I22" i="2" a="1"/>
  <c r="AB14" i="2" a="1"/>
  <c r="I48" i="2" a="1"/>
  <c r="H26" i="2" a="1"/>
  <c r="AA98" i="2" a="1"/>
  <c r="AA61" i="2" a="1"/>
  <c r="G52" i="2" a="1"/>
  <c r="X30" i="2" a="1"/>
  <c r="I10" i="2" a="1"/>
  <c r="K25" i="2" a="1"/>
  <c r="K70" i="2" a="1"/>
  <c r="Y80" i="2" a="1"/>
  <c r="AC30" i="2" a="1"/>
  <c r="G142" i="2" a="1"/>
  <c r="H60" i="2" a="1"/>
  <c r="J147" i="2" a="1"/>
  <c r="J77" i="2" a="1"/>
  <c r="I104" i="2" a="1"/>
  <c r="AB24" i="2" a="1"/>
  <c r="X78" i="2" a="1"/>
  <c r="AC73" i="2" a="1"/>
  <c r="G86" i="2" a="1"/>
  <c r="AA62" i="2" a="1"/>
  <c r="AB61" i="2" a="1"/>
  <c r="AB53" i="2" a="1"/>
  <c r="AA32" i="2" a="1"/>
  <c r="AB18" i="2" a="1"/>
  <c r="J198" i="2" a="1"/>
  <c r="G46" i="2" a="1"/>
  <c r="J32" i="2" a="1"/>
  <c r="Z26" i="2" a="1"/>
  <c r="H7" i="2" a="1"/>
  <c r="I41" i="2" a="1"/>
  <c r="AC24" i="2" a="1"/>
  <c r="Y33" i="2" a="1"/>
  <c r="K22" i="2" a="1"/>
  <c r="I30" i="2" a="1"/>
  <c r="K8" i="2" a="1"/>
  <c r="H6" i="2" a="1"/>
  <c r="AE58" i="2" a="1"/>
  <c r="AC59" i="2" a="1"/>
  <c r="I62" i="2" a="1"/>
  <c r="AD36" i="2" a="1"/>
  <c r="AC80" i="2" a="1"/>
  <c r="X6" i="2" a="1"/>
  <c r="H172" i="2" a="1"/>
  <c r="AA65" i="2" a="1"/>
  <c r="K18" i="2" a="1"/>
  <c r="G138" i="2" a="1"/>
  <c r="K107" i="2" a="1"/>
  <c r="X44" i="2" a="1"/>
  <c r="H168" i="2" a="1"/>
  <c r="G54" i="2" a="1"/>
  <c r="J13" i="2" a="1"/>
  <c r="X54" i="2" a="1"/>
  <c r="G187" i="2" a="1"/>
  <c r="I173" i="2" a="1"/>
  <c r="J18" i="2" a="1"/>
  <c r="AG99" i="2" a="1"/>
  <c r="AF73" i="2" a="1"/>
  <c r="AC72" i="2" a="1"/>
  <c r="H176" i="2" a="1"/>
  <c r="Y47" i="2" a="1"/>
  <c r="J140" i="2" a="1"/>
  <c r="AD55" i="2" a="1"/>
  <c r="AF90" i="2" a="1"/>
  <c r="H27" i="2" a="1"/>
  <c r="G3" i="2" a="1"/>
  <c r="K108" i="2" a="1"/>
  <c r="AB59" i="2" a="1"/>
  <c r="J138" i="2" a="1"/>
  <c r="AC82" i="2" a="1"/>
  <c r="K53" i="2" a="1"/>
  <c r="K143" i="2" a="1"/>
  <c r="AA3" i="2" a="1"/>
  <c r="H96" i="2" a="1"/>
  <c r="Z24" i="2" a="1"/>
  <c r="AD63" i="2" a="1"/>
  <c r="AB55" i="2" a="1"/>
  <c r="AB83" i="2" a="1"/>
  <c r="J27" i="2" a="1"/>
  <c r="Y95" i="2" a="1"/>
  <c r="J26" i="2" a="1"/>
  <c r="H118" i="2" a="1"/>
  <c r="H91" i="2" a="1"/>
  <c r="J116" i="2" a="1"/>
  <c r="AB64" i="2" a="1"/>
  <c r="AG88" i="2" a="1"/>
  <c r="Y88" i="2" a="1"/>
  <c r="G164" i="2" a="1"/>
  <c r="J155" i="2" a="1"/>
  <c r="J112" i="2" a="1"/>
  <c r="Y20" i="2" a="1"/>
  <c r="I111" i="2" a="1"/>
  <c r="G108" i="2" a="1"/>
  <c r="AG92" i="2" a="1"/>
  <c r="J60" i="2" a="1"/>
  <c r="H81" i="2" a="1"/>
  <c r="AG21" i="2" a="1"/>
  <c r="AB11" i="2" a="1"/>
  <c r="AC91" i="2" a="1"/>
  <c r="H123" i="2" a="1"/>
  <c r="K131" i="2" a="1"/>
  <c r="Y8" i="2" a="1"/>
  <c r="AF99" i="2" a="1"/>
  <c r="AG38" i="2" a="1"/>
  <c r="AC63" i="2" a="1"/>
  <c r="I119" i="2" a="1"/>
  <c r="I172" i="2" a="1"/>
  <c r="X25" i="2" a="1"/>
  <c r="AB6" i="2" a="1"/>
  <c r="K83" i="2" a="1"/>
  <c r="H139" i="2" a="1"/>
  <c r="J22" i="2" a="1"/>
  <c r="Y16" i="2" a="1"/>
  <c r="I161" i="2" a="1"/>
  <c r="I106" i="2" a="1"/>
  <c r="AF44" i="2" a="1"/>
  <c r="I6" i="2" a="1"/>
  <c r="G124" i="2" a="1"/>
  <c r="K5" i="2" a="1"/>
  <c r="AE73" i="2" a="1"/>
  <c r="AD94" i="2" a="1"/>
  <c r="I102" i="2" a="1"/>
  <c r="X83" i="2" a="1"/>
  <c r="J56" i="2" a="1"/>
  <c r="AD38" i="2" a="1"/>
  <c r="AF34" i="2" a="1"/>
  <c r="K74" i="2" a="1"/>
  <c r="G123" i="2" a="1"/>
  <c r="AG68" i="2" a="1"/>
  <c r="I82" i="2" a="1"/>
  <c r="G165" i="2" a="1"/>
  <c r="Y38" i="2" a="1"/>
  <c r="AC89" i="2" a="1"/>
  <c r="K14" i="2" a="1"/>
  <c r="AE21" i="2" a="1"/>
  <c r="K113" i="2" a="1"/>
  <c r="H85" i="2" a="1"/>
  <c r="Z11" i="2" a="1"/>
  <c r="K43" i="2" a="1"/>
  <c r="K103" i="2" a="1"/>
  <c r="H175" i="2" a="1"/>
  <c r="K133" i="2" a="1"/>
  <c r="AE47" i="2" a="1"/>
  <c r="H35" i="2" a="1"/>
  <c r="H127" i="2" a="1"/>
  <c r="J3" i="2" a="1"/>
  <c r="Z27" i="2" a="1"/>
  <c r="J146" i="2" a="1"/>
  <c r="G196" i="2" a="1"/>
  <c r="AE22" i="2" a="1"/>
  <c r="I4" i="2" a="1"/>
  <c r="I189" i="2" a="1"/>
  <c r="K67" i="2" a="1"/>
  <c r="I162" i="2" a="1"/>
  <c r="AB86" i="2" a="1"/>
  <c r="AE67" i="2" a="1"/>
  <c r="K186" i="2" a="1"/>
  <c r="AE60" i="2" a="1"/>
  <c r="G121" i="2" a="1"/>
  <c r="AG11" i="2" a="1"/>
  <c r="AE99" i="2" a="1"/>
  <c r="AD27" i="2" a="1"/>
  <c r="Y59" i="2" a="1"/>
  <c r="I36" i="2" a="1"/>
  <c r="X58" i="2" a="1"/>
  <c r="Y94" i="2" a="1"/>
  <c r="K7" i="2" a="1"/>
  <c r="J47" i="2" a="1"/>
  <c r="Z89" i="2" a="1"/>
  <c r="K38" i="2" a="1"/>
  <c r="AD24" i="2" a="1"/>
  <c r="I74" i="2" a="1"/>
  <c r="K68" i="2" a="1"/>
  <c r="AF12" i="2" a="1"/>
  <c r="H86" i="2" a="1"/>
  <c r="AB38" i="2" a="1"/>
  <c r="AC46" i="2" a="1"/>
  <c r="H197" i="2" a="1"/>
  <c r="AD87" i="2" a="1"/>
  <c r="AG57" i="2" a="1"/>
  <c r="K117" i="2" a="1"/>
  <c r="X43" i="2" a="1"/>
  <c r="AF25" i="2" a="1"/>
  <c r="AA22" i="2" a="1"/>
  <c r="X88" i="2" a="1"/>
  <c r="I156" i="2" a="1"/>
  <c r="J45" i="2" a="1"/>
  <c r="Z34" i="2" a="1"/>
  <c r="H155" i="2" a="1"/>
  <c r="I139" i="2" a="1"/>
  <c r="AF88" i="2" a="1"/>
  <c r="H180" i="2" a="1"/>
  <c r="X69" i="2" a="1"/>
  <c r="AB13" i="2" a="1"/>
  <c r="Y42" i="2" a="1"/>
  <c r="Y42" i="2" l="1"/>
  <c r="AB13" i="2"/>
  <c r="X69" i="2"/>
  <c r="H180" i="2"/>
  <c r="AF88" i="2"/>
  <c r="I139" i="2"/>
  <c r="H155" i="2"/>
  <c r="Z34" i="2"/>
  <c r="J45" i="2"/>
  <c r="I156" i="2"/>
  <c r="X88" i="2"/>
  <c r="AA22" i="2"/>
  <c r="AF25" i="2"/>
  <c r="X43" i="2"/>
  <c r="K117" i="2"/>
  <c r="AG57" i="2"/>
  <c r="AD87" i="2"/>
  <c r="H197" i="2"/>
  <c r="AC46" i="2"/>
  <c r="AB38" i="2"/>
  <c r="H86" i="2"/>
  <c r="AF12" i="2"/>
  <c r="K68" i="2"/>
  <c r="I74" i="2"/>
  <c r="AD24" i="2"/>
  <c r="K38" i="2"/>
  <c r="Z89" i="2"/>
  <c r="J47" i="2"/>
  <c r="K7" i="2"/>
  <c r="Y94" i="2"/>
  <c r="X58" i="2"/>
  <c r="I36" i="2"/>
  <c r="Y59" i="2"/>
  <c r="AD27" i="2"/>
  <c r="AE99" i="2"/>
  <c r="AG11" i="2"/>
  <c r="G121" i="2"/>
  <c r="AE60" i="2"/>
  <c r="K186" i="2"/>
  <c r="AE67" i="2"/>
  <c r="AB86" i="2"/>
  <c r="I162" i="2"/>
  <c r="K67" i="2"/>
  <c r="I189" i="2"/>
  <c r="I4" i="2"/>
  <c r="AE22" i="2"/>
  <c r="G196" i="2"/>
  <c r="J146" i="2"/>
  <c r="Z27" i="2"/>
  <c r="J3" i="2"/>
  <c r="H127" i="2"/>
  <c r="H35" i="2"/>
  <c r="AE47" i="2"/>
  <c r="K133" i="2"/>
  <c r="H175" i="2"/>
  <c r="K103" i="2"/>
  <c r="K43" i="2"/>
  <c r="Z11" i="2"/>
  <c r="H85" i="2"/>
  <c r="K113" i="2"/>
  <c r="AE21" i="2"/>
  <c r="K14" i="2"/>
  <c r="AC89" i="2"/>
  <c r="Y38" i="2"/>
  <c r="G165" i="2"/>
  <c r="I82" i="2"/>
  <c r="AG68" i="2"/>
  <c r="G123" i="2"/>
  <c r="K74" i="2"/>
  <c r="AF34" i="2"/>
  <c r="AD38" i="2"/>
  <c r="J56" i="2"/>
  <c r="X83" i="2"/>
  <c r="I102" i="2"/>
  <c r="AD94" i="2"/>
  <c r="AE73" i="2"/>
  <c r="K5" i="2"/>
  <c r="G124" i="2"/>
  <c r="I6" i="2"/>
  <c r="AF44" i="2"/>
  <c r="I106" i="2"/>
  <c r="I161" i="2"/>
  <c r="Y16" i="2"/>
  <c r="J22" i="2"/>
  <c r="H139" i="2"/>
  <c r="K83" i="2"/>
  <c r="AB6" i="2"/>
  <c r="X25" i="2"/>
  <c r="I172" i="2"/>
  <c r="I119" i="2"/>
  <c r="AC63" i="2"/>
  <c r="AG38" i="2"/>
  <c r="AF99" i="2"/>
  <c r="Y8" i="2"/>
  <c r="K131" i="2"/>
  <c r="H123" i="2"/>
  <c r="AC91" i="2"/>
  <c r="AB11" i="2"/>
  <c r="AG21" i="2"/>
  <c r="H81" i="2"/>
  <c r="J60" i="2"/>
  <c r="AG92" i="2"/>
  <c r="G108" i="2"/>
  <c r="I111" i="2"/>
  <c r="Y20" i="2"/>
  <c r="J112" i="2"/>
  <c r="J155" i="2"/>
  <c r="G164" i="2"/>
  <c r="Y88" i="2"/>
  <c r="AG88" i="2"/>
  <c r="AB64" i="2"/>
  <c r="J116" i="2"/>
  <c r="H91" i="2"/>
  <c r="H118" i="2"/>
  <c r="J26" i="2"/>
  <c r="Y95" i="2"/>
  <c r="J27" i="2"/>
  <c r="AB83" i="2"/>
  <c r="AB55" i="2"/>
  <c r="AD63" i="2"/>
  <c r="Z24" i="2"/>
  <c r="H96" i="2"/>
  <c r="AA3" i="2"/>
  <c r="K143" i="2"/>
  <c r="K53" i="2"/>
  <c r="AC82" i="2"/>
  <c r="J138" i="2"/>
  <c r="AB59" i="2"/>
  <c r="K108" i="2"/>
  <c r="G3" i="2"/>
  <c r="H27" i="2"/>
  <c r="AF90" i="2"/>
  <c r="AD55" i="2"/>
  <c r="J140" i="2"/>
  <c r="Y47" i="2"/>
  <c r="H176" i="2"/>
  <c r="AC72" i="2"/>
  <c r="AF73" i="2"/>
  <c r="AG99" i="2"/>
  <c r="J18" i="2"/>
  <c r="I173" i="2"/>
  <c r="G187" i="2"/>
  <c r="X54" i="2"/>
  <c r="J13" i="2"/>
  <c r="G54" i="2"/>
  <c r="H168" i="2"/>
  <c r="X44" i="2"/>
  <c r="K107" i="2"/>
  <c r="G138" i="2"/>
  <c r="K18" i="2"/>
  <c r="AA65" i="2"/>
  <c r="H172" i="2"/>
  <c r="X6" i="2"/>
  <c r="AC80" i="2"/>
  <c r="AD36" i="2"/>
  <c r="I62" i="2"/>
  <c r="AC59" i="2"/>
  <c r="AE58" i="2"/>
  <c r="H6" i="2"/>
  <c r="K8" i="2"/>
  <c r="I30" i="2"/>
  <c r="K22" i="2"/>
  <c r="Y33" i="2"/>
  <c r="AC24" i="2"/>
  <c r="I41" i="2"/>
  <c r="H7" i="2"/>
  <c r="Z26" i="2"/>
  <c r="J32" i="2"/>
  <c r="G46" i="2"/>
  <c r="J198" i="2"/>
  <c r="AB18" i="2"/>
  <c r="AA32" i="2"/>
  <c r="AB53" i="2"/>
  <c r="AB61" i="2"/>
  <c r="AA62" i="2"/>
  <c r="G86" i="2"/>
  <c r="AC73" i="2"/>
  <c r="X78" i="2"/>
  <c r="AB24" i="2"/>
  <c r="I104" i="2"/>
  <c r="J77" i="2"/>
  <c r="J147" i="2"/>
  <c r="H60" i="2"/>
  <c r="G142" i="2"/>
  <c r="AC30" i="2"/>
  <c r="Y80" i="2"/>
  <c r="K70" i="2"/>
  <c r="K25" i="2"/>
  <c r="I10" i="2"/>
  <c r="X30" i="2"/>
  <c r="G52" i="2"/>
  <c r="AA61" i="2"/>
  <c r="AA98" i="2"/>
  <c r="H26" i="2"/>
  <c r="I48" i="2"/>
  <c r="AB14" i="2"/>
  <c r="I22" i="2"/>
  <c r="AB90" i="2"/>
  <c r="AB88" i="2"/>
  <c r="AA56" i="2"/>
  <c r="AG23" i="2"/>
  <c r="AD29" i="2"/>
  <c r="G171" i="2"/>
  <c r="J73" i="2"/>
  <c r="J150" i="2"/>
  <c r="AC8" i="2"/>
  <c r="AC58" i="2"/>
  <c r="K111" i="2"/>
  <c r="AG10" i="2"/>
  <c r="H39" i="2"/>
  <c r="Y50" i="2"/>
  <c r="Y70" i="2"/>
  <c r="AC45" i="2"/>
  <c r="I177" i="2"/>
  <c r="AF50" i="2"/>
  <c r="J176" i="2"/>
  <c r="K177" i="2"/>
  <c r="H4" i="2"/>
  <c r="K91" i="2"/>
  <c r="X42" i="2"/>
  <c r="H15" i="2"/>
  <c r="AB97" i="2"/>
  <c r="AG84" i="2"/>
  <c r="AA17" i="2"/>
  <c r="Y29" i="2"/>
  <c r="G157" i="2"/>
  <c r="X80" i="2"/>
  <c r="H187" i="2"/>
  <c r="K101" i="2"/>
  <c r="AF42" i="2"/>
  <c r="J187" i="2"/>
  <c r="H184" i="2"/>
  <c r="G17" i="2"/>
  <c r="AD9" i="2"/>
  <c r="AF57" i="2"/>
  <c r="AD59" i="2"/>
  <c r="X15" i="2"/>
  <c r="X90" i="2"/>
  <c r="AC4" i="2"/>
  <c r="G175" i="2"/>
  <c r="Y15" i="2"/>
  <c r="Z58" i="2"/>
  <c r="K199" i="2"/>
  <c r="J145" i="2"/>
  <c r="J41" i="2"/>
  <c r="AE4" i="2"/>
  <c r="AG36" i="2"/>
  <c r="G131" i="2"/>
  <c r="I47" i="2"/>
  <c r="AE39" i="2"/>
  <c r="AE76" i="2"/>
  <c r="I176" i="2"/>
  <c r="G20" i="2"/>
  <c r="AB73" i="2"/>
  <c r="H29" i="2"/>
  <c r="AF13" i="2"/>
  <c r="AF5" i="2"/>
  <c r="AF55" i="2"/>
  <c r="J170" i="2"/>
  <c r="J178" i="2"/>
  <c r="AB56" i="2"/>
  <c r="X66" i="2"/>
  <c r="I151" i="2"/>
  <c r="AD48" i="2"/>
  <c r="X37" i="2"/>
  <c r="AA87" i="2"/>
  <c r="G64" i="2"/>
  <c r="K123" i="2"/>
  <c r="I76" i="2"/>
  <c r="G183" i="2"/>
  <c r="G162" i="2"/>
  <c r="H32" i="2"/>
  <c r="AD81" i="2"/>
  <c r="G125" i="2"/>
  <c r="K49" i="2"/>
  <c r="K42" i="2"/>
  <c r="G100" i="2"/>
  <c r="AF97" i="2"/>
  <c r="K125" i="2"/>
  <c r="X94" i="2"/>
  <c r="H72" i="2"/>
  <c r="AD43" i="2"/>
  <c r="Z13" i="2"/>
  <c r="G150" i="2"/>
  <c r="AD19" i="2"/>
  <c r="G67" i="2"/>
  <c r="AE44" i="2"/>
  <c r="G136" i="2"/>
  <c r="K147" i="2"/>
  <c r="Y57" i="2"/>
  <c r="H144" i="2"/>
  <c r="K139" i="2"/>
  <c r="G109" i="2"/>
  <c r="H140" i="2"/>
  <c r="AG95" i="2"/>
  <c r="AB66" i="2"/>
  <c r="H129" i="2"/>
  <c r="AD6" i="2"/>
  <c r="K86" i="2"/>
  <c r="Y71" i="2"/>
  <c r="AE45" i="2"/>
  <c r="I8" i="2"/>
  <c r="H21" i="2"/>
  <c r="Z21" i="2"/>
  <c r="G8" i="2"/>
  <c r="Y99" i="2"/>
  <c r="X10" i="2"/>
  <c r="I95" i="2"/>
  <c r="Y85" i="2"/>
  <c r="H137" i="2"/>
  <c r="AB78" i="2"/>
  <c r="Z54" i="2"/>
  <c r="I32" i="2"/>
  <c r="AF64" i="2"/>
  <c r="H106" i="2"/>
  <c r="X29" i="2"/>
  <c r="AD49" i="2"/>
  <c r="AD69" i="2"/>
  <c r="AG90" i="2"/>
  <c r="H185" i="2"/>
  <c r="Y58" i="2"/>
  <c r="K88" i="2"/>
  <c r="J174" i="2"/>
  <c r="H56" i="2"/>
  <c r="H157" i="2"/>
  <c r="G59" i="2"/>
  <c r="G169" i="2"/>
  <c r="G110" i="2"/>
  <c r="X35" i="2"/>
  <c r="K40" i="2"/>
  <c r="G42" i="2"/>
  <c r="G7" i="2"/>
  <c r="I158" i="2"/>
  <c r="G48" i="2"/>
  <c r="AC98" i="2"/>
  <c r="I5" i="2"/>
  <c r="AE91" i="2"/>
  <c r="AB52" i="2"/>
  <c r="X19" i="2"/>
  <c r="AA42" i="2"/>
  <c r="G55" i="2"/>
  <c r="Z96" i="2"/>
  <c r="G113" i="2"/>
  <c r="Y66" i="2"/>
  <c r="I46" i="2"/>
  <c r="AA92" i="2"/>
  <c r="X86" i="2"/>
  <c r="G10" i="2"/>
  <c r="H201" i="2"/>
  <c r="Z80" i="2"/>
  <c r="K146" i="2"/>
  <c r="AE6" i="2"/>
  <c r="AD61" i="2"/>
  <c r="AA52" i="2"/>
  <c r="J158" i="2"/>
  <c r="J143" i="2"/>
  <c r="AG71" i="2"/>
  <c r="I45" i="2"/>
  <c r="Y21" i="2"/>
  <c r="H16" i="2"/>
  <c r="AA64" i="2"/>
  <c r="H109" i="2"/>
  <c r="AC51" i="2"/>
  <c r="H89" i="2"/>
  <c r="Z71" i="2"/>
  <c r="K71" i="2"/>
  <c r="K129" i="2"/>
  <c r="I143" i="2"/>
  <c r="G77" i="2"/>
  <c r="G43" i="2"/>
  <c r="K137" i="2"/>
  <c r="I18" i="2"/>
  <c r="AE15" i="2"/>
  <c r="J12" i="2"/>
  <c r="AC15" i="2"/>
  <c r="AB80" i="2"/>
  <c r="I81" i="2"/>
  <c r="AG30" i="2"/>
  <c r="I53" i="2"/>
  <c r="AE16" i="2"/>
  <c r="AG54" i="2"/>
  <c r="AA50" i="2"/>
  <c r="H41" i="2"/>
  <c r="J151" i="2"/>
  <c r="I191" i="2"/>
  <c r="I35" i="2"/>
  <c r="H174" i="2"/>
  <c r="X81" i="2"/>
  <c r="K21" i="2"/>
  <c r="Y84" i="2"/>
  <c r="Y97" i="2"/>
  <c r="K60" i="2"/>
  <c r="Z62" i="2"/>
  <c r="Z51" i="2"/>
  <c r="H124" i="2"/>
  <c r="K78" i="2"/>
  <c r="I180" i="2"/>
  <c r="AF89" i="2"/>
  <c r="AC48" i="2"/>
  <c r="X41" i="2"/>
  <c r="G198" i="2"/>
  <c r="Y39" i="2"/>
  <c r="AA38" i="2"/>
  <c r="X48" i="2"/>
  <c r="K31" i="2"/>
  <c r="AB34" i="2"/>
  <c r="G83" i="2"/>
  <c r="AC69" i="2"/>
  <c r="AE90" i="2"/>
  <c r="AB15" i="2"/>
  <c r="AA73" i="2"/>
  <c r="J40" i="2"/>
  <c r="Z10" i="2"/>
  <c r="J68" i="2"/>
  <c r="AB10" i="2"/>
  <c r="J85" i="2"/>
  <c r="AB49" i="2"/>
  <c r="J180" i="2"/>
  <c r="I186" i="2"/>
  <c r="J37" i="2"/>
  <c r="AF4" i="2"/>
  <c r="AE48" i="2"/>
  <c r="AC9" i="2"/>
  <c r="J75" i="2"/>
  <c r="Z15" i="2"/>
  <c r="AE80" i="2"/>
  <c r="AF60" i="2"/>
  <c r="G34" i="2"/>
  <c r="J86" i="2"/>
  <c r="J10" i="2"/>
  <c r="K118" i="2"/>
  <c r="J5" i="2"/>
  <c r="AA94" i="2"/>
  <c r="K64" i="2"/>
  <c r="J51" i="2"/>
  <c r="J70" i="2"/>
  <c r="AD40" i="2"/>
  <c r="I201" i="2"/>
  <c r="AE77" i="2"/>
  <c r="H161" i="2"/>
  <c r="AF84" i="2"/>
  <c r="AC44" i="2"/>
  <c r="Z55" i="2"/>
  <c r="J161" i="2"/>
  <c r="K24" i="2"/>
  <c r="Z93" i="2"/>
  <c r="AF6" i="2"/>
  <c r="H164" i="2"/>
  <c r="J64" i="2"/>
  <c r="G35" i="2"/>
  <c r="Y60" i="2"/>
  <c r="H83" i="2"/>
  <c r="J49" i="2"/>
  <c r="I148" i="2"/>
  <c r="H152" i="2"/>
  <c r="H18" i="2"/>
  <c r="K193" i="2"/>
  <c r="H117" i="2"/>
  <c r="X39" i="2"/>
  <c r="AD93" i="2"/>
  <c r="I29" i="2"/>
  <c r="Y28" i="2"/>
  <c r="AC70" i="2"/>
  <c r="K58" i="2"/>
  <c r="K149" i="2"/>
  <c r="AA83" i="2"/>
  <c r="H191" i="2"/>
  <c r="H65" i="2"/>
  <c r="AE94" i="2"/>
  <c r="Y74" i="2"/>
  <c r="AG55" i="2"/>
  <c r="I152" i="2"/>
  <c r="Y43" i="2"/>
  <c r="Z81" i="2"/>
  <c r="AC84" i="2"/>
  <c r="AF93" i="2"/>
  <c r="AF78" i="2"/>
  <c r="Z64" i="2"/>
  <c r="Y17" i="2"/>
  <c r="H78" i="2"/>
  <c r="X67" i="2"/>
  <c r="AE82" i="2"/>
  <c r="H99" i="2"/>
  <c r="AA77" i="2"/>
  <c r="Y36" i="2"/>
  <c r="H75" i="2"/>
  <c r="Z76" i="2"/>
  <c r="AG74" i="2"/>
  <c r="I122" i="2"/>
  <c r="AG9" i="2"/>
  <c r="J94" i="2"/>
  <c r="G49" i="2"/>
  <c r="AG80" i="2"/>
  <c r="H20" i="2"/>
  <c r="X82" i="2"/>
  <c r="AC95" i="2"/>
  <c r="AB74" i="2"/>
  <c r="I70" i="2"/>
  <c r="J39" i="2"/>
  <c r="J186" i="2"/>
  <c r="K54" i="2"/>
  <c r="Z75" i="2"/>
  <c r="AC88" i="2"/>
  <c r="H52" i="2"/>
  <c r="G193" i="2"/>
  <c r="AA63" i="2"/>
  <c r="AA88" i="2"/>
  <c r="J109" i="2"/>
  <c r="Z98" i="2"/>
  <c r="AB87" i="2"/>
  <c r="X7" i="2"/>
  <c r="Y34" i="2"/>
  <c r="AB8" i="2"/>
  <c r="I27" i="2"/>
  <c r="AC99" i="2"/>
  <c r="AA68" i="2"/>
  <c r="AD13" i="2"/>
  <c r="H183" i="2"/>
  <c r="AG83" i="2"/>
  <c r="H105" i="2"/>
  <c r="I86" i="2"/>
  <c r="H43" i="2"/>
  <c r="I185" i="2"/>
  <c r="I132" i="2"/>
  <c r="G148" i="2"/>
  <c r="J132" i="2"/>
  <c r="AC74" i="2"/>
  <c r="Z9" i="2"/>
  <c r="AF52" i="2"/>
  <c r="H45" i="2"/>
  <c r="AA43" i="2"/>
  <c r="H148" i="2"/>
  <c r="G129" i="2"/>
  <c r="G60" i="2"/>
  <c r="I13" i="2"/>
  <c r="G192" i="2"/>
  <c r="X33" i="2"/>
  <c r="Y11" i="2"/>
  <c r="AF40" i="2"/>
  <c r="Z85" i="2"/>
  <c r="AF70" i="2"/>
  <c r="Z6" i="2"/>
  <c r="AE74" i="2"/>
  <c r="AA97" i="2"/>
  <c r="G21" i="2"/>
  <c r="Z82" i="2"/>
  <c r="Z69" i="2"/>
  <c r="J74" i="2"/>
  <c r="H47" i="2"/>
  <c r="J113" i="2"/>
  <c r="AD79" i="2"/>
  <c r="AE70" i="2"/>
  <c r="AG93" i="2"/>
  <c r="AA80" i="2"/>
  <c r="J17" i="2"/>
  <c r="J160" i="2"/>
  <c r="AA69" i="2"/>
  <c r="H98" i="2"/>
  <c r="K116" i="2"/>
  <c r="J185" i="2"/>
  <c r="AE50" i="2"/>
  <c r="AC32" i="2"/>
  <c r="J192" i="2"/>
  <c r="G76" i="2"/>
  <c r="H23" i="2"/>
  <c r="AE12" i="2"/>
  <c r="K61" i="2"/>
  <c r="AE59" i="2"/>
  <c r="H193" i="2"/>
  <c r="H70" i="2"/>
  <c r="X55" i="2"/>
  <c r="I67" i="2"/>
  <c r="H192" i="2"/>
  <c r="Z52" i="2"/>
  <c r="AC5" i="2"/>
  <c r="K96" i="2"/>
  <c r="AA86" i="2"/>
  <c r="K12" i="2"/>
  <c r="H132" i="2"/>
  <c r="G135" i="2"/>
  <c r="AE33" i="2"/>
  <c r="J199" i="2"/>
  <c r="X20" i="2"/>
  <c r="J134" i="2"/>
  <c r="K196" i="2"/>
  <c r="Y45" i="2"/>
  <c r="K119" i="2"/>
  <c r="AD89" i="2"/>
  <c r="I11" i="2"/>
  <c r="AF94" i="2"/>
  <c r="Z17" i="2"/>
  <c r="K191" i="2"/>
  <c r="AC22" i="2"/>
  <c r="AF68" i="2"/>
  <c r="G139" i="2"/>
  <c r="AB39" i="2"/>
  <c r="AE13" i="2"/>
  <c r="I101" i="2"/>
  <c r="AG35" i="2"/>
  <c r="G177" i="2"/>
  <c r="K52" i="2"/>
  <c r="AG75" i="2"/>
  <c r="J57" i="2"/>
  <c r="G22" i="2"/>
  <c r="G179" i="2"/>
  <c r="G97" i="2"/>
  <c r="G133" i="2"/>
  <c r="AF66" i="2"/>
  <c r="I184" i="2"/>
  <c r="G147" i="2"/>
  <c r="AC97" i="2"/>
  <c r="AG78" i="2"/>
  <c r="AB77" i="2"/>
  <c r="K188" i="2"/>
  <c r="AB4" i="2"/>
  <c r="K140" i="2"/>
  <c r="J136" i="2"/>
  <c r="AF35" i="2"/>
  <c r="K36" i="2"/>
  <c r="AE79" i="2"/>
  <c r="X46" i="2"/>
  <c r="AB16" i="2"/>
  <c r="AG45" i="2"/>
  <c r="Z57" i="2"/>
  <c r="AC85" i="2"/>
  <c r="H113" i="2"/>
  <c r="I114" i="2"/>
  <c r="H202" i="2"/>
  <c r="AB57" i="2"/>
  <c r="AE36" i="2"/>
  <c r="H25" i="2"/>
  <c r="AA59" i="2"/>
  <c r="AF65" i="2"/>
  <c r="AE41" i="2"/>
  <c r="G6" i="2"/>
  <c r="G143" i="2"/>
  <c r="H116" i="2"/>
  <c r="H167" i="2"/>
  <c r="I92" i="2"/>
  <c r="AG85" i="2"/>
  <c r="AG12" i="2"/>
  <c r="AD96" i="2"/>
  <c r="I125" i="2"/>
  <c r="I160" i="2"/>
  <c r="K76" i="2"/>
  <c r="Z65" i="2"/>
  <c r="Y3" i="2"/>
  <c r="Y55" i="2"/>
  <c r="AG33" i="2"/>
  <c r="AF39" i="2"/>
  <c r="AD95" i="2"/>
  <c r="I66" i="2"/>
  <c r="H59" i="2"/>
  <c r="G99" i="2"/>
  <c r="K173" i="2"/>
  <c r="AB54" i="2"/>
  <c r="G195" i="2"/>
  <c r="J188" i="2"/>
  <c r="AB19" i="2"/>
  <c r="K77" i="2"/>
  <c r="H154" i="2"/>
  <c r="I126" i="2"/>
  <c r="AD50" i="2"/>
  <c r="Z84" i="2"/>
  <c r="AF29" i="2"/>
  <c r="Z61" i="2"/>
  <c r="K50" i="2"/>
  <c r="X99" i="2"/>
  <c r="J54" i="2"/>
  <c r="H19" i="2"/>
  <c r="AF41" i="2"/>
  <c r="AC56" i="2"/>
  <c r="G116" i="2"/>
  <c r="J58" i="2"/>
  <c r="AE10" i="2"/>
  <c r="G137" i="2"/>
  <c r="G14" i="2"/>
  <c r="AA48" i="2"/>
  <c r="AE51" i="2"/>
  <c r="AG5" i="2"/>
  <c r="J131" i="2"/>
  <c r="Y52" i="2"/>
  <c r="I61" i="2"/>
  <c r="G80" i="2"/>
  <c r="Z42" i="2"/>
  <c r="H178" i="2"/>
  <c r="G29" i="2"/>
  <c r="AF14" i="2"/>
  <c r="G104" i="2"/>
  <c r="I171" i="2"/>
  <c r="AD4" i="2"/>
  <c r="I153" i="2"/>
  <c r="Z48" i="2"/>
  <c r="AG46" i="2"/>
  <c r="AF10" i="2"/>
  <c r="K185" i="2"/>
  <c r="J194" i="2"/>
  <c r="K134" i="2"/>
  <c r="AG61" i="2"/>
  <c r="J63" i="2"/>
  <c r="AF86" i="2"/>
  <c r="H44" i="2"/>
  <c r="G185" i="2"/>
  <c r="G160" i="2"/>
  <c r="I113" i="2"/>
  <c r="I68" i="2"/>
  <c r="K202" i="2"/>
  <c r="K175" i="2"/>
  <c r="K152" i="2"/>
  <c r="AF15" i="2"/>
  <c r="H101" i="2"/>
  <c r="K55" i="2"/>
  <c r="AG52" i="2"/>
  <c r="K124" i="2"/>
  <c r="G197" i="2"/>
  <c r="Z37" i="2"/>
  <c r="J89" i="2"/>
  <c r="AE92" i="2"/>
  <c r="AF69" i="2"/>
  <c r="Y49" i="2"/>
  <c r="H102" i="2"/>
  <c r="K135" i="2"/>
  <c r="AC27" i="2"/>
  <c r="G44" i="2"/>
  <c r="H141" i="2"/>
  <c r="J119" i="2"/>
  <c r="I3" i="2"/>
  <c r="AB36" i="2"/>
  <c r="I131" i="2"/>
  <c r="K29" i="2"/>
  <c r="X76" i="2"/>
  <c r="J200" i="2"/>
  <c r="I150" i="2"/>
  <c r="I193" i="2"/>
  <c r="AA49" i="2"/>
  <c r="J84" i="2"/>
  <c r="H62" i="2"/>
  <c r="X50" i="2"/>
  <c r="I155" i="2"/>
  <c r="AA53" i="2"/>
  <c r="G168" i="2"/>
  <c r="G180" i="2"/>
  <c r="I145" i="2"/>
  <c r="AE55" i="2"/>
  <c r="K69" i="2"/>
  <c r="AD16" i="2"/>
  <c r="AC49" i="2"/>
  <c r="H28" i="2"/>
  <c r="AE97" i="2"/>
  <c r="AF71" i="2"/>
  <c r="AA57" i="2"/>
  <c r="AF36" i="2"/>
  <c r="J148" i="2"/>
  <c r="AA55" i="2"/>
  <c r="AE43" i="2"/>
  <c r="K165" i="2"/>
  <c r="H3" i="2"/>
  <c r="AB94" i="2"/>
  <c r="H121" i="2"/>
  <c r="K154" i="2"/>
  <c r="I199" i="2"/>
  <c r="AD26" i="2"/>
  <c r="AF72" i="2"/>
  <c r="K151" i="2"/>
  <c r="K200" i="2"/>
  <c r="K10" i="2"/>
  <c r="I182" i="2"/>
  <c r="X57" i="2"/>
  <c r="AA4" i="2"/>
  <c r="K157" i="2"/>
  <c r="AA44" i="2"/>
  <c r="Z79" i="2"/>
  <c r="J52" i="2"/>
  <c r="H61" i="2"/>
  <c r="K166" i="2"/>
  <c r="AD52" i="2"/>
  <c r="G151" i="2"/>
  <c r="H100" i="2"/>
  <c r="AB51" i="2"/>
  <c r="J125" i="2"/>
  <c r="K15" i="2"/>
  <c r="H64" i="2"/>
  <c r="AF11" i="2"/>
  <c r="J79" i="2"/>
  <c r="K13" i="2"/>
  <c r="AD47" i="2"/>
  <c r="X38" i="2"/>
  <c r="H38" i="2"/>
  <c r="K180" i="2"/>
  <c r="AF92" i="2"/>
  <c r="AB91" i="2"/>
  <c r="AC92" i="2"/>
  <c r="I192" i="2"/>
  <c r="AA91" i="2"/>
  <c r="G114" i="2"/>
  <c r="J139" i="2"/>
  <c r="AE34" i="2"/>
  <c r="J105" i="2"/>
  <c r="G88" i="2"/>
  <c r="H76" i="2"/>
  <c r="I127" i="2"/>
  <c r="I116" i="2"/>
  <c r="AG73" i="2"/>
  <c r="G19" i="2"/>
  <c r="G144" i="2"/>
  <c r="AE14" i="2"/>
  <c r="AF28" i="2"/>
  <c r="Z19" i="2"/>
  <c r="G103" i="2"/>
  <c r="K81" i="2"/>
  <c r="K138" i="2"/>
  <c r="J107" i="2"/>
  <c r="I137" i="2"/>
  <c r="H196" i="2"/>
  <c r="G11" i="2"/>
  <c r="AG97" i="2"/>
  <c r="I138" i="2"/>
  <c r="AF74" i="2"/>
  <c r="H107" i="2"/>
  <c r="J35" i="2"/>
  <c r="H122" i="2"/>
  <c r="H189" i="2"/>
  <c r="AG25" i="2"/>
  <c r="AE72" i="2"/>
  <c r="H11" i="2"/>
  <c r="AB63" i="2"/>
  <c r="AC75" i="2"/>
  <c r="G191" i="2"/>
  <c r="G190" i="2"/>
  <c r="AF24" i="2"/>
  <c r="J28" i="2"/>
  <c r="I75" i="2"/>
  <c r="I163" i="2"/>
  <c r="J83" i="2"/>
  <c r="G15" i="2"/>
  <c r="AB9" i="2"/>
  <c r="K104" i="2"/>
  <c r="AB17" i="2"/>
  <c r="J103" i="2"/>
  <c r="Y14" i="2"/>
  <c r="K95" i="2"/>
  <c r="H181" i="2"/>
  <c r="J181" i="2"/>
  <c r="H200" i="2"/>
  <c r="AG64" i="2"/>
  <c r="K187" i="2"/>
  <c r="AE69" i="2"/>
  <c r="AF67" i="2"/>
  <c r="Z63" i="2"/>
  <c r="AE93" i="2"/>
  <c r="J82" i="2"/>
  <c r="AD78" i="2"/>
  <c r="J92" i="2"/>
  <c r="AG34" i="2"/>
  <c r="AF54" i="2"/>
  <c r="H80" i="2"/>
  <c r="AA16" i="2"/>
  <c r="J78" i="2"/>
  <c r="K17" i="2"/>
  <c r="J111" i="2"/>
  <c r="AF81" i="2"/>
  <c r="AF21" i="2"/>
  <c r="H12" i="2"/>
  <c r="J167" i="2"/>
  <c r="Y73" i="2"/>
  <c r="K73" i="2"/>
  <c r="H138" i="2"/>
  <c r="X64" i="2"/>
  <c r="AB45" i="2"/>
  <c r="AA29" i="2"/>
  <c r="H17" i="2"/>
  <c r="Z44" i="2"/>
  <c r="AC71" i="2"/>
  <c r="AF48" i="2"/>
  <c r="AD42" i="2"/>
  <c r="AG51" i="2"/>
  <c r="Z68" i="2"/>
  <c r="AC42" i="2"/>
  <c r="AF75" i="2"/>
  <c r="X11" i="2"/>
  <c r="G93" i="2"/>
  <c r="J53" i="2"/>
  <c r="X60" i="2"/>
  <c r="X40" i="2"/>
  <c r="AD72" i="2"/>
  <c r="I120" i="2"/>
  <c r="J173" i="2"/>
  <c r="I136" i="2"/>
  <c r="X59" i="2"/>
  <c r="H94" i="2"/>
  <c r="AC87" i="2"/>
  <c r="Z18" i="2"/>
  <c r="H131" i="2"/>
  <c r="I164" i="2"/>
  <c r="AG62" i="2"/>
  <c r="I123" i="2"/>
  <c r="AB75" i="2"/>
  <c r="I44" i="2"/>
  <c r="AA25" i="2"/>
  <c r="G149" i="2"/>
  <c r="X70" i="2"/>
  <c r="Z95" i="2"/>
  <c r="I167" i="2"/>
  <c r="H158" i="2"/>
  <c r="AC53" i="2"/>
  <c r="AG48" i="2"/>
  <c r="Z5" i="2"/>
  <c r="K110" i="2"/>
  <c r="AB69" i="2"/>
  <c r="AD22" i="2"/>
  <c r="AF63" i="2"/>
  <c r="I154" i="2"/>
  <c r="Z35" i="2"/>
  <c r="G117" i="2"/>
  <c r="AB26" i="2"/>
  <c r="X75" i="2"/>
  <c r="H34" i="2"/>
  <c r="AG44" i="2"/>
  <c r="AG58" i="2"/>
  <c r="AC90" i="2"/>
  <c r="AD44" i="2"/>
  <c r="J4" i="2"/>
  <c r="AA20" i="2"/>
  <c r="AA71" i="2"/>
  <c r="Y54" i="2"/>
  <c r="J142" i="2"/>
  <c r="K16" i="2"/>
  <c r="X17" i="2"/>
  <c r="K127" i="2"/>
  <c r="G70" i="2"/>
  <c r="H150" i="2"/>
  <c r="AE46" i="2"/>
  <c r="AE38" i="2"/>
  <c r="I129" i="2"/>
  <c r="K92" i="2"/>
  <c r="X3" i="2"/>
  <c r="X47" i="2"/>
  <c r="J36" i="2"/>
  <c r="AC86" i="2"/>
  <c r="AG89" i="2"/>
  <c r="Y32" i="2"/>
  <c r="Y30" i="2"/>
  <c r="AE64" i="2"/>
  <c r="I121" i="2"/>
  <c r="J71" i="2"/>
  <c r="I188" i="2"/>
  <c r="I77" i="2"/>
  <c r="K120" i="2"/>
  <c r="G47" i="2"/>
  <c r="J195" i="2"/>
  <c r="AC36" i="2"/>
  <c r="AF32" i="2"/>
  <c r="G81" i="2"/>
  <c r="K201" i="2"/>
  <c r="J66" i="2"/>
  <c r="AE83" i="2"/>
  <c r="AA45" i="2"/>
  <c r="AA99" i="2"/>
  <c r="K20" i="2"/>
  <c r="AG26" i="2"/>
  <c r="X53" i="2"/>
  <c r="G41" i="2"/>
  <c r="J80" i="2"/>
  <c r="H92" i="2"/>
  <c r="AD90" i="2"/>
  <c r="Y51" i="2"/>
  <c r="X26" i="2"/>
  <c r="AD85" i="2"/>
  <c r="X72" i="2"/>
  <c r="H153" i="2"/>
  <c r="AE29" i="2"/>
  <c r="H9" i="2"/>
  <c r="K28" i="2"/>
  <c r="K63" i="2"/>
  <c r="Y9" i="2"/>
  <c r="K9" i="2"/>
  <c r="AC26" i="2"/>
  <c r="AD30" i="2"/>
  <c r="AA67" i="2"/>
  <c r="G154" i="2"/>
  <c r="H126" i="2"/>
  <c r="G92" i="2"/>
  <c r="I96" i="2"/>
  <c r="J190" i="2"/>
  <c r="K26" i="2"/>
  <c r="AG63" i="2"/>
  <c r="X28" i="2"/>
  <c r="AB84" i="2"/>
  <c r="X16" i="2"/>
  <c r="AE18" i="2"/>
  <c r="K44" i="2"/>
  <c r="I195" i="2"/>
  <c r="H133" i="2"/>
  <c r="H10" i="2"/>
  <c r="J72" i="2"/>
  <c r="AG43" i="2"/>
  <c r="K197" i="2"/>
  <c r="AF33" i="2"/>
  <c r="Z91" i="2"/>
  <c r="Z60" i="2"/>
  <c r="I17" i="2"/>
  <c r="AB12" i="2"/>
  <c r="Z32" i="2"/>
  <c r="AC67" i="2"/>
  <c r="K145" i="2"/>
  <c r="AF3" i="2"/>
  <c r="H69" i="2"/>
  <c r="G38" i="2"/>
  <c r="Y91" i="2"/>
  <c r="I181" i="2"/>
  <c r="H142" i="2"/>
  <c r="G186" i="2"/>
  <c r="AA23" i="2"/>
  <c r="I59" i="2"/>
  <c r="J23" i="2"/>
  <c r="I178" i="2"/>
  <c r="Z29" i="2"/>
  <c r="H159" i="2"/>
  <c r="G57" i="2"/>
  <c r="AD11" i="2"/>
  <c r="AD60" i="2"/>
  <c r="I79" i="2"/>
  <c r="AD34" i="2"/>
  <c r="Y56" i="2"/>
  <c r="AA18" i="2"/>
  <c r="AC16" i="2"/>
  <c r="Z74" i="2"/>
  <c r="J156" i="2"/>
  <c r="J128" i="2"/>
  <c r="K19" i="2"/>
  <c r="I19" i="2"/>
  <c r="AF16" i="2"/>
  <c r="I198" i="2"/>
  <c r="AB25" i="2"/>
  <c r="K141" i="2"/>
  <c r="Z40" i="2"/>
  <c r="H186" i="2"/>
  <c r="AE96" i="2"/>
  <c r="Z90" i="2"/>
  <c r="AA74" i="2"/>
  <c r="J90" i="2"/>
  <c r="AE42" i="2"/>
  <c r="G176" i="2"/>
  <c r="AE28" i="2"/>
  <c r="I110" i="2"/>
  <c r="AG81" i="2"/>
  <c r="AE37" i="2"/>
  <c r="H14" i="2"/>
  <c r="I109" i="2"/>
  <c r="G184" i="2"/>
  <c r="H165" i="2"/>
  <c r="AG40" i="2"/>
  <c r="G91" i="2"/>
  <c r="AD75" i="2"/>
  <c r="I55" i="2"/>
  <c r="I149" i="2"/>
  <c r="X51" i="2"/>
  <c r="AB82" i="2"/>
  <c r="I89" i="2"/>
  <c r="AD98" i="2"/>
  <c r="Z25" i="2"/>
  <c r="AB98" i="2"/>
  <c r="AC83" i="2"/>
  <c r="H55" i="2"/>
  <c r="AB79" i="2"/>
  <c r="AD32" i="2"/>
  <c r="G140" i="2"/>
  <c r="H170" i="2"/>
  <c r="G94" i="2"/>
  <c r="AD20" i="2"/>
  <c r="AF26" i="2"/>
  <c r="G36" i="2"/>
  <c r="H125" i="2"/>
  <c r="Y76" i="2"/>
  <c r="AB89" i="2"/>
  <c r="G79" i="2"/>
  <c r="AD46" i="2"/>
  <c r="G189" i="2"/>
  <c r="AF7" i="2"/>
  <c r="AG67" i="2"/>
  <c r="AB31" i="2"/>
  <c r="J21" i="2"/>
  <c r="AA58" i="2"/>
  <c r="I117" i="2"/>
  <c r="AA47" i="2"/>
  <c r="K45" i="2"/>
  <c r="AA10" i="2"/>
  <c r="AG39" i="2"/>
  <c r="AC93" i="2"/>
  <c r="K183" i="2"/>
  <c r="AE30" i="2"/>
  <c r="AF61" i="2"/>
  <c r="G178" i="2"/>
  <c r="J30" i="2"/>
  <c r="X98" i="2"/>
  <c r="K168" i="2"/>
  <c r="AE57" i="2"/>
  <c r="AA34" i="2"/>
  <c r="H79" i="2"/>
  <c r="J25" i="2"/>
  <c r="Z43" i="2"/>
  <c r="Y7" i="2"/>
  <c r="H135" i="2"/>
  <c r="G163" i="2"/>
  <c r="I69" i="2"/>
  <c r="I146" i="2"/>
  <c r="J201" i="2"/>
  <c r="J76" i="2"/>
  <c r="K82" i="2"/>
  <c r="Z7" i="2"/>
  <c r="J67" i="2"/>
  <c r="K51" i="2"/>
  <c r="Y53" i="2"/>
  <c r="G27" i="2"/>
  <c r="J16" i="2"/>
  <c r="G66" i="2"/>
  <c r="I115" i="2"/>
  <c r="Y10" i="2"/>
  <c r="J65" i="2"/>
  <c r="H188" i="2"/>
  <c r="AG79" i="2"/>
  <c r="H46" i="2"/>
  <c r="X74" i="2"/>
  <c r="G78" i="2"/>
  <c r="Y13" i="2"/>
  <c r="AE31" i="2"/>
  <c r="H58" i="2"/>
  <c r="AG41" i="2"/>
  <c r="J197" i="2"/>
  <c r="I197" i="2"/>
  <c r="AB62" i="2"/>
  <c r="AF51" i="2"/>
  <c r="K189" i="2"/>
  <c r="AA96" i="2"/>
  <c r="AC79" i="2"/>
  <c r="I174" i="2"/>
  <c r="K179" i="2"/>
  <c r="K47" i="2"/>
  <c r="K172" i="2"/>
  <c r="AD8" i="2"/>
  <c r="H162" i="2"/>
  <c r="AA30" i="2"/>
  <c r="Z33" i="2"/>
  <c r="Z87" i="2"/>
  <c r="G105" i="2"/>
  <c r="J106" i="2"/>
  <c r="AC66" i="2"/>
  <c r="J44" i="2"/>
  <c r="K4" i="2"/>
  <c r="J168" i="2"/>
  <c r="J69" i="2"/>
  <c r="G4" i="2"/>
  <c r="AD18" i="2"/>
  <c r="G161" i="2"/>
  <c r="Z47" i="2"/>
  <c r="AF31" i="2"/>
  <c r="AC57" i="2"/>
  <c r="AE84" i="2"/>
  <c r="AG42" i="2"/>
  <c r="AE78" i="2"/>
  <c r="AC78" i="2"/>
  <c r="K167" i="2"/>
  <c r="AB32" i="2"/>
  <c r="H54" i="2"/>
  <c r="X31" i="2"/>
  <c r="AC43" i="2"/>
  <c r="Y40" i="2"/>
  <c r="AB93" i="2"/>
  <c r="X18" i="2"/>
  <c r="X91" i="2"/>
  <c r="G23" i="2"/>
  <c r="I202" i="2"/>
  <c r="AG31" i="2"/>
  <c r="I65" i="2"/>
  <c r="I83" i="2"/>
  <c r="I130" i="2"/>
  <c r="J141" i="2"/>
  <c r="G26" i="2"/>
  <c r="AC14" i="2"/>
  <c r="H104" i="2"/>
  <c r="Y98" i="2"/>
  <c r="AD58" i="2"/>
  <c r="J135" i="2"/>
  <c r="G82" i="2"/>
  <c r="AD84" i="2"/>
  <c r="H68" i="2"/>
  <c r="AF8" i="2"/>
  <c r="AG8" i="2"/>
  <c r="AB48" i="2"/>
  <c r="AA21" i="2"/>
  <c r="I159" i="2"/>
  <c r="Y6" i="2"/>
  <c r="I93" i="2"/>
  <c r="J24" i="2"/>
  <c r="AE49" i="2"/>
  <c r="J177" i="2"/>
  <c r="G58" i="2"/>
  <c r="Z97" i="2"/>
  <c r="AA39" i="2"/>
  <c r="AB70" i="2"/>
  <c r="K178" i="2"/>
  <c r="AG16" i="2"/>
  <c r="H88" i="2"/>
  <c r="AD7" i="2"/>
  <c r="Z99" i="2"/>
  <c r="Z8" i="2"/>
  <c r="AC77" i="2"/>
  <c r="I49" i="2"/>
  <c r="G37" i="2"/>
  <c r="AA93" i="2"/>
  <c r="I94" i="2"/>
  <c r="AB20" i="2"/>
  <c r="AB85" i="2"/>
  <c r="K65" i="2"/>
  <c r="AB65" i="2"/>
  <c r="AE19" i="2"/>
  <c r="AG29" i="2"/>
  <c r="AF22" i="2"/>
  <c r="Y90" i="2"/>
  <c r="Y64" i="2"/>
  <c r="I90" i="2"/>
  <c r="K41" i="2"/>
  <c r="AB47" i="2"/>
  <c r="I15" i="2"/>
  <c r="I60" i="2"/>
  <c r="X5" i="2"/>
  <c r="Z49" i="2"/>
  <c r="AA95" i="2"/>
  <c r="K181" i="2"/>
  <c r="I34" i="2"/>
  <c r="G72" i="2"/>
  <c r="AE95" i="2"/>
  <c r="G85" i="2"/>
  <c r="AF17" i="2"/>
  <c r="Y24" i="2"/>
  <c r="J137" i="2"/>
  <c r="K80" i="2"/>
  <c r="G166" i="2"/>
  <c r="Y4" i="2"/>
  <c r="G172" i="2"/>
  <c r="G16" i="2"/>
  <c r="AC50" i="2"/>
  <c r="AA8" i="2"/>
  <c r="AE9" i="2"/>
  <c r="AC12" i="2"/>
  <c r="AC21" i="2"/>
  <c r="I103" i="2"/>
  <c r="AD92" i="2"/>
  <c r="K153" i="2"/>
  <c r="G74" i="2"/>
  <c r="J19" i="2"/>
  <c r="AF49" i="2"/>
  <c r="AA7" i="2"/>
  <c r="I63" i="2"/>
  <c r="K112" i="2"/>
  <c r="I179" i="2"/>
  <c r="X61" i="2"/>
  <c r="I98" i="2"/>
  <c r="Y41" i="2"/>
  <c r="J114" i="2"/>
  <c r="I133" i="2"/>
  <c r="X84" i="2"/>
  <c r="G9" i="2"/>
  <c r="H84" i="2"/>
  <c r="K30" i="2"/>
  <c r="J183" i="2"/>
  <c r="K48" i="2"/>
  <c r="AA82" i="2"/>
  <c r="AC68" i="2"/>
  <c r="J121" i="2"/>
  <c r="G90" i="2"/>
  <c r="AD5" i="2"/>
  <c r="G126" i="2"/>
  <c r="J101" i="2"/>
  <c r="J99" i="2"/>
  <c r="X85" i="2"/>
  <c r="AB35" i="2"/>
  <c r="H173" i="2"/>
  <c r="Y77" i="2"/>
  <c r="I147" i="2"/>
  <c r="X13" i="2"/>
  <c r="AD65" i="2"/>
  <c r="H37" i="2"/>
  <c r="G51" i="2"/>
  <c r="K34" i="2"/>
  <c r="H136" i="2"/>
  <c r="AA66" i="2"/>
  <c r="AC65" i="2"/>
  <c r="X24" i="2"/>
  <c r="AC35" i="2"/>
  <c r="AD66" i="2"/>
  <c r="G194" i="2"/>
  <c r="I20" i="2"/>
  <c r="AE17" i="2"/>
  <c r="AC18" i="2"/>
  <c r="G111" i="2"/>
  <c r="Z78" i="2"/>
  <c r="I118" i="2"/>
  <c r="J59" i="2"/>
  <c r="K37" i="2"/>
  <c r="I25" i="2"/>
  <c r="AD86" i="2"/>
  <c r="H115" i="2"/>
  <c r="J129" i="2"/>
  <c r="X4" i="2"/>
  <c r="K192" i="2"/>
  <c r="AD31" i="2"/>
  <c r="AB40" i="2"/>
  <c r="H31" i="2"/>
  <c r="I16" i="2"/>
  <c r="G120" i="2"/>
  <c r="AB23" i="2"/>
  <c r="J184" i="2"/>
  <c r="AD51" i="2"/>
  <c r="J6" i="2"/>
  <c r="AD67" i="2"/>
  <c r="AE7" i="2"/>
  <c r="I140" i="2"/>
  <c r="AA85" i="2"/>
  <c r="AD83" i="2"/>
  <c r="K190" i="2"/>
  <c r="G25" i="2"/>
  <c r="AG32" i="2"/>
  <c r="J102" i="2"/>
  <c r="AD17" i="2"/>
  <c r="H130" i="2"/>
  <c r="AA40" i="2"/>
  <c r="G69" i="2"/>
  <c r="AD74" i="2"/>
  <c r="Z41" i="2"/>
  <c r="I38" i="2"/>
  <c r="K195" i="2"/>
  <c r="AE3" i="2"/>
  <c r="K59" i="2"/>
  <c r="H40" i="2"/>
  <c r="J61" i="2"/>
  <c r="AG14" i="2"/>
  <c r="I166" i="2"/>
  <c r="K102" i="2"/>
  <c r="AG66" i="2"/>
  <c r="AF47" i="2"/>
  <c r="H66" i="2"/>
  <c r="I142" i="2"/>
  <c r="AD70" i="2"/>
  <c r="Y23" i="2"/>
  <c r="AF38" i="2"/>
  <c r="I105" i="2"/>
  <c r="H156" i="2"/>
  <c r="AA78" i="2"/>
  <c r="Y81" i="2"/>
  <c r="J110" i="2"/>
  <c r="K35" i="2"/>
  <c r="AC47" i="2"/>
  <c r="AG53" i="2"/>
  <c r="AE66" i="2"/>
  <c r="I40" i="2"/>
  <c r="Z88" i="2"/>
  <c r="K115" i="2"/>
  <c r="Y92" i="2"/>
  <c r="H145" i="2"/>
  <c r="I100" i="2"/>
  <c r="I97" i="2"/>
  <c r="Z59" i="2"/>
  <c r="AC23" i="2"/>
  <c r="I128" i="2"/>
  <c r="AB58" i="2"/>
  <c r="X65" i="2"/>
  <c r="J88" i="2"/>
  <c r="AC6" i="2"/>
  <c r="AC25" i="2"/>
  <c r="K162" i="2"/>
  <c r="AE8" i="2"/>
  <c r="X63" i="2"/>
  <c r="Y62" i="2"/>
  <c r="AA11" i="2"/>
  <c r="J55" i="2"/>
  <c r="H147" i="2"/>
  <c r="AE27" i="2"/>
  <c r="AF53" i="2"/>
  <c r="I72" i="2"/>
  <c r="AA54" i="2"/>
  <c r="X71" i="2"/>
  <c r="AB67" i="2"/>
  <c r="K23" i="2"/>
  <c r="K27" i="2"/>
  <c r="H73" i="2"/>
  <c r="AC7" i="2"/>
  <c r="H42" i="2"/>
  <c r="I52" i="2"/>
  <c r="AA19" i="2"/>
  <c r="I91" i="2"/>
  <c r="AD76" i="2"/>
  <c r="Y18" i="2"/>
  <c r="AD21" i="2"/>
  <c r="AG94" i="2"/>
  <c r="Z4" i="2"/>
  <c r="AG27" i="2"/>
  <c r="G39" i="2"/>
  <c r="J48" i="2"/>
  <c r="Y68" i="2"/>
  <c r="G134" i="2"/>
  <c r="AA72" i="2"/>
  <c r="Z83" i="2"/>
  <c r="J130" i="2"/>
  <c r="J93" i="2"/>
  <c r="I71" i="2"/>
  <c r="J29" i="2"/>
  <c r="J115" i="2"/>
  <c r="H30" i="2"/>
  <c r="H179" i="2"/>
  <c r="X96" i="2"/>
  <c r="G61" i="2"/>
  <c r="Y93" i="2"/>
  <c r="Z38" i="2"/>
  <c r="AG98" i="2"/>
  <c r="G158" i="2"/>
  <c r="Y35" i="2"/>
  <c r="AD57" i="2"/>
  <c r="G75" i="2"/>
  <c r="K136" i="2"/>
  <c r="AG70" i="2"/>
  <c r="G173" i="2"/>
  <c r="K46" i="2"/>
  <c r="K87" i="2"/>
  <c r="K79" i="2"/>
  <c r="AB92" i="2"/>
  <c r="AE25" i="2"/>
  <c r="AF45" i="2"/>
  <c r="X27" i="2"/>
  <c r="AF59" i="2"/>
  <c r="H71" i="2"/>
  <c r="AD77" i="2"/>
  <c r="AD88" i="2"/>
  <c r="AF58" i="2"/>
  <c r="K72" i="2"/>
  <c r="G159" i="2"/>
  <c r="K66" i="2"/>
  <c r="AD73" i="2"/>
  <c r="I39" i="2"/>
  <c r="AE23" i="2"/>
  <c r="AA35" i="2"/>
  <c r="I33" i="2"/>
  <c r="I31" i="2"/>
  <c r="Y5" i="2"/>
  <c r="H134" i="2"/>
  <c r="H143" i="2"/>
  <c r="Y46" i="2"/>
  <c r="Z30" i="2"/>
  <c r="G202" i="2"/>
  <c r="Z92" i="2"/>
  <c r="I14" i="2"/>
  <c r="X77" i="2"/>
  <c r="G156" i="2"/>
  <c r="G101" i="2"/>
  <c r="Y61" i="2"/>
  <c r="AC28" i="2"/>
  <c r="J189" i="2"/>
  <c r="G153" i="2"/>
  <c r="G12" i="2"/>
  <c r="Z28" i="2"/>
  <c r="J118" i="2"/>
  <c r="H87" i="2"/>
  <c r="Y48" i="2"/>
  <c r="AD39" i="2"/>
  <c r="AF77" i="2"/>
  <c r="AA15" i="2"/>
  <c r="AB43" i="2"/>
  <c r="J144" i="2"/>
  <c r="AE62" i="2"/>
  <c r="G65" i="2"/>
  <c r="AD37" i="2"/>
  <c r="AD62" i="2"/>
  <c r="J154" i="2"/>
  <c r="AA41" i="2"/>
  <c r="G128" i="2"/>
  <c r="Z53" i="2"/>
  <c r="AE5" i="2"/>
  <c r="X8" i="2"/>
  <c r="AF9" i="2"/>
  <c r="G96" i="2"/>
  <c r="Z94" i="2"/>
  <c r="AG4" i="2"/>
  <c r="AE68" i="2"/>
  <c r="AG96" i="2"/>
  <c r="J87" i="2"/>
  <c r="K148" i="2"/>
  <c r="K11" i="2"/>
  <c r="AC61" i="2"/>
  <c r="AC19" i="2"/>
  <c r="I175" i="2"/>
  <c r="AE35" i="2"/>
  <c r="K100" i="2"/>
  <c r="AC76" i="2"/>
  <c r="Z16" i="2"/>
  <c r="AG18" i="2"/>
  <c r="Y31" i="2"/>
  <c r="AE85" i="2"/>
  <c r="H190" i="2"/>
  <c r="K150" i="2"/>
  <c r="J50" i="2"/>
  <c r="H67" i="2"/>
  <c r="H8" i="2"/>
  <c r="H169" i="2"/>
  <c r="G24" i="2"/>
  <c r="AE65" i="2"/>
  <c r="AD64" i="2"/>
  <c r="AB29" i="2"/>
  <c r="K176" i="2"/>
  <c r="I58" i="2"/>
  <c r="H112" i="2"/>
  <c r="X73" i="2"/>
  <c r="Y82" i="2"/>
  <c r="H111" i="2"/>
  <c r="I24" i="2"/>
  <c r="I157" i="2"/>
  <c r="K105" i="2"/>
  <c r="X36" i="2"/>
  <c r="AF87" i="2"/>
  <c r="J159" i="2"/>
  <c r="I183" i="2"/>
  <c r="K126" i="2"/>
  <c r="AG49" i="2"/>
  <c r="K130" i="2"/>
  <c r="I194" i="2"/>
  <c r="AG47" i="2"/>
  <c r="AB22" i="2"/>
  <c r="H77" i="2"/>
  <c r="G145" i="2"/>
  <c r="J9" i="2"/>
  <c r="J120" i="2"/>
  <c r="X22" i="2"/>
  <c r="J126" i="2"/>
  <c r="X89" i="2"/>
  <c r="G68" i="2"/>
  <c r="H95" i="2"/>
  <c r="AE40" i="2"/>
  <c r="G63" i="2"/>
  <c r="J133" i="2"/>
  <c r="Y78" i="2"/>
  <c r="Z20" i="2"/>
  <c r="K39" i="2"/>
  <c r="H163" i="2"/>
  <c r="G87" i="2"/>
  <c r="AG3" i="2"/>
  <c r="Y79" i="2"/>
  <c r="H171" i="2"/>
  <c r="G152" i="2"/>
  <c r="AF82" i="2"/>
  <c r="J46" i="2"/>
  <c r="I141" i="2"/>
  <c r="X21" i="2"/>
  <c r="Y96" i="2"/>
  <c r="I37" i="2"/>
  <c r="AB5" i="2"/>
  <c r="Z66" i="2"/>
  <c r="AE24" i="2"/>
  <c r="G182" i="2"/>
  <c r="J33" i="2"/>
  <c r="G5" i="2"/>
  <c r="AA12" i="2"/>
  <c r="J123" i="2"/>
  <c r="H128" i="2"/>
  <c r="G119" i="2"/>
  <c r="AB7" i="2"/>
  <c r="AA36" i="2"/>
  <c r="AC13" i="2"/>
  <c r="AA9" i="2"/>
  <c r="AC17" i="2"/>
  <c r="I54" i="2"/>
  <c r="J96" i="2"/>
  <c r="AC37" i="2"/>
  <c r="AC20" i="2"/>
  <c r="AG72" i="2"/>
  <c r="I134" i="2"/>
  <c r="AF30" i="2"/>
  <c r="J172" i="2"/>
  <c r="G201" i="2"/>
  <c r="K106" i="2"/>
  <c r="AA27" i="2"/>
  <c r="AB33" i="2"/>
  <c r="H49" i="2"/>
  <c r="AC39" i="2"/>
  <c r="AA28" i="2"/>
  <c r="AF43" i="2"/>
  <c r="G122" i="2"/>
  <c r="AG91" i="2"/>
  <c r="AF20" i="2"/>
  <c r="AA24" i="2"/>
  <c r="Y83" i="2"/>
  <c r="K114" i="2"/>
  <c r="J171" i="2"/>
  <c r="AB30" i="2"/>
  <c r="J100" i="2"/>
  <c r="AD35" i="2"/>
  <c r="AA14" i="2"/>
  <c r="AG69" i="2"/>
  <c r="I73" i="2"/>
  <c r="AC33" i="2"/>
  <c r="G56" i="2"/>
  <c r="Y26" i="2"/>
  <c r="I169" i="2"/>
  <c r="J34" i="2"/>
  <c r="J122" i="2"/>
  <c r="H110" i="2"/>
  <c r="K184" i="2"/>
  <c r="G141" i="2"/>
  <c r="J95" i="2"/>
  <c r="I56" i="2"/>
  <c r="Z31" i="2"/>
  <c r="X49" i="2"/>
  <c r="AG82" i="2"/>
  <c r="AA90" i="2"/>
  <c r="AB81" i="2"/>
  <c r="G132" i="2"/>
  <c r="AF23" i="2"/>
  <c r="G118" i="2"/>
  <c r="J43" i="2"/>
  <c r="G30" i="2"/>
  <c r="H50" i="2"/>
  <c r="G127" i="2"/>
  <c r="J42" i="2"/>
  <c r="AG76" i="2"/>
  <c r="AG28" i="2"/>
  <c r="K109" i="2"/>
  <c r="AC81" i="2"/>
  <c r="K56" i="2"/>
  <c r="AC10" i="2"/>
  <c r="G95" i="2"/>
  <c r="X79" i="2"/>
  <c r="K142" i="2"/>
  <c r="AE32" i="2"/>
  <c r="J175" i="2"/>
  <c r="Y65" i="2"/>
  <c r="X92" i="2"/>
  <c r="G33" i="2"/>
  <c r="X52" i="2"/>
  <c r="G18" i="2"/>
  <c r="I99" i="2"/>
  <c r="K32" i="2"/>
  <c r="X62" i="2"/>
  <c r="H5" i="2"/>
  <c r="G170" i="2"/>
  <c r="I21" i="2"/>
  <c r="K182" i="2"/>
  <c r="G13" i="2"/>
  <c r="K161" i="2"/>
  <c r="I42" i="2"/>
  <c r="Z67" i="2"/>
  <c r="J202" i="2"/>
  <c r="AB27" i="2"/>
  <c r="I84" i="2"/>
  <c r="K132" i="2"/>
  <c r="AF56" i="2"/>
  <c r="J62" i="2"/>
  <c r="AC29" i="2"/>
  <c r="Z70" i="2"/>
  <c r="AD54" i="2"/>
  <c r="H24" i="2"/>
  <c r="AG60" i="2"/>
  <c r="K121" i="2"/>
  <c r="AD15" i="2"/>
  <c r="AF46" i="2"/>
  <c r="X56" i="2"/>
  <c r="Z73" i="2"/>
  <c r="H22" i="2"/>
  <c r="AF83" i="2"/>
  <c r="AB71" i="2"/>
  <c r="AA89" i="2"/>
  <c r="AB28" i="2"/>
  <c r="K194" i="2"/>
  <c r="AC64" i="2"/>
  <c r="H74" i="2"/>
  <c r="J163" i="2"/>
  <c r="AC60" i="2"/>
  <c r="AC55" i="2"/>
  <c r="I12" i="2"/>
  <c r="H33" i="2"/>
  <c r="I26" i="2"/>
  <c r="AC62" i="2"/>
  <c r="I135" i="2"/>
  <c r="J117" i="2"/>
  <c r="K75" i="2"/>
  <c r="I200" i="2"/>
  <c r="I124" i="2"/>
  <c r="G188" i="2"/>
  <c r="AG15" i="2"/>
  <c r="AG87" i="2"/>
  <c r="J7" i="2"/>
  <c r="Y37" i="2"/>
  <c r="K85" i="2"/>
  <c r="AF62" i="2"/>
  <c r="H90" i="2"/>
  <c r="Y27" i="2"/>
  <c r="J20" i="2"/>
  <c r="K84" i="2"/>
  <c r="AD80" i="2"/>
  <c r="AG77" i="2"/>
  <c r="I43" i="2"/>
  <c r="AB99" i="2"/>
  <c r="AD97" i="2"/>
  <c r="Y87" i="2"/>
  <c r="H199" i="2"/>
  <c r="I88" i="2"/>
  <c r="G174" i="2"/>
  <c r="H82" i="2"/>
  <c r="H97" i="2"/>
  <c r="H119" i="2"/>
  <c r="J8" i="2"/>
  <c r="G112" i="2"/>
  <c r="Y25" i="2"/>
  <c r="AG20" i="2"/>
  <c r="AA31" i="2"/>
  <c r="K164" i="2"/>
  <c r="G98" i="2"/>
  <c r="G167" i="2"/>
  <c r="AE56" i="2"/>
  <c r="AG50" i="2"/>
  <c r="I28" i="2"/>
  <c r="J14" i="2"/>
  <c r="AF18" i="2"/>
  <c r="J169" i="2"/>
  <c r="I23" i="2"/>
  <c r="G40" i="2"/>
  <c r="K62" i="2"/>
  <c r="G32" i="2"/>
  <c r="K171" i="2"/>
  <c r="AD14" i="2"/>
  <c r="Z45" i="2"/>
  <c r="AA51" i="2"/>
  <c r="AE98" i="2"/>
  <c r="G89" i="2"/>
  <c r="AD28" i="2"/>
  <c r="AC3" i="2"/>
  <c r="AA79" i="2"/>
  <c r="AE11" i="2"/>
  <c r="AG6" i="2"/>
  <c r="AB41" i="2"/>
  <c r="I144" i="2"/>
  <c r="K90" i="2"/>
  <c r="J149" i="2"/>
  <c r="G73" i="2"/>
  <c r="J98" i="2"/>
  <c r="H194" i="2"/>
  <c r="AA26" i="2"/>
  <c r="Y89" i="2"/>
  <c r="K6" i="2"/>
  <c r="AF85" i="2"/>
  <c r="AG24" i="2"/>
  <c r="G71" i="2"/>
  <c r="AF79" i="2"/>
  <c r="G155" i="2"/>
  <c r="AC54" i="2"/>
  <c r="AD41" i="2"/>
  <c r="H13" i="2"/>
  <c r="AB3" i="2"/>
  <c r="AG19" i="2"/>
  <c r="Y75" i="2"/>
  <c r="G106" i="2"/>
  <c r="AE81" i="2"/>
  <c r="AC40" i="2"/>
  <c r="K169" i="2"/>
  <c r="AB76" i="2"/>
  <c r="AC38" i="2"/>
  <c r="AF76" i="2"/>
  <c r="AG13" i="2"/>
  <c r="AB44" i="2"/>
  <c r="AG37" i="2"/>
  <c r="I196" i="2"/>
  <c r="Y72" i="2"/>
  <c r="G28" i="2"/>
  <c r="G31" i="2"/>
  <c r="AD99" i="2"/>
  <c r="Z14" i="2"/>
  <c r="Z86" i="2"/>
  <c r="Z36" i="2"/>
  <c r="AC41" i="2"/>
  <c r="Y12" i="2"/>
  <c r="Y69" i="2"/>
  <c r="Z22" i="2"/>
  <c r="AA46" i="2"/>
  <c r="J152" i="2"/>
  <c r="J179" i="2"/>
  <c r="J191" i="2"/>
  <c r="K163" i="2"/>
  <c r="K170" i="2"/>
  <c r="AF98" i="2"/>
  <c r="J104" i="2"/>
  <c r="I170" i="2"/>
  <c r="AB46" i="2"/>
  <c r="AD10" i="2"/>
  <c r="G50" i="2"/>
  <c r="AC34" i="2"/>
  <c r="AB21" i="2"/>
  <c r="J15" i="2"/>
  <c r="J38" i="2"/>
  <c r="Y19" i="2"/>
  <c r="AG56" i="2"/>
  <c r="AB95" i="2"/>
  <c r="H103" i="2"/>
  <c r="AA6" i="2"/>
  <c r="H36" i="2"/>
  <c r="AC94" i="2"/>
  <c r="I108" i="2"/>
  <c r="AE52" i="2"/>
  <c r="I187" i="2"/>
  <c r="J196" i="2"/>
  <c r="I51" i="2"/>
  <c r="Z23" i="2"/>
  <c r="K156" i="2"/>
  <c r="J11" i="2"/>
  <c r="AB72" i="2"/>
  <c r="J182" i="2"/>
  <c r="J164" i="2"/>
  <c r="I168" i="2"/>
  <c r="X97" i="2"/>
  <c r="X68" i="2"/>
  <c r="X93" i="2"/>
  <c r="K93" i="2"/>
  <c r="H114" i="2"/>
  <c r="H146" i="2"/>
  <c r="K122" i="2"/>
  <c r="AB96" i="2"/>
  <c r="G84" i="2"/>
  <c r="H93" i="2"/>
  <c r="H63" i="2"/>
  <c r="K98" i="2"/>
  <c r="Z12" i="2"/>
  <c r="AD45" i="2"/>
  <c r="X9" i="2"/>
  <c r="AE89" i="2"/>
  <c r="K158" i="2"/>
  <c r="K198" i="2"/>
  <c r="AB37" i="2"/>
  <c r="J91" i="2"/>
  <c r="AF27" i="2"/>
  <c r="I57" i="2"/>
  <c r="AD3" i="2"/>
  <c r="K57" i="2"/>
  <c r="Y67" i="2"/>
  <c r="Z56" i="2"/>
  <c r="G53" i="2"/>
  <c r="J124" i="2"/>
  <c r="AD53" i="2"/>
  <c r="Z72" i="2"/>
  <c r="AC11" i="2"/>
  <c r="J127" i="2"/>
  <c r="H48" i="2"/>
  <c r="AF91" i="2"/>
  <c r="X95" i="2"/>
  <c r="AD71" i="2"/>
  <c r="I85" i="2"/>
  <c r="H57" i="2"/>
  <c r="H151" i="2"/>
  <c r="I87" i="2"/>
  <c r="Y63" i="2"/>
  <c r="AD91" i="2"/>
  <c r="I7" i="2"/>
  <c r="G62" i="2"/>
  <c r="I9" i="2"/>
  <c r="K94" i="2"/>
  <c r="Z46" i="2"/>
  <c r="H182" i="2"/>
  <c r="AA37" i="2"/>
  <c r="Z39" i="2"/>
  <c r="J81" i="2"/>
  <c r="X45" i="2"/>
  <c r="AE20" i="2"/>
  <c r="AE75" i="2"/>
  <c r="AF19" i="2"/>
  <c r="K33" i="2"/>
  <c r="AD68" i="2"/>
  <c r="K128" i="2"/>
  <c r="H53" i="2"/>
  <c r="AD25" i="2"/>
  <c r="Z3" i="2"/>
  <c r="AE54" i="2"/>
  <c r="G130" i="2"/>
  <c r="G45" i="2"/>
  <c r="J108" i="2"/>
  <c r="AD56" i="2"/>
  <c r="AE61" i="2"/>
  <c r="AE86" i="2"/>
  <c r="AG22" i="2"/>
  <c r="Y22" i="2"/>
  <c r="AF37" i="2"/>
  <c r="J162" i="2"/>
  <c r="G181" i="2"/>
  <c r="G115" i="2"/>
  <c r="H120" i="2"/>
  <c r="AE88" i="2"/>
  <c r="I80" i="2"/>
  <c r="AE63" i="2"/>
  <c r="AA75" i="2"/>
  <c r="AB68" i="2"/>
  <c r="G199" i="2"/>
  <c r="AE26" i="2"/>
  <c r="AG86" i="2"/>
  <c r="G146" i="2"/>
  <c r="I107" i="2"/>
  <c r="X32" i="2"/>
  <c r="AB42" i="2"/>
  <c r="X14" i="2"/>
  <c r="I165" i="2"/>
  <c r="AG17" i="2"/>
  <c r="H160" i="2"/>
  <c r="I64" i="2"/>
  <c r="AF80" i="2"/>
  <c r="I50" i="2"/>
  <c r="K160" i="2"/>
  <c r="AE53" i="2"/>
  <c r="AB50" i="2"/>
  <c r="X12" i="2"/>
  <c r="AG7" i="2"/>
  <c r="H51" i="2"/>
  <c r="K99" i="2"/>
  <c r="X23" i="2"/>
  <c r="Z77" i="2"/>
  <c r="AA70" i="2"/>
  <c r="K144" i="2"/>
  <c r="Y44" i="2"/>
  <c r="AA84" i="2"/>
  <c r="AE71" i="2"/>
  <c r="K89" i="2"/>
  <c r="AF95" i="2"/>
  <c r="X87" i="2"/>
  <c r="H166" i="2"/>
  <c r="G200" i="2"/>
  <c r="AG59" i="2"/>
  <c r="J97" i="2"/>
  <c r="AC31" i="2"/>
  <c r="AA76" i="2"/>
  <c r="I190" i="2"/>
  <c r="K97" i="2"/>
  <c r="AE87" i="2"/>
  <c r="J166" i="2"/>
  <c r="J193" i="2"/>
  <c r="H149" i="2"/>
  <c r="G102" i="2"/>
  <c r="X34" i="2"/>
  <c r="AA60" i="2"/>
  <c r="K174" i="2"/>
  <c r="K155" i="2"/>
  <c r="AD23" i="2"/>
  <c r="J165" i="2"/>
  <c r="K159" i="2"/>
  <c r="AD12" i="2"/>
  <c r="J157" i="2"/>
  <c r="Z50" i="2"/>
  <c r="J31" i="2"/>
  <c r="AA5" i="2"/>
  <c r="AC96" i="2"/>
  <c r="H177" i="2"/>
  <c r="AF96" i="2"/>
  <c r="AC52" i="2"/>
  <c r="AA33" i="2"/>
  <c r="AD82" i="2"/>
  <c r="AG65" i="2"/>
  <c r="K3" i="2"/>
  <c r="AA81" i="2"/>
  <c r="J153" i="2"/>
  <c r="AB60" i="2"/>
  <c r="I78" i="2"/>
  <c r="G107" i="2"/>
  <c r="AA13" i="2"/>
  <c r="H198" i="2"/>
  <c r="AD33" i="2"/>
  <c r="Y86" i="2"/>
  <c r="H195" i="2"/>
  <c r="H108" i="2"/>
  <c r="I1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<sst xmlns="http://schemas.openxmlformats.org/spreadsheetml/2006/main" count="378" uniqueCount="88">
  <si>
    <t>No.</t>
    <phoneticPr fontId="1"/>
  </si>
  <si>
    <t>Sample ID</t>
    <phoneticPr fontId="1"/>
  </si>
  <si>
    <t>Wafer</t>
    <phoneticPr fontId="1"/>
  </si>
  <si>
    <t>Ref.</t>
    <phoneticPr fontId="1"/>
  </si>
  <si>
    <t>x</t>
  </si>
  <si>
    <t>x</t>
    <phoneticPr fontId="1"/>
  </si>
  <si>
    <t>y</t>
  </si>
  <si>
    <t>y</t>
    <phoneticPr fontId="1"/>
  </si>
  <si>
    <t>r</t>
  </si>
  <si>
    <t>r</t>
    <phoneticPr fontId="1"/>
  </si>
  <si>
    <t>[mm]</t>
  </si>
  <si>
    <t>[mm]</t>
    <phoneticPr fontId="1"/>
  </si>
  <si>
    <t>Initial</t>
  </si>
  <si>
    <t>Initial</t>
    <phoneticPr fontId="1"/>
  </si>
  <si>
    <t>After</t>
  </si>
  <si>
    <t>After</t>
    <phoneticPr fontId="1"/>
  </si>
  <si>
    <t>E/A</t>
  </si>
  <si>
    <t>E/A</t>
    <phoneticPr fontId="1"/>
  </si>
  <si>
    <t>E/R</t>
  </si>
  <si>
    <t>E/R</t>
    <phoneticPr fontId="1"/>
  </si>
  <si>
    <t>[Angstrom]</t>
  </si>
  <si>
    <t>[Angstrom]</t>
    <phoneticPr fontId="1"/>
  </si>
  <si>
    <t>[nm/sec]</t>
    <phoneticPr fontId="1"/>
  </si>
  <si>
    <t>[nm/min]</t>
    <phoneticPr fontId="1"/>
  </si>
  <si>
    <t>[sec]</t>
    <phoneticPr fontId="1"/>
  </si>
  <si>
    <t>[nm]</t>
  </si>
  <si>
    <t>[nm]</t>
    <phoneticPr fontId="1"/>
  </si>
  <si>
    <t>Time</t>
    <phoneticPr fontId="1"/>
  </si>
  <si>
    <r>
      <rPr>
        <i/>
        <sz val="10"/>
        <color theme="1"/>
        <rFont val="Times New Roman"/>
        <family val="1"/>
      </rPr>
      <t>x</t>
    </r>
    <r>
      <rPr>
        <sz val="10"/>
        <color theme="1"/>
        <rFont val="Times New Roman"/>
        <family val="1"/>
      </rPr>
      <t>-</t>
    </r>
    <r>
      <rPr>
        <i/>
        <sz val="10"/>
        <color theme="1"/>
        <rFont val="Times New Roman"/>
        <family val="1"/>
      </rPr>
      <t>y</t>
    </r>
    <phoneticPr fontId="1"/>
  </si>
  <si>
    <t>Date</t>
    <phoneticPr fontId="1"/>
  </si>
  <si>
    <t>Contour</t>
    <phoneticPr fontId="1"/>
  </si>
  <si>
    <t>[+/- %]</t>
    <phoneticPr fontId="1"/>
  </si>
  <si>
    <t>Uniformity</t>
    <phoneticPr fontId="1"/>
  </si>
  <si>
    <t>sigma</t>
    <phoneticPr fontId="1"/>
  </si>
  <si>
    <t>3*sigma</t>
    <phoneticPr fontId="1"/>
  </si>
  <si>
    <t>E/R (Etch Rate)</t>
    <phoneticPr fontId="1"/>
  </si>
  <si>
    <t>E/A (Etch Amount)</t>
    <phoneticPr fontId="1"/>
  </si>
  <si>
    <t>RF (bias)</t>
    <phoneticPr fontId="1"/>
  </si>
  <si>
    <t>RF (plasma)</t>
    <phoneticPr fontId="1"/>
  </si>
  <si>
    <t>Pressure</t>
    <phoneticPr fontId="1"/>
  </si>
  <si>
    <t>Gas</t>
    <phoneticPr fontId="1"/>
  </si>
  <si>
    <t>[mT]</t>
    <phoneticPr fontId="1"/>
  </si>
  <si>
    <t>[W]</t>
    <phoneticPr fontId="1"/>
  </si>
  <si>
    <t>[sccm]</t>
    <phoneticPr fontId="1"/>
  </si>
  <si>
    <t>unit</t>
    <phoneticPr fontId="1"/>
  </si>
  <si>
    <t>xx</t>
    <phoneticPr fontId="1"/>
  </si>
  <si>
    <t>aa</t>
    <phoneticPr fontId="1"/>
  </si>
  <si>
    <t>bb</t>
    <phoneticPr fontId="1"/>
  </si>
  <si>
    <t>cc</t>
    <phoneticPr fontId="1"/>
  </si>
  <si>
    <t>dd</t>
    <phoneticPr fontId="1"/>
  </si>
  <si>
    <t>x-y plot</t>
    <phoneticPr fontId="1"/>
  </si>
  <si>
    <r>
      <rPr>
        <i/>
        <sz val="9"/>
        <color theme="1"/>
        <rFont val="Times New Roman"/>
        <family val="1"/>
      </rPr>
      <t>x</t>
    </r>
    <r>
      <rPr>
        <sz val="9"/>
        <color theme="1"/>
        <rFont val="Times New Roman"/>
        <family val="1"/>
      </rPr>
      <t xml:space="preserve"> axis</t>
    </r>
    <phoneticPr fontId="1"/>
  </si>
  <si>
    <r>
      <rPr>
        <i/>
        <sz val="9"/>
        <color theme="1"/>
        <rFont val="Times New Roman"/>
        <family val="1"/>
      </rPr>
      <t>y</t>
    </r>
    <r>
      <rPr>
        <sz val="9"/>
        <color theme="1"/>
        <rFont val="Times New Roman"/>
        <family val="1"/>
      </rPr>
      <t xml:space="preserve"> axis</t>
    </r>
    <phoneticPr fontId="1"/>
  </si>
  <si>
    <t>Graph</t>
    <phoneticPr fontId="1"/>
  </si>
  <si>
    <r>
      <rPr>
        <b/>
        <i/>
        <sz val="9"/>
        <color theme="1"/>
        <rFont val="Times New Roman"/>
        <family val="1"/>
      </rPr>
      <t>x</t>
    </r>
    <r>
      <rPr>
        <b/>
        <sz val="9"/>
        <color theme="1"/>
        <rFont val="Times New Roman"/>
        <family val="1"/>
      </rPr>
      <t>-</t>
    </r>
    <r>
      <rPr>
        <b/>
        <i/>
        <sz val="9"/>
        <color theme="1"/>
        <rFont val="Times New Roman"/>
        <family val="1"/>
      </rPr>
      <t>y</t>
    </r>
    <r>
      <rPr>
        <b/>
        <sz val="9"/>
        <color theme="1"/>
        <rFont val="Times New Roman"/>
        <family val="1"/>
      </rPr>
      <t xml:space="preserve"> plot</t>
    </r>
    <phoneticPr fontId="1"/>
  </si>
  <si>
    <t>Temperature</t>
    <phoneticPr fontId="1"/>
  </si>
  <si>
    <t>[deg.C]</t>
    <phoneticPr fontId="1"/>
  </si>
  <si>
    <t>wafer</t>
    <phoneticPr fontId="1"/>
  </si>
  <si>
    <t>Poly-Si</t>
  </si>
  <si>
    <t>Poly-Si</t>
    <phoneticPr fontId="1"/>
  </si>
  <si>
    <t>100Ar / 60SF6 / 40O2</t>
  </si>
  <si>
    <t>100Ar / 60SF6 / 40O2</t>
    <phoneticPr fontId="1"/>
  </si>
  <si>
    <t>xxx.</t>
  </si>
  <si>
    <t>xxx.</t>
    <phoneticPr fontId="1"/>
  </si>
  <si>
    <t>[nm/min]
(contour)</t>
    <phoneticPr fontId="1"/>
  </si>
  <si>
    <r>
      <t>[nm/min]
(</t>
    </r>
    <r>
      <rPr>
        <i/>
        <sz val="9"/>
        <color theme="1"/>
        <rFont val="Times New Roman"/>
        <family val="1"/>
      </rPr>
      <t>x</t>
    </r>
    <r>
      <rPr>
        <sz val="9"/>
        <color theme="1"/>
        <rFont val="Times New Roman"/>
        <family val="1"/>
      </rPr>
      <t>)</t>
    </r>
    <phoneticPr fontId="1"/>
  </si>
  <si>
    <r>
      <t>[nm/min]
(</t>
    </r>
    <r>
      <rPr>
        <i/>
        <sz val="9"/>
        <color theme="1"/>
        <rFont val="Times New Roman"/>
        <family val="1"/>
      </rPr>
      <t>y</t>
    </r>
    <r>
      <rPr>
        <sz val="9"/>
        <color theme="1"/>
        <rFont val="Times New Roman"/>
        <family val="1"/>
      </rPr>
      <t>)</t>
    </r>
    <phoneticPr fontId="1"/>
  </si>
  <si>
    <r>
      <t>[nm/min]
(</t>
    </r>
    <r>
      <rPr>
        <i/>
        <sz val="9"/>
        <color theme="1"/>
        <rFont val="Times New Roman"/>
        <family val="1"/>
      </rPr>
      <t>x</t>
    </r>
    <r>
      <rPr>
        <sz val="9"/>
        <color theme="1"/>
        <rFont val="Times New Roman"/>
        <family val="1"/>
      </rPr>
      <t>-</t>
    </r>
    <r>
      <rPr>
        <i/>
        <sz val="9"/>
        <color theme="1"/>
        <rFont val="Times New Roman"/>
        <family val="1"/>
      </rPr>
      <t>y</t>
    </r>
    <r>
      <rPr>
        <sz val="9"/>
        <color theme="1"/>
        <rFont val="Times New Roman"/>
        <family val="1"/>
      </rPr>
      <t>)</t>
    </r>
    <phoneticPr fontId="1"/>
  </si>
  <si>
    <r>
      <rPr>
        <b/>
        <i/>
        <sz val="10"/>
        <color theme="0"/>
        <rFont val="Times New Roman"/>
        <family val="1"/>
      </rPr>
      <t>x</t>
    </r>
    <r>
      <rPr>
        <b/>
        <sz val="10"/>
        <color theme="0"/>
        <rFont val="Times New Roman"/>
        <family val="1"/>
      </rPr>
      <t>-</t>
    </r>
    <r>
      <rPr>
        <b/>
        <i/>
        <sz val="10"/>
        <color theme="0"/>
        <rFont val="Times New Roman"/>
        <family val="1"/>
      </rPr>
      <t>y</t>
    </r>
    <r>
      <rPr>
        <b/>
        <sz val="10"/>
        <color theme="0"/>
        <rFont val="Times New Roman"/>
        <family val="1"/>
      </rPr>
      <t xml:space="preserve"> plot</t>
    </r>
    <phoneticPr fontId="1"/>
  </si>
  <si>
    <r>
      <t>Graph (</t>
    </r>
    <r>
      <rPr>
        <b/>
        <i/>
        <sz val="10"/>
        <color theme="1"/>
        <rFont val="Times New Roman"/>
        <family val="1"/>
      </rPr>
      <t>x</t>
    </r>
    <r>
      <rPr>
        <b/>
        <sz val="10"/>
        <color theme="1"/>
        <rFont val="Times New Roman"/>
        <family val="1"/>
      </rPr>
      <t>-</t>
    </r>
    <r>
      <rPr>
        <b/>
        <i/>
        <sz val="10"/>
        <color theme="1"/>
        <rFont val="Times New Roman"/>
        <family val="1"/>
      </rPr>
      <t>y</t>
    </r>
    <r>
      <rPr>
        <b/>
        <sz val="10"/>
        <color theme="1"/>
        <rFont val="Times New Roman"/>
        <family val="1"/>
      </rPr>
      <t xml:space="preserve"> plot)</t>
    </r>
    <phoneticPr fontId="1"/>
  </si>
  <si>
    <t>ee</t>
    <phoneticPr fontId="1"/>
  </si>
  <si>
    <t>ff</t>
    <phoneticPr fontId="1"/>
  </si>
  <si>
    <t>gg</t>
    <phoneticPr fontId="1"/>
  </si>
  <si>
    <t>test001</t>
    <phoneticPr fontId="1"/>
  </si>
  <si>
    <t>01</t>
    <phoneticPr fontId="1"/>
  </si>
  <si>
    <t>test002</t>
    <phoneticPr fontId="1"/>
  </si>
  <si>
    <t>test003</t>
    <phoneticPr fontId="1"/>
  </si>
  <si>
    <t>test004</t>
    <phoneticPr fontId="1"/>
  </si>
  <si>
    <t>test005</t>
    <phoneticPr fontId="1"/>
  </si>
  <si>
    <t>05</t>
    <phoneticPr fontId="1"/>
  </si>
  <si>
    <t>04</t>
    <phoneticPr fontId="1"/>
  </si>
  <si>
    <t>03</t>
    <phoneticPr fontId="1"/>
  </si>
  <si>
    <t>02</t>
    <phoneticPr fontId="1"/>
  </si>
  <si>
    <t>Raw File (ini)</t>
    <phoneticPr fontId="1"/>
  </si>
  <si>
    <t>Slot (ini)</t>
    <phoneticPr fontId="1"/>
  </si>
  <si>
    <t>Raw File (aft)</t>
    <phoneticPr fontId="1"/>
  </si>
  <si>
    <t>Slot (aft)</t>
    <phoneticPr fontId="1"/>
  </si>
  <si>
    <t>20xx/xx/xx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</si>
</sst>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.00_ "/>
  </numFmts>
  <fonts count="1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i/>
      <sz val="9"/>
      <color theme="1"/>
      <name val="Times New Roman"/>
      <family val="1"/>
    </font>
    <font>
      <b/>
      <sz val="9"/>
      <color theme="0"/>
      <name val="Times New Roman"/>
      <family val="1"/>
    </font>
    <font>
      <b/>
      <sz val="10"/>
      <color theme="0"/>
      <name val="Times New Roman"/>
      <family val="1"/>
    </font>
    <font>
      <b/>
      <i/>
      <sz val="10"/>
      <color theme="0"/>
      <name val="Times New Roman"/>
      <family val="1"/>
    </font>
    <font>
      <b/>
      <sz val="10"/>
      <color rgb="FF0000FF"/>
      <name val="Times New Roman"/>
      <family val="1"/>
    </font>
    <font>
      <b/>
      <sz val="10"/>
      <color rgb="FFFF0000"/>
      <name val="Times New Roman"/>
      <family val="1"/>
    </font>
    <font>
      <b/>
      <sz val="10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sz val="11"/>
      <color rgb="FF000000"/>
      <name val="ＭＳ Ｐゴシック"/>
      <family val="3"/>
      <charset val="128"/>
    </font>
    <font>
      <b/>
      <sz val="6"/>
      <color rgb="FF000000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12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3" xfId="0" applyFont="1" applyBorder="1">
      <alignment vertical="center"/>
    </xf>
    <xf numFmtId="0" fontId="8" fillId="2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4" fontId="4" fillId="0" borderId="3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177" fontId="4" fillId="0" borderId="3" xfId="0" applyNumberFormat="1" applyFont="1" applyBorder="1">
      <alignment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176" fontId="4" fillId="0" borderId="24" xfId="0" applyNumberFormat="1" applyFont="1" applyBorder="1">
      <alignment vertical="center"/>
    </xf>
    <xf numFmtId="0" fontId="6" fillId="0" borderId="26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11" xfId="0" applyFont="1" applyBorder="1">
      <alignment vertical="center"/>
    </xf>
    <xf numFmtId="0" fontId="2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2" fillId="0" borderId="30" xfId="0" applyFont="1" applyBorder="1">
      <alignment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2" fillId="0" borderId="37" xfId="0" applyFont="1" applyBorder="1">
      <alignment vertical="center"/>
    </xf>
    <xf numFmtId="0" fontId="9" fillId="2" borderId="3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0" fontId="2" fillId="0" borderId="0" xfId="0" applyFont="1" applyBorder="1">
      <alignment vertical="center"/>
    </xf>
    <xf numFmtId="0" fontId="3" fillId="0" borderId="34" xfId="0" applyFont="1" applyBorder="1" applyAlignment="1">
      <alignment horizontal="center" vertical="center"/>
    </xf>
    <xf numFmtId="0" fontId="2" fillId="0" borderId="32" xfId="0" applyFont="1" applyBorder="1" applyAlignment="1">
      <alignment vertical="center"/>
    </xf>
    <xf numFmtId="0" fontId="2" fillId="0" borderId="32" xfId="0" applyFont="1" applyBorder="1">
      <alignment vertical="center"/>
    </xf>
    <xf numFmtId="0" fontId="2" fillId="0" borderId="33" xfId="0" applyFont="1" applyBorder="1">
      <alignment vertical="center"/>
    </xf>
    <xf numFmtId="0" fontId="2" fillId="0" borderId="31" xfId="0" applyFont="1" applyBorder="1" applyAlignment="1">
      <alignment horizontal="center" vertical="center"/>
    </xf>
    <xf numFmtId="0" fontId="2" fillId="0" borderId="4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0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39" xfId="0" applyFont="1" applyBorder="1">
      <alignment vertical="center"/>
    </xf>
    <xf numFmtId="49" fontId="4" fillId="0" borderId="3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13" fillId="0" borderId="33" xfId="0" applyFont="1" applyBorder="1" applyAlignment="1">
      <alignment horizontal="center" vertical="top" wrapText="1"/>
    </xf>
    <xf numFmtId="0" fontId="13" fillId="0" borderId="11" xfId="0" applyFont="1" applyBorder="1" applyAlignment="1">
      <alignment horizontal="center" vertical="top"/>
    </xf>
    <xf numFmtId="0" fontId="13" fillId="0" borderId="12" xfId="0" applyFont="1" applyBorder="1" applyAlignment="1">
      <alignment horizontal="center" vertical="top"/>
    </xf>
    <xf numFmtId="0" fontId="13" fillId="0" borderId="34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Data!$A$17</c:f>
              <c:strCache>
                <c:ptCount val="1"/>
                <c:pt idx="0">
                  <c:v>x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Data!$A$19:$A$67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Data!$G$19:$G$67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54-40CF-A8CA-E105B998CEC2}"/>
            </c:ext>
          </c:extLst>
        </c:ser>
        <c:ser>
          <c:idx val="1"/>
          <c:order val="1"/>
          <c:tx>
            <c:strRef>
              <c:f>Data!$B$17</c:f>
              <c:strCache>
                <c:ptCount val="1"/>
                <c:pt idx="0">
                  <c:v>y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Data!$B$68:$B$115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Data!$G$68:$G$115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54-40CF-A8CA-E105B998C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719359"/>
        <c:axId val="734702959"/>
      </c:scatterChart>
      <c:valAx>
        <c:axId val="1250719359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wafer location 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734702959"/>
        <c:crosses val="autoZero"/>
        <c:crossBetween val="midCat"/>
        <c:majorUnit val="20"/>
      </c:valAx>
      <c:valAx>
        <c:axId val="73470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E/R [nm/min]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250719359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Data!$A$17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Data!$A$19:$A$67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Data!$K$19:$K$67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10-44E3-940A-664D02CCBEDA}"/>
            </c:ext>
          </c:extLst>
        </c:ser>
        <c:ser>
          <c:idx val="1"/>
          <c:order val="1"/>
          <c:tx>
            <c:strRef>
              <c:f>Data!$B$17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Data!$B$68:$B$115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Data!$K$68:$K$115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10-44E3-940A-664D02CCB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719359"/>
        <c:axId val="734702959"/>
      </c:scatterChart>
      <c:valAx>
        <c:axId val="1250719359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wafer location 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734702959"/>
        <c:crosses val="autoZero"/>
        <c:crossBetween val="midCat"/>
        <c:majorUnit val="20"/>
      </c:valAx>
      <c:valAx>
        <c:axId val="73470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E/R [nm/min]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250719359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Data!$A$17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Data!$A$19:$A$67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Data!$O$19:$O$67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9D-4FBD-8828-C0663A10D480}"/>
            </c:ext>
          </c:extLst>
        </c:ser>
        <c:ser>
          <c:idx val="1"/>
          <c:order val="1"/>
          <c:tx>
            <c:strRef>
              <c:f>Data!$B$17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Data!$B$68:$B$115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Data!$O$68:$O$115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9D-4FBD-8828-C0663A10D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719359"/>
        <c:axId val="734702959"/>
      </c:scatterChart>
      <c:valAx>
        <c:axId val="1250719359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wafer location 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734702959"/>
        <c:crosses val="autoZero"/>
        <c:crossBetween val="midCat"/>
        <c:majorUnit val="20"/>
      </c:valAx>
      <c:valAx>
        <c:axId val="73470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E/R [nm/min]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250719359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Data!$A$17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Data!$A$19:$A$67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Data!$S$19:$S$67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E-482D-B9B0-55167A6A2A9F}"/>
            </c:ext>
          </c:extLst>
        </c:ser>
        <c:ser>
          <c:idx val="1"/>
          <c:order val="1"/>
          <c:tx>
            <c:strRef>
              <c:f>Data!$B$17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Data!$B$68:$B$115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Data!$S$68:$S$115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1E-482D-B9B0-55167A6A2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719359"/>
        <c:axId val="734702959"/>
      </c:scatterChart>
      <c:valAx>
        <c:axId val="1250719359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wafer location 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734702959"/>
        <c:crosses val="autoZero"/>
        <c:crossBetween val="midCat"/>
        <c:majorUnit val="20"/>
      </c:valAx>
      <c:valAx>
        <c:axId val="73470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E/R [nm/min]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250719359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Data!$A$17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Data!$A$19:$A$67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Data!$W$19:$W$67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92-4A9B-9446-208297E1A06D}"/>
            </c:ext>
          </c:extLst>
        </c:ser>
        <c:ser>
          <c:idx val="1"/>
          <c:order val="1"/>
          <c:tx>
            <c:strRef>
              <c:f>Data!$B$17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Data!$B$68:$B$115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Data!$W$68:$W$115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92-4A9B-9446-208297E1A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719359"/>
        <c:axId val="734702959"/>
      </c:scatterChart>
      <c:valAx>
        <c:axId val="1250719359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wafer location 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734702959"/>
        <c:crosses val="autoZero"/>
        <c:crossBetween val="midCat"/>
        <c:majorUnit val="20"/>
      </c:valAx>
      <c:valAx>
        <c:axId val="73470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E/R [nm/min]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250719359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Data!$A$17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Data!$A$19:$A$67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Data!$AA$19:$AA$67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43-423B-9EE7-9B64613C8FAC}"/>
            </c:ext>
          </c:extLst>
        </c:ser>
        <c:ser>
          <c:idx val="1"/>
          <c:order val="1"/>
          <c:tx>
            <c:strRef>
              <c:f>Data!$B$17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Data!$B$68:$B$115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Data!$AA$68:$AA$115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43-423B-9EE7-9B64613C8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719359"/>
        <c:axId val="734702959"/>
      </c:scatterChart>
      <c:valAx>
        <c:axId val="1250719359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wafer location 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734702959"/>
        <c:crosses val="autoZero"/>
        <c:crossBetween val="midCat"/>
        <c:majorUnit val="20"/>
      </c:valAx>
      <c:valAx>
        <c:axId val="73470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E/R [nm/min]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250719359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Data!$A$17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Data!$A$19:$A$67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Data!$AE$19:$AE$67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DE-4E96-8CAA-574A153AA856}"/>
            </c:ext>
          </c:extLst>
        </c:ser>
        <c:ser>
          <c:idx val="1"/>
          <c:order val="1"/>
          <c:tx>
            <c:strRef>
              <c:f>Data!$B$17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Data!$B$68:$B$115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Data!$AE$68:$AE$115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E-4E96-8CAA-574A153AA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719359"/>
        <c:axId val="734702959"/>
      </c:scatterChart>
      <c:valAx>
        <c:axId val="1250719359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wafer location 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734702959"/>
        <c:crosses val="autoZero"/>
        <c:crossBetween val="midCat"/>
        <c:majorUnit val="20"/>
      </c:valAx>
      <c:valAx>
        <c:axId val="73470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E/R [nm/min]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250719359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Data!$A$17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Data!$A$19:$A$67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Data!$AI$19:$AI$67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0D-4CE5-8E62-9067230FA11E}"/>
            </c:ext>
          </c:extLst>
        </c:ser>
        <c:ser>
          <c:idx val="1"/>
          <c:order val="1"/>
          <c:tx>
            <c:strRef>
              <c:f>Data!$B$17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Data!$B$68:$B$115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Data!$AI$68:$AI$115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0D-4CE5-8E62-9067230FA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719359"/>
        <c:axId val="734702959"/>
      </c:scatterChart>
      <c:valAx>
        <c:axId val="1250719359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wafer location 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734702959"/>
        <c:crosses val="autoZero"/>
        <c:crossBetween val="midCat"/>
        <c:majorUnit val="20"/>
      </c:valAx>
      <c:valAx>
        <c:axId val="73470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E/R [nm/min]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250719359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Data!$A$17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Data!$A$19:$A$67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Data!$AM$19:$AM$67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11-4D2B-87ED-05DFA0DF941C}"/>
            </c:ext>
          </c:extLst>
        </c:ser>
        <c:ser>
          <c:idx val="1"/>
          <c:order val="1"/>
          <c:tx>
            <c:strRef>
              <c:f>Data!$B$17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Data!$B$68:$B$115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Data!$AM$68:$AM$115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11-4D2B-87ED-05DFA0DF9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719359"/>
        <c:axId val="734702959"/>
      </c:scatterChart>
      <c:valAx>
        <c:axId val="1250719359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wafer location 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734702959"/>
        <c:crosses val="autoZero"/>
        <c:crossBetween val="midCat"/>
        <c:majorUnit val="20"/>
      </c:valAx>
      <c:valAx>
        <c:axId val="73470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E/R [nm/min]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250719359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Data!$A$17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Data!$A$19:$A$67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Data!$AQ$19:$AQ$67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7E-41C2-8373-13F5A48A0306}"/>
            </c:ext>
          </c:extLst>
        </c:ser>
        <c:ser>
          <c:idx val="1"/>
          <c:order val="1"/>
          <c:tx>
            <c:strRef>
              <c:f>Data!$B$17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Data!$B$68:$B$115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Data!$AQ$68:$AQ$115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7E-41C2-8373-13F5A48A0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719359"/>
        <c:axId val="734702959"/>
      </c:scatterChart>
      <c:valAx>
        <c:axId val="1250719359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wafer location [mm]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734702959"/>
        <c:crosses val="autoZero"/>
        <c:crossBetween val="midCat"/>
        <c:majorUnit val="20"/>
      </c:valAx>
      <c:valAx>
        <c:axId val="73470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E/R [nm/min]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250719359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Sum!$X$1</c:f>
              <c:strCache>
                <c:ptCount val="1"/>
                <c:pt idx="0">
                  <c:v>xx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Sum!$V$3:$V$51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Sum!$X$3:$X$51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9-4C5A-8FCE-BACF2C8DCFE7}"/>
            </c:ext>
          </c:extLst>
        </c:ser>
        <c:ser>
          <c:idx val="1"/>
          <c:order val="1"/>
          <c:tx>
            <c:strRef>
              <c:f>Sum!$Y$1</c:f>
              <c:strCache>
                <c:ptCount val="1"/>
                <c:pt idx="0">
                  <c:v>aa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Sum!$V$3:$V$51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Sum!$Y$3:$Y$51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49-4C5A-8FCE-BACF2C8DCFE7}"/>
            </c:ext>
          </c:extLst>
        </c:ser>
        <c:ser>
          <c:idx val="2"/>
          <c:order val="2"/>
          <c:tx>
            <c:strRef>
              <c:f>Sum!$Z$1</c:f>
              <c:strCache>
                <c:ptCount val="1"/>
                <c:pt idx="0">
                  <c:v>bb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Sum!$V$3:$V$51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Sum!$Z$3:$Z$51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49-4C5A-8FCE-BACF2C8DCFE7}"/>
            </c:ext>
          </c:extLst>
        </c:ser>
        <c:ser>
          <c:idx val="3"/>
          <c:order val="3"/>
          <c:tx>
            <c:strRef>
              <c:f>Sum!$AA$1</c:f>
              <c:strCache>
                <c:ptCount val="1"/>
                <c:pt idx="0">
                  <c:v>cc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Sum!$V$3:$V$51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Sum!$AA$3:$AA$51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49-4C5A-8FCE-BACF2C8DCFE7}"/>
            </c:ext>
          </c:extLst>
        </c:ser>
        <c:ser>
          <c:idx val="4"/>
          <c:order val="4"/>
          <c:tx>
            <c:strRef>
              <c:f>Sum!$AB$1</c:f>
              <c:strCache>
                <c:ptCount val="1"/>
                <c:pt idx="0">
                  <c:v>dd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Sum!$V$3:$V$51</c:f>
              <c:numCache>
                <c:formatCode>General</c:formatCode>
                <c:ptCount val="49"/>
                <c:pt idx="0">
                  <c:v>-98</c:v>
                </c:pt>
                <c:pt idx="1">
                  <c:v>-97</c:v>
                </c:pt>
                <c:pt idx="2">
                  <c:v>-96</c:v>
                </c:pt>
                <c:pt idx="3">
                  <c:v>-95</c:v>
                </c:pt>
                <c:pt idx="4">
                  <c:v>-94</c:v>
                </c:pt>
                <c:pt idx="5">
                  <c:v>-92</c:v>
                </c:pt>
                <c:pt idx="6">
                  <c:v>-90</c:v>
                </c:pt>
                <c:pt idx="7">
                  <c:v>-85</c:v>
                </c:pt>
                <c:pt idx="8">
                  <c:v>-80</c:v>
                </c:pt>
                <c:pt idx="9">
                  <c:v>-75</c:v>
                </c:pt>
                <c:pt idx="10">
                  <c:v>-70</c:v>
                </c:pt>
                <c:pt idx="11">
                  <c:v>-65</c:v>
                </c:pt>
                <c:pt idx="12">
                  <c:v>-60</c:v>
                </c:pt>
                <c:pt idx="13">
                  <c:v>-55</c:v>
                </c:pt>
                <c:pt idx="14">
                  <c:v>-50</c:v>
                </c:pt>
                <c:pt idx="15">
                  <c:v>-45</c:v>
                </c:pt>
                <c:pt idx="16">
                  <c:v>-40</c:v>
                </c:pt>
                <c:pt idx="17">
                  <c:v>-35</c:v>
                </c:pt>
                <c:pt idx="18">
                  <c:v>-30</c:v>
                </c:pt>
                <c:pt idx="19">
                  <c:v>-25</c:v>
                </c:pt>
                <c:pt idx="20">
                  <c:v>-20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0</c:v>
                </c:pt>
                <c:pt idx="25">
                  <c:v>5</c:v>
                </c:pt>
                <c:pt idx="26">
                  <c:v>10</c:v>
                </c:pt>
                <c:pt idx="27">
                  <c:v>15</c:v>
                </c:pt>
                <c:pt idx="28">
                  <c:v>20</c:v>
                </c:pt>
                <c:pt idx="29">
                  <c:v>25</c:v>
                </c:pt>
                <c:pt idx="30">
                  <c:v>30</c:v>
                </c:pt>
                <c:pt idx="31">
                  <c:v>35</c:v>
                </c:pt>
                <c:pt idx="32">
                  <c:v>40</c:v>
                </c:pt>
                <c:pt idx="33">
                  <c:v>45</c:v>
                </c:pt>
                <c:pt idx="34">
                  <c:v>50</c:v>
                </c:pt>
                <c:pt idx="35">
                  <c:v>55</c:v>
                </c:pt>
                <c:pt idx="36">
                  <c:v>60</c:v>
                </c:pt>
                <c:pt idx="37">
                  <c:v>65</c:v>
                </c:pt>
                <c:pt idx="38">
                  <c:v>70</c:v>
                </c:pt>
                <c:pt idx="39">
                  <c:v>75</c:v>
                </c:pt>
                <c:pt idx="40">
                  <c:v>80</c:v>
                </c:pt>
                <c:pt idx="41">
                  <c:v>85</c:v>
                </c:pt>
                <c:pt idx="42">
                  <c:v>90</c:v>
                </c:pt>
                <c:pt idx="43">
                  <c:v>92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</c:numCache>
            </c:numRef>
          </c:xVal>
          <c:yVal>
            <c:numRef>
              <c:f>Sum!$AB$3:$AB$51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49-4C5A-8FCE-BACF2C8DC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40992"/>
        <c:axId val="11274556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Sum!$AC$1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270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Sum!$V$3:$V$51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-98</c:v>
                      </c:pt>
                      <c:pt idx="1">
                        <c:v>-97</c:v>
                      </c:pt>
                      <c:pt idx="2">
                        <c:v>-96</c:v>
                      </c:pt>
                      <c:pt idx="3">
                        <c:v>-95</c:v>
                      </c:pt>
                      <c:pt idx="4">
                        <c:v>-94</c:v>
                      </c:pt>
                      <c:pt idx="5">
                        <c:v>-92</c:v>
                      </c:pt>
                      <c:pt idx="6">
                        <c:v>-90</c:v>
                      </c:pt>
                      <c:pt idx="7">
                        <c:v>-85</c:v>
                      </c:pt>
                      <c:pt idx="8">
                        <c:v>-80</c:v>
                      </c:pt>
                      <c:pt idx="9">
                        <c:v>-75</c:v>
                      </c:pt>
                      <c:pt idx="10">
                        <c:v>-70</c:v>
                      </c:pt>
                      <c:pt idx="11">
                        <c:v>-65</c:v>
                      </c:pt>
                      <c:pt idx="12">
                        <c:v>-60</c:v>
                      </c:pt>
                      <c:pt idx="13">
                        <c:v>-55</c:v>
                      </c:pt>
                      <c:pt idx="14">
                        <c:v>-50</c:v>
                      </c:pt>
                      <c:pt idx="15">
                        <c:v>-45</c:v>
                      </c:pt>
                      <c:pt idx="16">
                        <c:v>-40</c:v>
                      </c:pt>
                      <c:pt idx="17">
                        <c:v>-35</c:v>
                      </c:pt>
                      <c:pt idx="18">
                        <c:v>-30</c:v>
                      </c:pt>
                      <c:pt idx="19">
                        <c:v>-25</c:v>
                      </c:pt>
                      <c:pt idx="20">
                        <c:v>-20</c:v>
                      </c:pt>
                      <c:pt idx="21">
                        <c:v>-15</c:v>
                      </c:pt>
                      <c:pt idx="22">
                        <c:v>-10</c:v>
                      </c:pt>
                      <c:pt idx="23">
                        <c:v>-5</c:v>
                      </c:pt>
                      <c:pt idx="24">
                        <c:v>0</c:v>
                      </c:pt>
                      <c:pt idx="25">
                        <c:v>5</c:v>
                      </c:pt>
                      <c:pt idx="26">
                        <c:v>10</c:v>
                      </c:pt>
                      <c:pt idx="27">
                        <c:v>15</c:v>
                      </c:pt>
                      <c:pt idx="28">
                        <c:v>20</c:v>
                      </c:pt>
                      <c:pt idx="29">
                        <c:v>25</c:v>
                      </c:pt>
                      <c:pt idx="30">
                        <c:v>30</c:v>
                      </c:pt>
                      <c:pt idx="31">
                        <c:v>35</c:v>
                      </c:pt>
                      <c:pt idx="32">
                        <c:v>40</c:v>
                      </c:pt>
                      <c:pt idx="33">
                        <c:v>45</c:v>
                      </c:pt>
                      <c:pt idx="34">
                        <c:v>50</c:v>
                      </c:pt>
                      <c:pt idx="35">
                        <c:v>55</c:v>
                      </c:pt>
                      <c:pt idx="36">
                        <c:v>60</c:v>
                      </c:pt>
                      <c:pt idx="37">
                        <c:v>65</c:v>
                      </c:pt>
                      <c:pt idx="38">
                        <c:v>70</c:v>
                      </c:pt>
                      <c:pt idx="39">
                        <c:v>75</c:v>
                      </c:pt>
                      <c:pt idx="40">
                        <c:v>80</c:v>
                      </c:pt>
                      <c:pt idx="41">
                        <c:v>85</c:v>
                      </c:pt>
                      <c:pt idx="42">
                        <c:v>90</c:v>
                      </c:pt>
                      <c:pt idx="43">
                        <c:v>92</c:v>
                      </c:pt>
                      <c:pt idx="44">
                        <c:v>94</c:v>
                      </c:pt>
                      <c:pt idx="45">
                        <c:v>95</c:v>
                      </c:pt>
                      <c:pt idx="46">
                        <c:v>96</c:v>
                      </c:pt>
                      <c:pt idx="47">
                        <c:v>97</c:v>
                      </c:pt>
                      <c:pt idx="48">
                        <c:v>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Sum!$AC$3:$AC$51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5549-4C5A-8FCE-BACF2C8DCFE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Sum!$AD$1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270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Sum!$V$3:$V$51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-98</c:v>
                      </c:pt>
                      <c:pt idx="1">
                        <c:v>-97</c:v>
                      </c:pt>
                      <c:pt idx="2">
                        <c:v>-96</c:v>
                      </c:pt>
                      <c:pt idx="3">
                        <c:v>-95</c:v>
                      </c:pt>
                      <c:pt idx="4">
                        <c:v>-94</c:v>
                      </c:pt>
                      <c:pt idx="5">
                        <c:v>-92</c:v>
                      </c:pt>
                      <c:pt idx="6">
                        <c:v>-90</c:v>
                      </c:pt>
                      <c:pt idx="7">
                        <c:v>-85</c:v>
                      </c:pt>
                      <c:pt idx="8">
                        <c:v>-80</c:v>
                      </c:pt>
                      <c:pt idx="9">
                        <c:v>-75</c:v>
                      </c:pt>
                      <c:pt idx="10">
                        <c:v>-70</c:v>
                      </c:pt>
                      <c:pt idx="11">
                        <c:v>-65</c:v>
                      </c:pt>
                      <c:pt idx="12">
                        <c:v>-60</c:v>
                      </c:pt>
                      <c:pt idx="13">
                        <c:v>-55</c:v>
                      </c:pt>
                      <c:pt idx="14">
                        <c:v>-50</c:v>
                      </c:pt>
                      <c:pt idx="15">
                        <c:v>-45</c:v>
                      </c:pt>
                      <c:pt idx="16">
                        <c:v>-40</c:v>
                      </c:pt>
                      <c:pt idx="17">
                        <c:v>-35</c:v>
                      </c:pt>
                      <c:pt idx="18">
                        <c:v>-30</c:v>
                      </c:pt>
                      <c:pt idx="19">
                        <c:v>-25</c:v>
                      </c:pt>
                      <c:pt idx="20">
                        <c:v>-20</c:v>
                      </c:pt>
                      <c:pt idx="21">
                        <c:v>-15</c:v>
                      </c:pt>
                      <c:pt idx="22">
                        <c:v>-10</c:v>
                      </c:pt>
                      <c:pt idx="23">
                        <c:v>-5</c:v>
                      </c:pt>
                      <c:pt idx="24">
                        <c:v>0</c:v>
                      </c:pt>
                      <c:pt idx="25">
                        <c:v>5</c:v>
                      </c:pt>
                      <c:pt idx="26">
                        <c:v>10</c:v>
                      </c:pt>
                      <c:pt idx="27">
                        <c:v>15</c:v>
                      </c:pt>
                      <c:pt idx="28">
                        <c:v>20</c:v>
                      </c:pt>
                      <c:pt idx="29">
                        <c:v>25</c:v>
                      </c:pt>
                      <c:pt idx="30">
                        <c:v>30</c:v>
                      </c:pt>
                      <c:pt idx="31">
                        <c:v>35</c:v>
                      </c:pt>
                      <c:pt idx="32">
                        <c:v>40</c:v>
                      </c:pt>
                      <c:pt idx="33">
                        <c:v>45</c:v>
                      </c:pt>
                      <c:pt idx="34">
                        <c:v>50</c:v>
                      </c:pt>
                      <c:pt idx="35">
                        <c:v>55</c:v>
                      </c:pt>
                      <c:pt idx="36">
                        <c:v>60</c:v>
                      </c:pt>
                      <c:pt idx="37">
                        <c:v>65</c:v>
                      </c:pt>
                      <c:pt idx="38">
                        <c:v>70</c:v>
                      </c:pt>
                      <c:pt idx="39">
                        <c:v>75</c:v>
                      </c:pt>
                      <c:pt idx="40">
                        <c:v>80</c:v>
                      </c:pt>
                      <c:pt idx="41">
                        <c:v>85</c:v>
                      </c:pt>
                      <c:pt idx="42">
                        <c:v>90</c:v>
                      </c:pt>
                      <c:pt idx="43">
                        <c:v>92</c:v>
                      </c:pt>
                      <c:pt idx="44">
                        <c:v>94</c:v>
                      </c:pt>
                      <c:pt idx="45">
                        <c:v>95</c:v>
                      </c:pt>
                      <c:pt idx="46">
                        <c:v>96</c:v>
                      </c:pt>
                      <c:pt idx="47">
                        <c:v>97</c:v>
                      </c:pt>
                      <c:pt idx="48">
                        <c:v>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Sum!$AD$3:$AD$51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549-4C5A-8FCE-BACF2C8DCFE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Sum!$AE$1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270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Sum!$V$3:$V$51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-98</c:v>
                      </c:pt>
                      <c:pt idx="1">
                        <c:v>-97</c:v>
                      </c:pt>
                      <c:pt idx="2">
                        <c:v>-96</c:v>
                      </c:pt>
                      <c:pt idx="3">
                        <c:v>-95</c:v>
                      </c:pt>
                      <c:pt idx="4">
                        <c:v>-94</c:v>
                      </c:pt>
                      <c:pt idx="5">
                        <c:v>-92</c:v>
                      </c:pt>
                      <c:pt idx="6">
                        <c:v>-90</c:v>
                      </c:pt>
                      <c:pt idx="7">
                        <c:v>-85</c:v>
                      </c:pt>
                      <c:pt idx="8">
                        <c:v>-80</c:v>
                      </c:pt>
                      <c:pt idx="9">
                        <c:v>-75</c:v>
                      </c:pt>
                      <c:pt idx="10">
                        <c:v>-70</c:v>
                      </c:pt>
                      <c:pt idx="11">
                        <c:v>-65</c:v>
                      </c:pt>
                      <c:pt idx="12">
                        <c:v>-60</c:v>
                      </c:pt>
                      <c:pt idx="13">
                        <c:v>-55</c:v>
                      </c:pt>
                      <c:pt idx="14">
                        <c:v>-50</c:v>
                      </c:pt>
                      <c:pt idx="15">
                        <c:v>-45</c:v>
                      </c:pt>
                      <c:pt idx="16">
                        <c:v>-40</c:v>
                      </c:pt>
                      <c:pt idx="17">
                        <c:v>-35</c:v>
                      </c:pt>
                      <c:pt idx="18">
                        <c:v>-30</c:v>
                      </c:pt>
                      <c:pt idx="19">
                        <c:v>-25</c:v>
                      </c:pt>
                      <c:pt idx="20">
                        <c:v>-20</c:v>
                      </c:pt>
                      <c:pt idx="21">
                        <c:v>-15</c:v>
                      </c:pt>
                      <c:pt idx="22">
                        <c:v>-10</c:v>
                      </c:pt>
                      <c:pt idx="23">
                        <c:v>-5</c:v>
                      </c:pt>
                      <c:pt idx="24">
                        <c:v>0</c:v>
                      </c:pt>
                      <c:pt idx="25">
                        <c:v>5</c:v>
                      </c:pt>
                      <c:pt idx="26">
                        <c:v>10</c:v>
                      </c:pt>
                      <c:pt idx="27">
                        <c:v>15</c:v>
                      </c:pt>
                      <c:pt idx="28">
                        <c:v>20</c:v>
                      </c:pt>
                      <c:pt idx="29">
                        <c:v>25</c:v>
                      </c:pt>
                      <c:pt idx="30">
                        <c:v>30</c:v>
                      </c:pt>
                      <c:pt idx="31">
                        <c:v>35</c:v>
                      </c:pt>
                      <c:pt idx="32">
                        <c:v>40</c:v>
                      </c:pt>
                      <c:pt idx="33">
                        <c:v>45</c:v>
                      </c:pt>
                      <c:pt idx="34">
                        <c:v>50</c:v>
                      </c:pt>
                      <c:pt idx="35">
                        <c:v>55</c:v>
                      </c:pt>
                      <c:pt idx="36">
                        <c:v>60</c:v>
                      </c:pt>
                      <c:pt idx="37">
                        <c:v>65</c:v>
                      </c:pt>
                      <c:pt idx="38">
                        <c:v>70</c:v>
                      </c:pt>
                      <c:pt idx="39">
                        <c:v>75</c:v>
                      </c:pt>
                      <c:pt idx="40">
                        <c:v>80</c:v>
                      </c:pt>
                      <c:pt idx="41">
                        <c:v>85</c:v>
                      </c:pt>
                      <c:pt idx="42">
                        <c:v>90</c:v>
                      </c:pt>
                      <c:pt idx="43">
                        <c:v>92</c:v>
                      </c:pt>
                      <c:pt idx="44">
                        <c:v>94</c:v>
                      </c:pt>
                      <c:pt idx="45">
                        <c:v>95</c:v>
                      </c:pt>
                      <c:pt idx="46">
                        <c:v>96</c:v>
                      </c:pt>
                      <c:pt idx="47">
                        <c:v>97</c:v>
                      </c:pt>
                      <c:pt idx="48">
                        <c:v>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Sum!$AE$3:$AE$51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549-4C5A-8FCE-BACF2C8DCFE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Sum!$AF$1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270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Sum!$V$3:$V$51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-98</c:v>
                      </c:pt>
                      <c:pt idx="1">
                        <c:v>-97</c:v>
                      </c:pt>
                      <c:pt idx="2">
                        <c:v>-96</c:v>
                      </c:pt>
                      <c:pt idx="3">
                        <c:v>-95</c:v>
                      </c:pt>
                      <c:pt idx="4">
                        <c:v>-94</c:v>
                      </c:pt>
                      <c:pt idx="5">
                        <c:v>-92</c:v>
                      </c:pt>
                      <c:pt idx="6">
                        <c:v>-90</c:v>
                      </c:pt>
                      <c:pt idx="7">
                        <c:v>-85</c:v>
                      </c:pt>
                      <c:pt idx="8">
                        <c:v>-80</c:v>
                      </c:pt>
                      <c:pt idx="9">
                        <c:v>-75</c:v>
                      </c:pt>
                      <c:pt idx="10">
                        <c:v>-70</c:v>
                      </c:pt>
                      <c:pt idx="11">
                        <c:v>-65</c:v>
                      </c:pt>
                      <c:pt idx="12">
                        <c:v>-60</c:v>
                      </c:pt>
                      <c:pt idx="13">
                        <c:v>-55</c:v>
                      </c:pt>
                      <c:pt idx="14">
                        <c:v>-50</c:v>
                      </c:pt>
                      <c:pt idx="15">
                        <c:v>-45</c:v>
                      </c:pt>
                      <c:pt idx="16">
                        <c:v>-40</c:v>
                      </c:pt>
                      <c:pt idx="17">
                        <c:v>-35</c:v>
                      </c:pt>
                      <c:pt idx="18">
                        <c:v>-30</c:v>
                      </c:pt>
                      <c:pt idx="19">
                        <c:v>-25</c:v>
                      </c:pt>
                      <c:pt idx="20">
                        <c:v>-20</c:v>
                      </c:pt>
                      <c:pt idx="21">
                        <c:v>-15</c:v>
                      </c:pt>
                      <c:pt idx="22">
                        <c:v>-10</c:v>
                      </c:pt>
                      <c:pt idx="23">
                        <c:v>-5</c:v>
                      </c:pt>
                      <c:pt idx="24">
                        <c:v>0</c:v>
                      </c:pt>
                      <c:pt idx="25">
                        <c:v>5</c:v>
                      </c:pt>
                      <c:pt idx="26">
                        <c:v>10</c:v>
                      </c:pt>
                      <c:pt idx="27">
                        <c:v>15</c:v>
                      </c:pt>
                      <c:pt idx="28">
                        <c:v>20</c:v>
                      </c:pt>
                      <c:pt idx="29">
                        <c:v>25</c:v>
                      </c:pt>
                      <c:pt idx="30">
                        <c:v>30</c:v>
                      </c:pt>
                      <c:pt idx="31">
                        <c:v>35</c:v>
                      </c:pt>
                      <c:pt idx="32">
                        <c:v>40</c:v>
                      </c:pt>
                      <c:pt idx="33">
                        <c:v>45</c:v>
                      </c:pt>
                      <c:pt idx="34">
                        <c:v>50</c:v>
                      </c:pt>
                      <c:pt idx="35">
                        <c:v>55</c:v>
                      </c:pt>
                      <c:pt idx="36">
                        <c:v>60</c:v>
                      </c:pt>
                      <c:pt idx="37">
                        <c:v>65</c:v>
                      </c:pt>
                      <c:pt idx="38">
                        <c:v>70</c:v>
                      </c:pt>
                      <c:pt idx="39">
                        <c:v>75</c:v>
                      </c:pt>
                      <c:pt idx="40">
                        <c:v>80</c:v>
                      </c:pt>
                      <c:pt idx="41">
                        <c:v>85</c:v>
                      </c:pt>
                      <c:pt idx="42">
                        <c:v>90</c:v>
                      </c:pt>
                      <c:pt idx="43">
                        <c:v>92</c:v>
                      </c:pt>
                      <c:pt idx="44">
                        <c:v>94</c:v>
                      </c:pt>
                      <c:pt idx="45">
                        <c:v>95</c:v>
                      </c:pt>
                      <c:pt idx="46">
                        <c:v>96</c:v>
                      </c:pt>
                      <c:pt idx="47">
                        <c:v>97</c:v>
                      </c:pt>
                      <c:pt idx="48">
                        <c:v>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Sum!$AF$3:$AF$51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549-4C5A-8FCE-BACF2C8DCFE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Sum!$AG$1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270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Sum!$V$3:$V$51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-98</c:v>
                      </c:pt>
                      <c:pt idx="1">
                        <c:v>-97</c:v>
                      </c:pt>
                      <c:pt idx="2">
                        <c:v>-96</c:v>
                      </c:pt>
                      <c:pt idx="3">
                        <c:v>-95</c:v>
                      </c:pt>
                      <c:pt idx="4">
                        <c:v>-94</c:v>
                      </c:pt>
                      <c:pt idx="5">
                        <c:v>-92</c:v>
                      </c:pt>
                      <c:pt idx="6">
                        <c:v>-90</c:v>
                      </c:pt>
                      <c:pt idx="7">
                        <c:v>-85</c:v>
                      </c:pt>
                      <c:pt idx="8">
                        <c:v>-80</c:v>
                      </c:pt>
                      <c:pt idx="9">
                        <c:v>-75</c:v>
                      </c:pt>
                      <c:pt idx="10">
                        <c:v>-70</c:v>
                      </c:pt>
                      <c:pt idx="11">
                        <c:v>-65</c:v>
                      </c:pt>
                      <c:pt idx="12">
                        <c:v>-60</c:v>
                      </c:pt>
                      <c:pt idx="13">
                        <c:v>-55</c:v>
                      </c:pt>
                      <c:pt idx="14">
                        <c:v>-50</c:v>
                      </c:pt>
                      <c:pt idx="15">
                        <c:v>-45</c:v>
                      </c:pt>
                      <c:pt idx="16">
                        <c:v>-40</c:v>
                      </c:pt>
                      <c:pt idx="17">
                        <c:v>-35</c:v>
                      </c:pt>
                      <c:pt idx="18">
                        <c:v>-30</c:v>
                      </c:pt>
                      <c:pt idx="19">
                        <c:v>-25</c:v>
                      </c:pt>
                      <c:pt idx="20">
                        <c:v>-20</c:v>
                      </c:pt>
                      <c:pt idx="21">
                        <c:v>-15</c:v>
                      </c:pt>
                      <c:pt idx="22">
                        <c:v>-10</c:v>
                      </c:pt>
                      <c:pt idx="23">
                        <c:v>-5</c:v>
                      </c:pt>
                      <c:pt idx="24">
                        <c:v>0</c:v>
                      </c:pt>
                      <c:pt idx="25">
                        <c:v>5</c:v>
                      </c:pt>
                      <c:pt idx="26">
                        <c:v>10</c:v>
                      </c:pt>
                      <c:pt idx="27">
                        <c:v>15</c:v>
                      </c:pt>
                      <c:pt idx="28">
                        <c:v>20</c:v>
                      </c:pt>
                      <c:pt idx="29">
                        <c:v>25</c:v>
                      </c:pt>
                      <c:pt idx="30">
                        <c:v>30</c:v>
                      </c:pt>
                      <c:pt idx="31">
                        <c:v>35</c:v>
                      </c:pt>
                      <c:pt idx="32">
                        <c:v>40</c:v>
                      </c:pt>
                      <c:pt idx="33">
                        <c:v>45</c:v>
                      </c:pt>
                      <c:pt idx="34">
                        <c:v>50</c:v>
                      </c:pt>
                      <c:pt idx="35">
                        <c:v>55</c:v>
                      </c:pt>
                      <c:pt idx="36">
                        <c:v>60</c:v>
                      </c:pt>
                      <c:pt idx="37">
                        <c:v>65</c:v>
                      </c:pt>
                      <c:pt idx="38">
                        <c:v>70</c:v>
                      </c:pt>
                      <c:pt idx="39">
                        <c:v>75</c:v>
                      </c:pt>
                      <c:pt idx="40">
                        <c:v>80</c:v>
                      </c:pt>
                      <c:pt idx="41">
                        <c:v>85</c:v>
                      </c:pt>
                      <c:pt idx="42">
                        <c:v>90</c:v>
                      </c:pt>
                      <c:pt idx="43">
                        <c:v>92</c:v>
                      </c:pt>
                      <c:pt idx="44">
                        <c:v>94</c:v>
                      </c:pt>
                      <c:pt idx="45">
                        <c:v>95</c:v>
                      </c:pt>
                      <c:pt idx="46">
                        <c:v>96</c:v>
                      </c:pt>
                      <c:pt idx="47">
                        <c:v>97</c:v>
                      </c:pt>
                      <c:pt idx="48">
                        <c:v>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Sum!$AG$3:$AG$51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549-4C5A-8FCE-BACF2C8DCFE7}"/>
                  </c:ext>
                </c:extLst>
              </c15:ser>
            </c15:filteredScatterSeries>
          </c:ext>
        </c:extLst>
      </c:scatterChart>
      <c:valAx>
        <c:axId val="112740992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wafer location [mm]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745568"/>
        <c:crosses val="autoZero"/>
        <c:crossBetween val="midCat"/>
        <c:majorUnit val="20"/>
      </c:valAx>
      <c:valAx>
        <c:axId val="1127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E/R (x-axis) [nm/min]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740992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Sum!$X$1</c:f>
              <c:strCache>
                <c:ptCount val="1"/>
                <c:pt idx="0">
                  <c:v>xx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Sum!$W$52:$W$99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Sum!$X$52:$X$99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8D-4BFF-8B4C-5A9FA6ACB91F}"/>
            </c:ext>
          </c:extLst>
        </c:ser>
        <c:ser>
          <c:idx val="1"/>
          <c:order val="1"/>
          <c:tx>
            <c:strRef>
              <c:f>Sum!$Y$1</c:f>
              <c:strCache>
                <c:ptCount val="1"/>
                <c:pt idx="0">
                  <c:v>aa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Sum!$W$52:$W$99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Sum!$Y$52:$Y$99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8D-4BFF-8B4C-5A9FA6ACB91F}"/>
            </c:ext>
          </c:extLst>
        </c:ser>
        <c:ser>
          <c:idx val="2"/>
          <c:order val="2"/>
          <c:tx>
            <c:strRef>
              <c:f>Sum!$Z$1</c:f>
              <c:strCache>
                <c:ptCount val="1"/>
                <c:pt idx="0">
                  <c:v>bb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Sum!$W$52:$W$99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Sum!$Z$52:$Z$99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8D-4BFF-8B4C-5A9FA6ACB91F}"/>
            </c:ext>
          </c:extLst>
        </c:ser>
        <c:ser>
          <c:idx val="3"/>
          <c:order val="3"/>
          <c:tx>
            <c:strRef>
              <c:f>Sum!$AA$1</c:f>
              <c:strCache>
                <c:ptCount val="1"/>
                <c:pt idx="0">
                  <c:v>cc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Sum!$W$52:$W$99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Sum!$AA$52:$AA$99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8D-4BFF-8B4C-5A9FA6ACB91F}"/>
            </c:ext>
          </c:extLst>
        </c:ser>
        <c:ser>
          <c:idx val="4"/>
          <c:order val="4"/>
          <c:tx>
            <c:strRef>
              <c:f>Sum!$AB$1</c:f>
              <c:strCache>
                <c:ptCount val="1"/>
                <c:pt idx="0">
                  <c:v>dd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Sum!$W$52:$W$99</c:f>
              <c:numCache>
                <c:formatCode>General</c:formatCode>
                <c:ptCount val="48"/>
                <c:pt idx="0">
                  <c:v>-97</c:v>
                </c:pt>
                <c:pt idx="1">
                  <c:v>-96</c:v>
                </c:pt>
                <c:pt idx="2">
                  <c:v>-95</c:v>
                </c:pt>
                <c:pt idx="3">
                  <c:v>-94</c:v>
                </c:pt>
                <c:pt idx="4">
                  <c:v>-92</c:v>
                </c:pt>
                <c:pt idx="5">
                  <c:v>-90</c:v>
                </c:pt>
                <c:pt idx="6">
                  <c:v>-85</c:v>
                </c:pt>
                <c:pt idx="7">
                  <c:v>-80</c:v>
                </c:pt>
                <c:pt idx="8">
                  <c:v>-75</c:v>
                </c:pt>
                <c:pt idx="9">
                  <c:v>-70</c:v>
                </c:pt>
                <c:pt idx="10">
                  <c:v>-65</c:v>
                </c:pt>
                <c:pt idx="11">
                  <c:v>-60</c:v>
                </c:pt>
                <c:pt idx="12">
                  <c:v>-55</c:v>
                </c:pt>
                <c:pt idx="13">
                  <c:v>-50</c:v>
                </c:pt>
                <c:pt idx="14">
                  <c:v>-45</c:v>
                </c:pt>
                <c:pt idx="15">
                  <c:v>-40</c:v>
                </c:pt>
                <c:pt idx="16">
                  <c:v>-35</c:v>
                </c:pt>
                <c:pt idx="17">
                  <c:v>-30</c:v>
                </c:pt>
                <c:pt idx="18">
                  <c:v>-25</c:v>
                </c:pt>
                <c:pt idx="19">
                  <c:v>-20</c:v>
                </c:pt>
                <c:pt idx="20">
                  <c:v>-15</c:v>
                </c:pt>
                <c:pt idx="21">
                  <c:v>-10</c:v>
                </c:pt>
                <c:pt idx="22">
                  <c:v>-5</c:v>
                </c:pt>
                <c:pt idx="23">
                  <c:v>0</c:v>
                </c:pt>
                <c:pt idx="24">
                  <c:v>5</c:v>
                </c:pt>
                <c:pt idx="25">
                  <c:v>10</c:v>
                </c:pt>
                <c:pt idx="26">
                  <c:v>15</c:v>
                </c:pt>
                <c:pt idx="27">
                  <c:v>20</c:v>
                </c:pt>
                <c:pt idx="28">
                  <c:v>25</c:v>
                </c:pt>
                <c:pt idx="29">
                  <c:v>30</c:v>
                </c:pt>
                <c:pt idx="30">
                  <c:v>35</c:v>
                </c:pt>
                <c:pt idx="31">
                  <c:v>40</c:v>
                </c:pt>
                <c:pt idx="32">
                  <c:v>45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65</c:v>
                </c:pt>
                <c:pt idx="37">
                  <c:v>70</c:v>
                </c:pt>
                <c:pt idx="38">
                  <c:v>75</c:v>
                </c:pt>
                <c:pt idx="39">
                  <c:v>80</c:v>
                </c:pt>
                <c:pt idx="40">
                  <c:v>85</c:v>
                </c:pt>
                <c:pt idx="41">
                  <c:v>90</c:v>
                </c:pt>
                <c:pt idx="42">
                  <c:v>92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</c:numCache>
            </c:numRef>
          </c:xVal>
          <c:yVal>
            <c:numRef>
              <c:f>Sum!$AB$52:$AB$99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C8D-4BFF-8B4C-5A9FA6ACB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40992"/>
        <c:axId val="11274556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Sum!$AC$1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270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Sum!$W$52:$W$99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-97</c:v>
                      </c:pt>
                      <c:pt idx="1">
                        <c:v>-96</c:v>
                      </c:pt>
                      <c:pt idx="2">
                        <c:v>-95</c:v>
                      </c:pt>
                      <c:pt idx="3">
                        <c:v>-94</c:v>
                      </c:pt>
                      <c:pt idx="4">
                        <c:v>-92</c:v>
                      </c:pt>
                      <c:pt idx="5">
                        <c:v>-90</c:v>
                      </c:pt>
                      <c:pt idx="6">
                        <c:v>-85</c:v>
                      </c:pt>
                      <c:pt idx="7">
                        <c:v>-80</c:v>
                      </c:pt>
                      <c:pt idx="8">
                        <c:v>-75</c:v>
                      </c:pt>
                      <c:pt idx="9">
                        <c:v>-70</c:v>
                      </c:pt>
                      <c:pt idx="10">
                        <c:v>-65</c:v>
                      </c:pt>
                      <c:pt idx="11">
                        <c:v>-60</c:v>
                      </c:pt>
                      <c:pt idx="12">
                        <c:v>-55</c:v>
                      </c:pt>
                      <c:pt idx="13">
                        <c:v>-50</c:v>
                      </c:pt>
                      <c:pt idx="14">
                        <c:v>-45</c:v>
                      </c:pt>
                      <c:pt idx="15">
                        <c:v>-40</c:v>
                      </c:pt>
                      <c:pt idx="16">
                        <c:v>-35</c:v>
                      </c:pt>
                      <c:pt idx="17">
                        <c:v>-30</c:v>
                      </c:pt>
                      <c:pt idx="18">
                        <c:v>-25</c:v>
                      </c:pt>
                      <c:pt idx="19">
                        <c:v>-20</c:v>
                      </c:pt>
                      <c:pt idx="20">
                        <c:v>-15</c:v>
                      </c:pt>
                      <c:pt idx="21">
                        <c:v>-10</c:v>
                      </c:pt>
                      <c:pt idx="22">
                        <c:v>-5</c:v>
                      </c:pt>
                      <c:pt idx="23">
                        <c:v>0</c:v>
                      </c:pt>
                      <c:pt idx="24">
                        <c:v>5</c:v>
                      </c:pt>
                      <c:pt idx="25">
                        <c:v>10</c:v>
                      </c:pt>
                      <c:pt idx="26">
                        <c:v>15</c:v>
                      </c:pt>
                      <c:pt idx="27">
                        <c:v>20</c:v>
                      </c:pt>
                      <c:pt idx="28">
                        <c:v>25</c:v>
                      </c:pt>
                      <c:pt idx="29">
                        <c:v>30</c:v>
                      </c:pt>
                      <c:pt idx="30">
                        <c:v>35</c:v>
                      </c:pt>
                      <c:pt idx="31">
                        <c:v>40</c:v>
                      </c:pt>
                      <c:pt idx="32">
                        <c:v>45</c:v>
                      </c:pt>
                      <c:pt idx="33">
                        <c:v>50</c:v>
                      </c:pt>
                      <c:pt idx="34">
                        <c:v>55</c:v>
                      </c:pt>
                      <c:pt idx="35">
                        <c:v>60</c:v>
                      </c:pt>
                      <c:pt idx="36">
                        <c:v>65</c:v>
                      </c:pt>
                      <c:pt idx="37">
                        <c:v>70</c:v>
                      </c:pt>
                      <c:pt idx="38">
                        <c:v>75</c:v>
                      </c:pt>
                      <c:pt idx="39">
                        <c:v>80</c:v>
                      </c:pt>
                      <c:pt idx="40">
                        <c:v>85</c:v>
                      </c:pt>
                      <c:pt idx="41">
                        <c:v>90</c:v>
                      </c:pt>
                      <c:pt idx="42">
                        <c:v>92</c:v>
                      </c:pt>
                      <c:pt idx="43">
                        <c:v>94</c:v>
                      </c:pt>
                      <c:pt idx="44">
                        <c:v>95</c:v>
                      </c:pt>
                      <c:pt idx="45">
                        <c:v>96</c:v>
                      </c:pt>
                      <c:pt idx="46">
                        <c:v>97</c:v>
                      </c:pt>
                      <c:pt idx="47">
                        <c:v>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Sum!$AC$52:$AC$99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7C8D-4BFF-8B4C-5A9FA6ACB91F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Sum!$AD$1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270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Sum!$W$52:$W$99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-97</c:v>
                      </c:pt>
                      <c:pt idx="1">
                        <c:v>-96</c:v>
                      </c:pt>
                      <c:pt idx="2">
                        <c:v>-95</c:v>
                      </c:pt>
                      <c:pt idx="3">
                        <c:v>-94</c:v>
                      </c:pt>
                      <c:pt idx="4">
                        <c:v>-92</c:v>
                      </c:pt>
                      <c:pt idx="5">
                        <c:v>-90</c:v>
                      </c:pt>
                      <c:pt idx="6">
                        <c:v>-85</c:v>
                      </c:pt>
                      <c:pt idx="7">
                        <c:v>-80</c:v>
                      </c:pt>
                      <c:pt idx="8">
                        <c:v>-75</c:v>
                      </c:pt>
                      <c:pt idx="9">
                        <c:v>-70</c:v>
                      </c:pt>
                      <c:pt idx="10">
                        <c:v>-65</c:v>
                      </c:pt>
                      <c:pt idx="11">
                        <c:v>-60</c:v>
                      </c:pt>
                      <c:pt idx="12">
                        <c:v>-55</c:v>
                      </c:pt>
                      <c:pt idx="13">
                        <c:v>-50</c:v>
                      </c:pt>
                      <c:pt idx="14">
                        <c:v>-45</c:v>
                      </c:pt>
                      <c:pt idx="15">
                        <c:v>-40</c:v>
                      </c:pt>
                      <c:pt idx="16">
                        <c:v>-35</c:v>
                      </c:pt>
                      <c:pt idx="17">
                        <c:v>-30</c:v>
                      </c:pt>
                      <c:pt idx="18">
                        <c:v>-25</c:v>
                      </c:pt>
                      <c:pt idx="19">
                        <c:v>-20</c:v>
                      </c:pt>
                      <c:pt idx="20">
                        <c:v>-15</c:v>
                      </c:pt>
                      <c:pt idx="21">
                        <c:v>-10</c:v>
                      </c:pt>
                      <c:pt idx="22">
                        <c:v>-5</c:v>
                      </c:pt>
                      <c:pt idx="23">
                        <c:v>0</c:v>
                      </c:pt>
                      <c:pt idx="24">
                        <c:v>5</c:v>
                      </c:pt>
                      <c:pt idx="25">
                        <c:v>10</c:v>
                      </c:pt>
                      <c:pt idx="26">
                        <c:v>15</c:v>
                      </c:pt>
                      <c:pt idx="27">
                        <c:v>20</c:v>
                      </c:pt>
                      <c:pt idx="28">
                        <c:v>25</c:v>
                      </c:pt>
                      <c:pt idx="29">
                        <c:v>30</c:v>
                      </c:pt>
                      <c:pt idx="30">
                        <c:v>35</c:v>
                      </c:pt>
                      <c:pt idx="31">
                        <c:v>40</c:v>
                      </c:pt>
                      <c:pt idx="32">
                        <c:v>45</c:v>
                      </c:pt>
                      <c:pt idx="33">
                        <c:v>50</c:v>
                      </c:pt>
                      <c:pt idx="34">
                        <c:v>55</c:v>
                      </c:pt>
                      <c:pt idx="35">
                        <c:v>60</c:v>
                      </c:pt>
                      <c:pt idx="36">
                        <c:v>65</c:v>
                      </c:pt>
                      <c:pt idx="37">
                        <c:v>70</c:v>
                      </c:pt>
                      <c:pt idx="38">
                        <c:v>75</c:v>
                      </c:pt>
                      <c:pt idx="39">
                        <c:v>80</c:v>
                      </c:pt>
                      <c:pt idx="40">
                        <c:v>85</c:v>
                      </c:pt>
                      <c:pt idx="41">
                        <c:v>90</c:v>
                      </c:pt>
                      <c:pt idx="42">
                        <c:v>92</c:v>
                      </c:pt>
                      <c:pt idx="43">
                        <c:v>94</c:v>
                      </c:pt>
                      <c:pt idx="44">
                        <c:v>95</c:v>
                      </c:pt>
                      <c:pt idx="45">
                        <c:v>96</c:v>
                      </c:pt>
                      <c:pt idx="46">
                        <c:v>97</c:v>
                      </c:pt>
                      <c:pt idx="47">
                        <c:v>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Sum!$AD$52:$AD$99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C8D-4BFF-8B4C-5A9FA6ACB91F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Sum!$AE$1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270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Sum!$W$52:$W$99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-97</c:v>
                      </c:pt>
                      <c:pt idx="1">
                        <c:v>-96</c:v>
                      </c:pt>
                      <c:pt idx="2">
                        <c:v>-95</c:v>
                      </c:pt>
                      <c:pt idx="3">
                        <c:v>-94</c:v>
                      </c:pt>
                      <c:pt idx="4">
                        <c:v>-92</c:v>
                      </c:pt>
                      <c:pt idx="5">
                        <c:v>-90</c:v>
                      </c:pt>
                      <c:pt idx="6">
                        <c:v>-85</c:v>
                      </c:pt>
                      <c:pt idx="7">
                        <c:v>-80</c:v>
                      </c:pt>
                      <c:pt idx="8">
                        <c:v>-75</c:v>
                      </c:pt>
                      <c:pt idx="9">
                        <c:v>-70</c:v>
                      </c:pt>
                      <c:pt idx="10">
                        <c:v>-65</c:v>
                      </c:pt>
                      <c:pt idx="11">
                        <c:v>-60</c:v>
                      </c:pt>
                      <c:pt idx="12">
                        <c:v>-55</c:v>
                      </c:pt>
                      <c:pt idx="13">
                        <c:v>-50</c:v>
                      </c:pt>
                      <c:pt idx="14">
                        <c:v>-45</c:v>
                      </c:pt>
                      <c:pt idx="15">
                        <c:v>-40</c:v>
                      </c:pt>
                      <c:pt idx="16">
                        <c:v>-35</c:v>
                      </c:pt>
                      <c:pt idx="17">
                        <c:v>-30</c:v>
                      </c:pt>
                      <c:pt idx="18">
                        <c:v>-25</c:v>
                      </c:pt>
                      <c:pt idx="19">
                        <c:v>-20</c:v>
                      </c:pt>
                      <c:pt idx="20">
                        <c:v>-15</c:v>
                      </c:pt>
                      <c:pt idx="21">
                        <c:v>-10</c:v>
                      </c:pt>
                      <c:pt idx="22">
                        <c:v>-5</c:v>
                      </c:pt>
                      <c:pt idx="23">
                        <c:v>0</c:v>
                      </c:pt>
                      <c:pt idx="24">
                        <c:v>5</c:v>
                      </c:pt>
                      <c:pt idx="25">
                        <c:v>10</c:v>
                      </c:pt>
                      <c:pt idx="26">
                        <c:v>15</c:v>
                      </c:pt>
                      <c:pt idx="27">
                        <c:v>20</c:v>
                      </c:pt>
                      <c:pt idx="28">
                        <c:v>25</c:v>
                      </c:pt>
                      <c:pt idx="29">
                        <c:v>30</c:v>
                      </c:pt>
                      <c:pt idx="30">
                        <c:v>35</c:v>
                      </c:pt>
                      <c:pt idx="31">
                        <c:v>40</c:v>
                      </c:pt>
                      <c:pt idx="32">
                        <c:v>45</c:v>
                      </c:pt>
                      <c:pt idx="33">
                        <c:v>50</c:v>
                      </c:pt>
                      <c:pt idx="34">
                        <c:v>55</c:v>
                      </c:pt>
                      <c:pt idx="35">
                        <c:v>60</c:v>
                      </c:pt>
                      <c:pt idx="36">
                        <c:v>65</c:v>
                      </c:pt>
                      <c:pt idx="37">
                        <c:v>70</c:v>
                      </c:pt>
                      <c:pt idx="38">
                        <c:v>75</c:v>
                      </c:pt>
                      <c:pt idx="39">
                        <c:v>80</c:v>
                      </c:pt>
                      <c:pt idx="40">
                        <c:v>85</c:v>
                      </c:pt>
                      <c:pt idx="41">
                        <c:v>90</c:v>
                      </c:pt>
                      <c:pt idx="42">
                        <c:v>92</c:v>
                      </c:pt>
                      <c:pt idx="43">
                        <c:v>94</c:v>
                      </c:pt>
                      <c:pt idx="44">
                        <c:v>95</c:v>
                      </c:pt>
                      <c:pt idx="45">
                        <c:v>96</c:v>
                      </c:pt>
                      <c:pt idx="46">
                        <c:v>97</c:v>
                      </c:pt>
                      <c:pt idx="47">
                        <c:v>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Sum!$AE$52:$AE$99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C8D-4BFF-8B4C-5A9FA6ACB91F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Sum!$AF$1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270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Sum!$W$52:$W$99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-97</c:v>
                      </c:pt>
                      <c:pt idx="1">
                        <c:v>-96</c:v>
                      </c:pt>
                      <c:pt idx="2">
                        <c:v>-95</c:v>
                      </c:pt>
                      <c:pt idx="3">
                        <c:v>-94</c:v>
                      </c:pt>
                      <c:pt idx="4">
                        <c:v>-92</c:v>
                      </c:pt>
                      <c:pt idx="5">
                        <c:v>-90</c:v>
                      </c:pt>
                      <c:pt idx="6">
                        <c:v>-85</c:v>
                      </c:pt>
                      <c:pt idx="7">
                        <c:v>-80</c:v>
                      </c:pt>
                      <c:pt idx="8">
                        <c:v>-75</c:v>
                      </c:pt>
                      <c:pt idx="9">
                        <c:v>-70</c:v>
                      </c:pt>
                      <c:pt idx="10">
                        <c:v>-65</c:v>
                      </c:pt>
                      <c:pt idx="11">
                        <c:v>-60</c:v>
                      </c:pt>
                      <c:pt idx="12">
                        <c:v>-55</c:v>
                      </c:pt>
                      <c:pt idx="13">
                        <c:v>-50</c:v>
                      </c:pt>
                      <c:pt idx="14">
                        <c:v>-45</c:v>
                      </c:pt>
                      <c:pt idx="15">
                        <c:v>-40</c:v>
                      </c:pt>
                      <c:pt idx="16">
                        <c:v>-35</c:v>
                      </c:pt>
                      <c:pt idx="17">
                        <c:v>-30</c:v>
                      </c:pt>
                      <c:pt idx="18">
                        <c:v>-25</c:v>
                      </c:pt>
                      <c:pt idx="19">
                        <c:v>-20</c:v>
                      </c:pt>
                      <c:pt idx="20">
                        <c:v>-15</c:v>
                      </c:pt>
                      <c:pt idx="21">
                        <c:v>-10</c:v>
                      </c:pt>
                      <c:pt idx="22">
                        <c:v>-5</c:v>
                      </c:pt>
                      <c:pt idx="23">
                        <c:v>0</c:v>
                      </c:pt>
                      <c:pt idx="24">
                        <c:v>5</c:v>
                      </c:pt>
                      <c:pt idx="25">
                        <c:v>10</c:v>
                      </c:pt>
                      <c:pt idx="26">
                        <c:v>15</c:v>
                      </c:pt>
                      <c:pt idx="27">
                        <c:v>20</c:v>
                      </c:pt>
                      <c:pt idx="28">
                        <c:v>25</c:v>
                      </c:pt>
                      <c:pt idx="29">
                        <c:v>30</c:v>
                      </c:pt>
                      <c:pt idx="30">
                        <c:v>35</c:v>
                      </c:pt>
                      <c:pt idx="31">
                        <c:v>40</c:v>
                      </c:pt>
                      <c:pt idx="32">
                        <c:v>45</c:v>
                      </c:pt>
                      <c:pt idx="33">
                        <c:v>50</c:v>
                      </c:pt>
                      <c:pt idx="34">
                        <c:v>55</c:v>
                      </c:pt>
                      <c:pt idx="35">
                        <c:v>60</c:v>
                      </c:pt>
                      <c:pt idx="36">
                        <c:v>65</c:v>
                      </c:pt>
                      <c:pt idx="37">
                        <c:v>70</c:v>
                      </c:pt>
                      <c:pt idx="38">
                        <c:v>75</c:v>
                      </c:pt>
                      <c:pt idx="39">
                        <c:v>80</c:v>
                      </c:pt>
                      <c:pt idx="40">
                        <c:v>85</c:v>
                      </c:pt>
                      <c:pt idx="41">
                        <c:v>90</c:v>
                      </c:pt>
                      <c:pt idx="42">
                        <c:v>92</c:v>
                      </c:pt>
                      <c:pt idx="43">
                        <c:v>94</c:v>
                      </c:pt>
                      <c:pt idx="44">
                        <c:v>95</c:v>
                      </c:pt>
                      <c:pt idx="45">
                        <c:v>96</c:v>
                      </c:pt>
                      <c:pt idx="46">
                        <c:v>97</c:v>
                      </c:pt>
                      <c:pt idx="47">
                        <c:v>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Sum!$AF$52:$AF$99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C8D-4BFF-8B4C-5A9FA6ACB91F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Sum!$AG$1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270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Sum!$W$52:$W$99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-97</c:v>
                      </c:pt>
                      <c:pt idx="1">
                        <c:v>-96</c:v>
                      </c:pt>
                      <c:pt idx="2">
                        <c:v>-95</c:v>
                      </c:pt>
                      <c:pt idx="3">
                        <c:v>-94</c:v>
                      </c:pt>
                      <c:pt idx="4">
                        <c:v>-92</c:v>
                      </c:pt>
                      <c:pt idx="5">
                        <c:v>-90</c:v>
                      </c:pt>
                      <c:pt idx="6">
                        <c:v>-85</c:v>
                      </c:pt>
                      <c:pt idx="7">
                        <c:v>-80</c:v>
                      </c:pt>
                      <c:pt idx="8">
                        <c:v>-75</c:v>
                      </c:pt>
                      <c:pt idx="9">
                        <c:v>-70</c:v>
                      </c:pt>
                      <c:pt idx="10">
                        <c:v>-65</c:v>
                      </c:pt>
                      <c:pt idx="11">
                        <c:v>-60</c:v>
                      </c:pt>
                      <c:pt idx="12">
                        <c:v>-55</c:v>
                      </c:pt>
                      <c:pt idx="13">
                        <c:v>-50</c:v>
                      </c:pt>
                      <c:pt idx="14">
                        <c:v>-45</c:v>
                      </c:pt>
                      <c:pt idx="15">
                        <c:v>-40</c:v>
                      </c:pt>
                      <c:pt idx="16">
                        <c:v>-35</c:v>
                      </c:pt>
                      <c:pt idx="17">
                        <c:v>-30</c:v>
                      </c:pt>
                      <c:pt idx="18">
                        <c:v>-25</c:v>
                      </c:pt>
                      <c:pt idx="19">
                        <c:v>-20</c:v>
                      </c:pt>
                      <c:pt idx="20">
                        <c:v>-15</c:v>
                      </c:pt>
                      <c:pt idx="21">
                        <c:v>-10</c:v>
                      </c:pt>
                      <c:pt idx="22">
                        <c:v>-5</c:v>
                      </c:pt>
                      <c:pt idx="23">
                        <c:v>0</c:v>
                      </c:pt>
                      <c:pt idx="24">
                        <c:v>5</c:v>
                      </c:pt>
                      <c:pt idx="25">
                        <c:v>10</c:v>
                      </c:pt>
                      <c:pt idx="26">
                        <c:v>15</c:v>
                      </c:pt>
                      <c:pt idx="27">
                        <c:v>20</c:v>
                      </c:pt>
                      <c:pt idx="28">
                        <c:v>25</c:v>
                      </c:pt>
                      <c:pt idx="29">
                        <c:v>30</c:v>
                      </c:pt>
                      <c:pt idx="30">
                        <c:v>35</c:v>
                      </c:pt>
                      <c:pt idx="31">
                        <c:v>40</c:v>
                      </c:pt>
                      <c:pt idx="32">
                        <c:v>45</c:v>
                      </c:pt>
                      <c:pt idx="33">
                        <c:v>50</c:v>
                      </c:pt>
                      <c:pt idx="34">
                        <c:v>55</c:v>
                      </c:pt>
                      <c:pt idx="35">
                        <c:v>60</c:v>
                      </c:pt>
                      <c:pt idx="36">
                        <c:v>65</c:v>
                      </c:pt>
                      <c:pt idx="37">
                        <c:v>70</c:v>
                      </c:pt>
                      <c:pt idx="38">
                        <c:v>75</c:v>
                      </c:pt>
                      <c:pt idx="39">
                        <c:v>80</c:v>
                      </c:pt>
                      <c:pt idx="40">
                        <c:v>85</c:v>
                      </c:pt>
                      <c:pt idx="41">
                        <c:v>90</c:v>
                      </c:pt>
                      <c:pt idx="42">
                        <c:v>92</c:v>
                      </c:pt>
                      <c:pt idx="43">
                        <c:v>94</c:v>
                      </c:pt>
                      <c:pt idx="44">
                        <c:v>95</c:v>
                      </c:pt>
                      <c:pt idx="45">
                        <c:v>96</c:v>
                      </c:pt>
                      <c:pt idx="46">
                        <c:v>97</c:v>
                      </c:pt>
                      <c:pt idx="47">
                        <c:v>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Sum!$AG$52:$AG$99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C8D-4BFF-8B4C-5A9FA6ACB91F}"/>
                  </c:ext>
                </c:extLst>
              </c15:ser>
            </c15:filteredScatterSeries>
          </c:ext>
        </c:extLst>
      </c:scatterChart>
      <c:valAx>
        <c:axId val="112740992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wafer location [mm]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745568"/>
        <c:crosses val="autoZero"/>
        <c:crossBetween val="midCat"/>
        <c:majorUnit val="20"/>
      </c:valAx>
      <c:valAx>
        <c:axId val="1127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E/R (y-axis) [nm/min]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740992"/>
        <c:crosses val="autoZero"/>
        <c:crossBetween val="midCat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5443</xdr:colOff>
          <xdr:row>0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Setting initial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5443</xdr:colOff>
          <xdr:row>0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Setting after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632571</xdr:colOff>
      <xdr:row>5</xdr:row>
      <xdr:rowOff>2268000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16329</xdr:colOff>
          <xdr:row>5</xdr:row>
          <xdr:rowOff>234043</xdr:rowOff>
        </xdr:from>
        <xdr:to>
          <xdr:col>1</xdr:col>
          <xdr:colOff>212271</xdr:colOff>
          <xdr:row>5</xdr:row>
          <xdr:rowOff>522514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000" tIns="36000" rIns="36000" bIns="36000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Copy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375557</xdr:colOff>
          <xdr:row>5</xdr:row>
          <xdr:rowOff>234043</xdr:rowOff>
        </xdr:from>
        <xdr:to>
          <xdr:col>2</xdr:col>
          <xdr:colOff>571500</xdr:colOff>
          <xdr:row>5</xdr:row>
          <xdr:rowOff>522514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000" tIns="36000" rIns="36000" bIns="36000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5</xdr:row>
      <xdr:rowOff>0</xdr:rowOff>
    </xdr:from>
    <xdr:to>
      <xdr:col>10</xdr:col>
      <xdr:colOff>632570</xdr:colOff>
      <xdr:row>5</xdr:row>
      <xdr:rowOff>2268000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14</xdr:col>
      <xdr:colOff>632571</xdr:colOff>
      <xdr:row>5</xdr:row>
      <xdr:rowOff>2268000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18</xdr:col>
      <xdr:colOff>632570</xdr:colOff>
      <xdr:row>5</xdr:row>
      <xdr:rowOff>2268000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5</xdr:row>
      <xdr:rowOff>0</xdr:rowOff>
    </xdr:from>
    <xdr:to>
      <xdr:col>22</xdr:col>
      <xdr:colOff>632571</xdr:colOff>
      <xdr:row>5</xdr:row>
      <xdr:rowOff>2268000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5</xdr:row>
      <xdr:rowOff>0</xdr:rowOff>
    </xdr:from>
    <xdr:to>
      <xdr:col>26</xdr:col>
      <xdr:colOff>632570</xdr:colOff>
      <xdr:row>5</xdr:row>
      <xdr:rowOff>2268000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5</xdr:row>
      <xdr:rowOff>0</xdr:rowOff>
    </xdr:from>
    <xdr:to>
      <xdr:col>30</xdr:col>
      <xdr:colOff>632570</xdr:colOff>
      <xdr:row>5</xdr:row>
      <xdr:rowOff>2268000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0</xdr:colOff>
      <xdr:row>5</xdr:row>
      <xdr:rowOff>0</xdr:rowOff>
    </xdr:from>
    <xdr:to>
      <xdr:col>34</xdr:col>
      <xdr:colOff>632571</xdr:colOff>
      <xdr:row>5</xdr:row>
      <xdr:rowOff>2268000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5</xdr:row>
      <xdr:rowOff>0</xdr:rowOff>
    </xdr:from>
    <xdr:to>
      <xdr:col>38</xdr:col>
      <xdr:colOff>632570</xdr:colOff>
      <xdr:row>5</xdr:row>
      <xdr:rowOff>2268000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39</xdr:col>
      <xdr:colOff>0</xdr:colOff>
      <xdr:row>5</xdr:row>
      <xdr:rowOff>0</xdr:rowOff>
    </xdr:from>
    <xdr:to>
      <xdr:col>42</xdr:col>
      <xdr:colOff>632571</xdr:colOff>
      <xdr:row>5</xdr:row>
      <xdr:rowOff>2268000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5443</xdr:rowOff>
        </xdr:from>
        <xdr:to>
          <xdr:col>0</xdr:col>
          <xdr:colOff>576943</xdr:colOff>
          <xdr:row>2</xdr:row>
          <xdr:rowOff>21771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6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18</xdr:col>
      <xdr:colOff>616842</xdr:colOff>
      <xdr:row>20</xdr:row>
      <xdr:rowOff>49327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0</xdr:colOff>
      <xdr:row>20</xdr:row>
      <xdr:rowOff>0</xdr:rowOff>
    </xdr:from>
    <xdr:to>
      <xdr:col>18</xdr:col>
      <xdr:colOff>616842</xdr:colOff>
      <xdr:row>38</xdr:row>
      <xdr:rowOff>49328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C4B3F-4B5D-4FFF-BDBC-B790DAA8B417}">
  <sheetPr codeName="Sheet1"/>
  <dimension ref="A1:S502"/>
  <sheetViews>
    <sheetView tabSelected="1" zoomScaleNormal="100" workbookViewId="0">
      <selection sqref="A1:A2"/>
    </sheetView>
  </sheetViews>
  <sheetFormatPr defaultRowHeight="11.6" x14ac:dyDescent="0.25"/>
  <cols>
    <col min="1" max="1" width="4.3046875" style="27" customWidth="1"/>
    <col min="2" max="2" width="9.23046875" style="27" customWidth="1"/>
    <col min="3" max="5" width="9.23046875" style="27"/>
    <col min="6" max="7" width="10.765625" style="27" customWidth="1"/>
    <col min="8" max="8" width="11.07421875" style="27" customWidth="1"/>
    <col min="9" max="9" width="20" style="27" customWidth="1"/>
    <col min="10" max="10" width="30.765625" style="22" customWidth="1"/>
    <col min="11" max="12" width="9.23046875" style="5"/>
    <col min="13" max="13" width="1.921875" style="5" customWidth="1"/>
    <col min="14" max="15" width="9.23046875" style="5"/>
    <col min="16" max="19" width="11.07421875" style="27" customWidth="1"/>
    <col min="20" max="16384" width="9.23046875" style="5"/>
  </cols>
  <sheetData>
    <row r="1" spans="1:19" s="4" customFormat="1" x14ac:dyDescent="0.25">
      <c r="A1" s="79" t="s">
        <v>0</v>
      </c>
      <c r="B1" s="79" t="s">
        <v>1</v>
      </c>
      <c r="C1" s="79" t="s">
        <v>29</v>
      </c>
      <c r="D1" s="79" t="s">
        <v>57</v>
      </c>
      <c r="E1" s="25" t="s">
        <v>39</v>
      </c>
      <c r="F1" s="25" t="s">
        <v>38</v>
      </c>
      <c r="G1" s="25" t="s">
        <v>37</v>
      </c>
      <c r="H1" s="25" t="s">
        <v>55</v>
      </c>
      <c r="I1" s="25" t="s">
        <v>40</v>
      </c>
      <c r="J1" s="79" t="s">
        <v>3</v>
      </c>
      <c r="P1" s="79" t="s">
        <v>83</v>
      </c>
      <c r="Q1" s="79" t="s">
        <v>84</v>
      </c>
      <c r="R1" s="79" t="s">
        <v>85</v>
      </c>
      <c r="S1" s="79" t="s">
        <v>86</v>
      </c>
    </row>
    <row r="2" spans="1:19" s="10" customFormat="1" ht="12" thickBot="1" x14ac:dyDescent="0.3">
      <c r="A2" s="80"/>
      <c r="B2" s="80"/>
      <c r="C2" s="80"/>
      <c r="D2" s="80"/>
      <c r="E2" s="26" t="s">
        <v>41</v>
      </c>
      <c r="F2" s="26" t="s">
        <v>42</v>
      </c>
      <c r="G2" s="26" t="s">
        <v>42</v>
      </c>
      <c r="H2" s="26" t="s">
        <v>56</v>
      </c>
      <c r="I2" s="26" t="s">
        <v>43</v>
      </c>
      <c r="J2" s="80"/>
      <c r="P2" s="80"/>
      <c r="Q2" s="80"/>
      <c r="R2" s="80"/>
      <c r="S2" s="80"/>
    </row>
    <row r="3" spans="1:19" ht="12" thickTop="1" x14ac:dyDescent="0.25">
      <c r="A3" s="27">
        <v>1</v>
      </c>
      <c r="B3" s="27" t="s">
        <v>45</v>
      </c>
      <c r="C3" s="28" t="s">
        <v>87</v>
      </c>
      <c r="D3" s="27" t="s">
        <v>59</v>
      </c>
      <c r="E3" s="27">
        <v>10</v>
      </c>
      <c r="F3" s="27">
        <v>1000</v>
      </c>
      <c r="G3" s="27">
        <v>500</v>
      </c>
      <c r="H3" s="27">
        <v>50</v>
      </c>
      <c r="I3" s="27" t="s">
        <v>61</v>
      </c>
      <c r="J3" s="22" t="s">
        <v>63</v>
      </c>
      <c r="P3" s="27" t="s">
        <v>73</v>
      </c>
      <c r="Q3" s="75" t="s">
        <v>79</v>
      </c>
      <c r="R3" s="27" t="s">
        <v>73</v>
      </c>
      <c r="S3" s="75" t="s">
        <v>79</v>
      </c>
    </row>
    <row r="4" spans="1:19" x14ac:dyDescent="0.25">
      <c r="A4" s="27">
        <v>2</v>
      </c>
      <c r="B4" s="27" t="s">
        <v>46</v>
      </c>
      <c r="C4" s="28" t="s">
        <v>87</v>
      </c>
      <c r="D4" s="27" t="s">
        <v>58</v>
      </c>
      <c r="E4" s="27">
        <v>9</v>
      </c>
      <c r="F4" s="27">
        <v>1000</v>
      </c>
      <c r="G4" s="27">
        <v>450</v>
      </c>
      <c r="H4" s="27">
        <v>50</v>
      </c>
      <c r="I4" s="27" t="s">
        <v>60</v>
      </c>
      <c r="J4" s="22" t="s">
        <v>62</v>
      </c>
      <c r="P4" s="27" t="s">
        <v>75</v>
      </c>
      <c r="Q4" s="75" t="s">
        <v>80</v>
      </c>
      <c r="R4" s="27" t="s">
        <v>75</v>
      </c>
      <c r="S4" s="75" t="s">
        <v>80</v>
      </c>
    </row>
    <row r="5" spans="1:19" x14ac:dyDescent="0.25">
      <c r="A5" s="27">
        <v>3</v>
      </c>
      <c r="B5" s="27" t="s">
        <v>47</v>
      </c>
      <c r="C5" s="28" t="s">
        <v>87</v>
      </c>
      <c r="D5" s="27" t="s">
        <v>58</v>
      </c>
      <c r="E5" s="27">
        <v>8</v>
      </c>
      <c r="F5" s="27">
        <v>1000</v>
      </c>
      <c r="G5" s="27">
        <v>400</v>
      </c>
      <c r="H5" s="27">
        <v>50</v>
      </c>
      <c r="I5" s="27" t="s">
        <v>60</v>
      </c>
      <c r="J5" s="22" t="s">
        <v>62</v>
      </c>
      <c r="P5" s="27" t="s">
        <v>76</v>
      </c>
      <c r="Q5" s="75" t="s">
        <v>81</v>
      </c>
      <c r="R5" s="27" t="s">
        <v>76</v>
      </c>
      <c r="S5" s="75" t="s">
        <v>81</v>
      </c>
    </row>
    <row r="6" spans="1:19" x14ac:dyDescent="0.25">
      <c r="A6" s="27">
        <v>4</v>
      </c>
      <c r="B6" s="27" t="s">
        <v>48</v>
      </c>
      <c r="C6" s="28" t="s">
        <v>87</v>
      </c>
      <c r="D6" s="27" t="s">
        <v>58</v>
      </c>
      <c r="E6" s="27">
        <v>7</v>
      </c>
      <c r="F6" s="27">
        <v>1000</v>
      </c>
      <c r="G6" s="27">
        <v>350</v>
      </c>
      <c r="H6" s="27">
        <v>50</v>
      </c>
      <c r="I6" s="27" t="s">
        <v>60</v>
      </c>
      <c r="J6" s="22" t="s">
        <v>62</v>
      </c>
      <c r="P6" s="27" t="s">
        <v>77</v>
      </c>
      <c r="Q6" s="75" t="s">
        <v>82</v>
      </c>
      <c r="R6" s="27" t="s">
        <v>77</v>
      </c>
      <c r="S6" s="75" t="s">
        <v>82</v>
      </c>
    </row>
    <row r="7" spans="1:19" x14ac:dyDescent="0.25">
      <c r="A7" s="27">
        <v>5</v>
      </c>
      <c r="B7" s="27" t="s">
        <v>49</v>
      </c>
      <c r="C7" s="28" t="s">
        <v>87</v>
      </c>
      <c r="D7" s="27" t="s">
        <v>58</v>
      </c>
      <c r="E7" s="27">
        <v>6</v>
      </c>
      <c r="F7" s="27">
        <v>1000</v>
      </c>
      <c r="G7" s="27">
        <v>300</v>
      </c>
      <c r="H7" s="27">
        <v>50</v>
      </c>
      <c r="I7" s="27" t="s">
        <v>60</v>
      </c>
      <c r="J7" s="22" t="s">
        <v>62</v>
      </c>
      <c r="P7" s="27" t="s">
        <v>78</v>
      </c>
      <c r="Q7" s="75" t="s">
        <v>74</v>
      </c>
      <c r="R7" s="27" t="s">
        <v>78</v>
      </c>
      <c r="S7" s="75" t="s">
        <v>74</v>
      </c>
    </row>
    <row r="8" spans="1:19" x14ac:dyDescent="0.25">
      <c r="A8" s="27">
        <v>6</v>
      </c>
      <c r="B8" s="27" t="s">
        <v>70</v>
      </c>
      <c r="C8" s="28" t="s">
        <v>87</v>
      </c>
      <c r="D8" s="27" t="s">
        <v>58</v>
      </c>
      <c r="E8" s="27">
        <v>5</v>
      </c>
      <c r="F8" s="27">
        <v>1000</v>
      </c>
      <c r="G8" s="27">
        <v>250</v>
      </c>
      <c r="H8" s="27">
        <v>50</v>
      </c>
      <c r="I8" s="27" t="s">
        <v>60</v>
      </c>
      <c r="J8" s="22" t="s">
        <v>62</v>
      </c>
      <c r="Q8" s="75"/>
      <c r="S8" s="75"/>
    </row>
    <row r="9" spans="1:19" x14ac:dyDescent="0.25">
      <c r="A9" s="27">
        <v>7</v>
      </c>
      <c r="B9" s="27" t="s">
        <v>71</v>
      </c>
      <c r="C9" s="28" t="s">
        <v>87</v>
      </c>
      <c r="D9" s="27" t="s">
        <v>58</v>
      </c>
      <c r="E9" s="27">
        <v>4</v>
      </c>
      <c r="F9" s="27">
        <v>1000</v>
      </c>
      <c r="G9" s="27">
        <v>200</v>
      </c>
      <c r="H9" s="27">
        <v>50</v>
      </c>
      <c r="I9" s="27" t="s">
        <v>60</v>
      </c>
      <c r="J9" s="22" t="s">
        <v>62</v>
      </c>
      <c r="Q9" s="75"/>
      <c r="S9" s="75"/>
    </row>
    <row r="10" spans="1:19" x14ac:dyDescent="0.25">
      <c r="A10" s="27">
        <v>8</v>
      </c>
      <c r="B10" s="27" t="s">
        <v>72</v>
      </c>
      <c r="C10" s="28" t="s">
        <v>87</v>
      </c>
      <c r="D10" s="27" t="s">
        <v>58</v>
      </c>
      <c r="E10" s="27">
        <v>3</v>
      </c>
      <c r="F10" s="27">
        <v>1000</v>
      </c>
      <c r="G10" s="27">
        <v>150</v>
      </c>
      <c r="H10" s="27">
        <v>50</v>
      </c>
      <c r="I10" s="27" t="s">
        <v>60</v>
      </c>
      <c r="J10" s="22" t="s">
        <v>62</v>
      </c>
      <c r="Q10" s="75"/>
      <c r="S10" s="75"/>
    </row>
    <row r="11" spans="1:19" x14ac:dyDescent="0.25">
      <c r="A11" s="27">
        <v>9</v>
      </c>
      <c r="Q11" s="75"/>
      <c r="S11" s="75"/>
    </row>
    <row r="12" spans="1:19" x14ac:dyDescent="0.25">
      <c r="A12" s="27">
        <v>10</v>
      </c>
      <c r="Q12" s="75"/>
      <c r="S12" s="75"/>
    </row>
    <row r="13" spans="1:19" x14ac:dyDescent="0.25">
      <c r="A13" s="27">
        <v>11</v>
      </c>
      <c r="Q13" s="75"/>
      <c r="S13" s="75"/>
    </row>
    <row r="14" spans="1:19" x14ac:dyDescent="0.25">
      <c r="A14" s="27">
        <v>12</v>
      </c>
      <c r="Q14" s="75"/>
      <c r="S14" s="75"/>
    </row>
    <row r="15" spans="1:19" x14ac:dyDescent="0.25">
      <c r="A15" s="27">
        <v>13</v>
      </c>
      <c r="Q15" s="75"/>
      <c r="S15" s="75"/>
    </row>
    <row r="16" spans="1:19" x14ac:dyDescent="0.25">
      <c r="A16" s="27">
        <v>14</v>
      </c>
      <c r="Q16" s="75"/>
      <c r="S16" s="75"/>
    </row>
    <row r="17" spans="1:19" x14ac:dyDescent="0.25">
      <c r="A17" s="27">
        <v>15</v>
      </c>
      <c r="Q17" s="75"/>
      <c r="S17" s="75"/>
    </row>
    <row r="18" spans="1:19" x14ac:dyDescent="0.25">
      <c r="A18" s="27">
        <v>16</v>
      </c>
      <c r="Q18" s="75"/>
      <c r="S18" s="75"/>
    </row>
    <row r="19" spans="1:19" x14ac:dyDescent="0.25">
      <c r="A19" s="27">
        <v>17</v>
      </c>
      <c r="Q19" s="75"/>
      <c r="S19" s="75"/>
    </row>
    <row r="20" spans="1:19" x14ac:dyDescent="0.25">
      <c r="A20" s="27">
        <v>18</v>
      </c>
      <c r="Q20" s="75"/>
      <c r="S20" s="75"/>
    </row>
    <row r="21" spans="1:19" x14ac:dyDescent="0.25">
      <c r="A21" s="27">
        <v>19</v>
      </c>
      <c r="Q21" s="75"/>
      <c r="S21" s="75"/>
    </row>
    <row r="22" spans="1:19" x14ac:dyDescent="0.25">
      <c r="A22" s="27">
        <v>20</v>
      </c>
      <c r="Q22" s="75"/>
      <c r="S22" s="75"/>
    </row>
    <row r="23" spans="1:19" x14ac:dyDescent="0.25">
      <c r="A23" s="27">
        <v>21</v>
      </c>
      <c r="Q23" s="75"/>
      <c r="S23" s="75"/>
    </row>
    <row r="24" spans="1:19" x14ac:dyDescent="0.25">
      <c r="A24" s="27">
        <v>22</v>
      </c>
      <c r="Q24" s="75"/>
      <c r="S24" s="75"/>
    </row>
    <row r="25" spans="1:19" x14ac:dyDescent="0.25">
      <c r="A25" s="27">
        <v>23</v>
      </c>
      <c r="Q25" s="75"/>
      <c r="S25" s="75"/>
    </row>
    <row r="26" spans="1:19" x14ac:dyDescent="0.25">
      <c r="A26" s="27">
        <v>24</v>
      </c>
      <c r="Q26" s="75"/>
      <c r="S26" s="75"/>
    </row>
    <row r="27" spans="1:19" x14ac:dyDescent="0.25">
      <c r="A27" s="27">
        <v>25</v>
      </c>
      <c r="Q27" s="75"/>
      <c r="S27" s="75"/>
    </row>
    <row r="28" spans="1:19" x14ac:dyDescent="0.25">
      <c r="A28" s="27">
        <v>26</v>
      </c>
      <c r="Q28" s="75"/>
      <c r="S28" s="75"/>
    </row>
    <row r="29" spans="1:19" x14ac:dyDescent="0.25">
      <c r="A29" s="27">
        <v>27</v>
      </c>
      <c r="Q29" s="75"/>
      <c r="S29" s="75"/>
    </row>
    <row r="30" spans="1:19" x14ac:dyDescent="0.25">
      <c r="A30" s="27">
        <v>28</v>
      </c>
      <c r="Q30" s="75"/>
      <c r="S30" s="75"/>
    </row>
    <row r="31" spans="1:19" x14ac:dyDescent="0.25">
      <c r="A31" s="27">
        <v>29</v>
      </c>
      <c r="Q31" s="75"/>
      <c r="S31" s="75"/>
    </row>
    <row r="32" spans="1:19" x14ac:dyDescent="0.25">
      <c r="A32" s="27">
        <v>30</v>
      </c>
      <c r="Q32" s="75"/>
      <c r="S32" s="75"/>
    </row>
    <row r="33" spans="1:19" x14ac:dyDescent="0.25">
      <c r="A33" s="27">
        <v>31</v>
      </c>
      <c r="Q33" s="75"/>
      <c r="S33" s="75"/>
    </row>
    <row r="34" spans="1:19" x14ac:dyDescent="0.25">
      <c r="A34" s="27">
        <v>32</v>
      </c>
      <c r="Q34" s="75"/>
      <c r="S34" s="75"/>
    </row>
    <row r="35" spans="1:19" x14ac:dyDescent="0.25">
      <c r="A35" s="27">
        <v>33</v>
      </c>
      <c r="Q35" s="75"/>
      <c r="S35" s="75"/>
    </row>
    <row r="36" spans="1:19" x14ac:dyDescent="0.25">
      <c r="A36" s="27">
        <v>34</v>
      </c>
      <c r="Q36" s="75"/>
      <c r="S36" s="75"/>
    </row>
    <row r="37" spans="1:19" x14ac:dyDescent="0.25">
      <c r="A37" s="27">
        <v>35</v>
      </c>
      <c r="Q37" s="75"/>
      <c r="S37" s="75"/>
    </row>
    <row r="38" spans="1:19" x14ac:dyDescent="0.25">
      <c r="A38" s="27">
        <v>36</v>
      </c>
      <c r="Q38" s="75"/>
      <c r="S38" s="75"/>
    </row>
    <row r="39" spans="1:19" x14ac:dyDescent="0.25">
      <c r="A39" s="27">
        <v>37</v>
      </c>
      <c r="Q39" s="75"/>
      <c r="S39" s="75"/>
    </row>
    <row r="40" spans="1:19" x14ac:dyDescent="0.25">
      <c r="A40" s="27">
        <v>38</v>
      </c>
      <c r="Q40" s="75"/>
      <c r="S40" s="75"/>
    </row>
    <row r="41" spans="1:19" x14ac:dyDescent="0.25">
      <c r="A41" s="27">
        <v>39</v>
      </c>
      <c r="Q41" s="75"/>
      <c r="S41" s="75"/>
    </row>
    <row r="42" spans="1:19" x14ac:dyDescent="0.25">
      <c r="A42" s="27">
        <v>40</v>
      </c>
      <c r="Q42" s="75"/>
      <c r="S42" s="75"/>
    </row>
    <row r="43" spans="1:19" x14ac:dyDescent="0.25">
      <c r="A43" s="27">
        <v>41</v>
      </c>
      <c r="Q43" s="75"/>
      <c r="S43" s="75"/>
    </row>
    <row r="44" spans="1:19" x14ac:dyDescent="0.25">
      <c r="A44" s="27">
        <v>42</v>
      </c>
      <c r="Q44" s="75"/>
      <c r="S44" s="75"/>
    </row>
    <row r="45" spans="1:19" x14ac:dyDescent="0.25">
      <c r="A45" s="27">
        <v>43</v>
      </c>
      <c r="Q45" s="75"/>
      <c r="S45" s="75"/>
    </row>
    <row r="46" spans="1:19" x14ac:dyDescent="0.25">
      <c r="A46" s="27">
        <v>44</v>
      </c>
      <c r="Q46" s="75"/>
      <c r="S46" s="75"/>
    </row>
    <row r="47" spans="1:19" x14ac:dyDescent="0.25">
      <c r="A47" s="27">
        <v>45</v>
      </c>
      <c r="Q47" s="75"/>
      <c r="S47" s="75"/>
    </row>
    <row r="48" spans="1:19" x14ac:dyDescent="0.25">
      <c r="A48" s="27">
        <v>46</v>
      </c>
      <c r="Q48" s="75"/>
      <c r="S48" s="75"/>
    </row>
    <row r="49" spans="1:19" x14ac:dyDescent="0.25">
      <c r="A49" s="27">
        <v>47</v>
      </c>
      <c r="Q49" s="75"/>
      <c r="S49" s="75"/>
    </row>
    <row r="50" spans="1:19" x14ac:dyDescent="0.25">
      <c r="A50" s="27">
        <v>48</v>
      </c>
      <c r="Q50" s="75"/>
      <c r="S50" s="75"/>
    </row>
    <row r="51" spans="1:19" x14ac:dyDescent="0.25">
      <c r="A51" s="27">
        <v>49</v>
      </c>
      <c r="Q51" s="75"/>
      <c r="S51" s="75"/>
    </row>
    <row r="52" spans="1:19" x14ac:dyDescent="0.25">
      <c r="A52" s="27">
        <v>50</v>
      </c>
      <c r="Q52" s="75"/>
      <c r="S52" s="75"/>
    </row>
    <row r="53" spans="1:19" x14ac:dyDescent="0.25">
      <c r="A53" s="27">
        <v>51</v>
      </c>
      <c r="Q53" s="75"/>
      <c r="S53" s="75"/>
    </row>
    <row r="54" spans="1:19" x14ac:dyDescent="0.25">
      <c r="A54" s="27">
        <v>52</v>
      </c>
      <c r="Q54" s="75"/>
      <c r="S54" s="75"/>
    </row>
    <row r="55" spans="1:19" x14ac:dyDescent="0.25">
      <c r="A55" s="27">
        <v>53</v>
      </c>
      <c r="Q55" s="75"/>
      <c r="S55" s="75"/>
    </row>
    <row r="56" spans="1:19" x14ac:dyDescent="0.25">
      <c r="A56" s="27">
        <v>54</v>
      </c>
      <c r="Q56" s="75"/>
      <c r="S56" s="75"/>
    </row>
    <row r="57" spans="1:19" x14ac:dyDescent="0.25">
      <c r="A57" s="27">
        <v>55</v>
      </c>
      <c r="Q57" s="75"/>
      <c r="S57" s="75"/>
    </row>
    <row r="58" spans="1:19" x14ac:dyDescent="0.25">
      <c r="A58" s="27">
        <v>56</v>
      </c>
      <c r="Q58" s="75"/>
      <c r="S58" s="75"/>
    </row>
    <row r="59" spans="1:19" x14ac:dyDescent="0.25">
      <c r="A59" s="27">
        <v>57</v>
      </c>
      <c r="Q59" s="75"/>
      <c r="S59" s="75"/>
    </row>
    <row r="60" spans="1:19" x14ac:dyDescent="0.25">
      <c r="A60" s="27">
        <v>58</v>
      </c>
      <c r="Q60" s="75"/>
      <c r="S60" s="75"/>
    </row>
    <row r="61" spans="1:19" x14ac:dyDescent="0.25">
      <c r="A61" s="27">
        <v>59</v>
      </c>
      <c r="Q61" s="75"/>
      <c r="S61" s="75"/>
    </row>
    <row r="62" spans="1:19" x14ac:dyDescent="0.25">
      <c r="A62" s="27">
        <v>60</v>
      </c>
      <c r="Q62" s="75"/>
      <c r="S62" s="75"/>
    </row>
    <row r="63" spans="1:19" x14ac:dyDescent="0.25">
      <c r="A63" s="27">
        <v>61</v>
      </c>
      <c r="Q63" s="75"/>
      <c r="S63" s="75"/>
    </row>
    <row r="64" spans="1:19" x14ac:dyDescent="0.25">
      <c r="A64" s="27">
        <v>62</v>
      </c>
      <c r="Q64" s="75"/>
      <c r="S64" s="75"/>
    </row>
    <row r="65" spans="1:19" x14ac:dyDescent="0.25">
      <c r="A65" s="27">
        <v>63</v>
      </c>
      <c r="Q65" s="75"/>
      <c r="S65" s="75"/>
    </row>
    <row r="66" spans="1:19" x14ac:dyDescent="0.25">
      <c r="A66" s="27">
        <v>64</v>
      </c>
      <c r="Q66" s="75"/>
      <c r="S66" s="75"/>
    </row>
    <row r="67" spans="1:19" x14ac:dyDescent="0.25">
      <c r="A67" s="27">
        <v>65</v>
      </c>
      <c r="Q67" s="75"/>
      <c r="S67" s="75"/>
    </row>
    <row r="68" spans="1:19" x14ac:dyDescent="0.25">
      <c r="A68" s="27">
        <v>66</v>
      </c>
      <c r="Q68" s="75"/>
      <c r="S68" s="75"/>
    </row>
    <row r="69" spans="1:19" x14ac:dyDescent="0.25">
      <c r="A69" s="27">
        <v>67</v>
      </c>
      <c r="Q69" s="75"/>
      <c r="S69" s="75"/>
    </row>
    <row r="70" spans="1:19" x14ac:dyDescent="0.25">
      <c r="A70" s="27">
        <v>68</v>
      </c>
      <c r="Q70" s="75"/>
      <c r="S70" s="75"/>
    </row>
    <row r="71" spans="1:19" x14ac:dyDescent="0.25">
      <c r="A71" s="27">
        <v>69</v>
      </c>
      <c r="Q71" s="75"/>
      <c r="S71" s="75"/>
    </row>
    <row r="72" spans="1:19" x14ac:dyDescent="0.25">
      <c r="A72" s="27">
        <v>70</v>
      </c>
      <c r="Q72" s="75"/>
      <c r="S72" s="75"/>
    </row>
    <row r="73" spans="1:19" x14ac:dyDescent="0.25">
      <c r="A73" s="27">
        <v>71</v>
      </c>
      <c r="Q73" s="75"/>
      <c r="S73" s="75"/>
    </row>
    <row r="74" spans="1:19" x14ac:dyDescent="0.25">
      <c r="A74" s="27">
        <v>72</v>
      </c>
      <c r="Q74" s="75"/>
      <c r="S74" s="75"/>
    </row>
    <row r="75" spans="1:19" x14ac:dyDescent="0.25">
      <c r="A75" s="27">
        <v>73</v>
      </c>
      <c r="Q75" s="75"/>
      <c r="S75" s="75"/>
    </row>
    <row r="76" spans="1:19" x14ac:dyDescent="0.25">
      <c r="A76" s="27">
        <v>74</v>
      </c>
      <c r="Q76" s="75"/>
      <c r="S76" s="75"/>
    </row>
    <row r="77" spans="1:19" x14ac:dyDescent="0.25">
      <c r="A77" s="27">
        <v>75</v>
      </c>
      <c r="Q77" s="75"/>
      <c r="S77" s="75"/>
    </row>
    <row r="78" spans="1:19" x14ac:dyDescent="0.25">
      <c r="A78" s="27">
        <v>76</v>
      </c>
      <c r="Q78" s="75"/>
      <c r="S78" s="75"/>
    </row>
    <row r="79" spans="1:19" x14ac:dyDescent="0.25">
      <c r="A79" s="27">
        <v>77</v>
      </c>
      <c r="Q79" s="75"/>
      <c r="S79" s="75"/>
    </row>
    <row r="80" spans="1:19" x14ac:dyDescent="0.25">
      <c r="A80" s="27">
        <v>78</v>
      </c>
      <c r="Q80" s="75"/>
      <c r="S80" s="75"/>
    </row>
    <row r="81" spans="1:19" x14ac:dyDescent="0.25">
      <c r="A81" s="27">
        <v>79</v>
      </c>
      <c r="Q81" s="75"/>
      <c r="S81" s="75"/>
    </row>
    <row r="82" spans="1:19" x14ac:dyDescent="0.25">
      <c r="A82" s="27">
        <v>80</v>
      </c>
      <c r="Q82" s="75"/>
      <c r="S82" s="75"/>
    </row>
    <row r="83" spans="1:19" x14ac:dyDescent="0.25">
      <c r="A83" s="27">
        <v>81</v>
      </c>
      <c r="Q83" s="75"/>
      <c r="S83" s="75"/>
    </row>
    <row r="84" spans="1:19" x14ac:dyDescent="0.25">
      <c r="A84" s="27">
        <v>82</v>
      </c>
      <c r="Q84" s="75"/>
      <c r="S84" s="75"/>
    </row>
    <row r="85" spans="1:19" x14ac:dyDescent="0.25">
      <c r="A85" s="27">
        <v>83</v>
      </c>
      <c r="Q85" s="75"/>
      <c r="S85" s="75"/>
    </row>
    <row r="86" spans="1:19" x14ac:dyDescent="0.25">
      <c r="A86" s="27">
        <v>84</v>
      </c>
      <c r="Q86" s="75"/>
      <c r="S86" s="75"/>
    </row>
    <row r="87" spans="1:19" x14ac:dyDescent="0.25">
      <c r="A87" s="27">
        <v>85</v>
      </c>
      <c r="Q87" s="75"/>
      <c r="S87" s="75"/>
    </row>
    <row r="88" spans="1:19" x14ac:dyDescent="0.25">
      <c r="A88" s="27">
        <v>86</v>
      </c>
      <c r="Q88" s="75"/>
      <c r="S88" s="75"/>
    </row>
    <row r="89" spans="1:19" x14ac:dyDescent="0.25">
      <c r="A89" s="27">
        <v>87</v>
      </c>
      <c r="Q89" s="75"/>
      <c r="S89" s="75"/>
    </row>
    <row r="90" spans="1:19" x14ac:dyDescent="0.25">
      <c r="A90" s="27">
        <v>88</v>
      </c>
      <c r="Q90" s="75"/>
      <c r="S90" s="75"/>
    </row>
    <row r="91" spans="1:19" x14ac:dyDescent="0.25">
      <c r="A91" s="27">
        <v>89</v>
      </c>
      <c r="Q91" s="75"/>
      <c r="S91" s="75"/>
    </row>
    <row r="92" spans="1:19" x14ac:dyDescent="0.25">
      <c r="A92" s="27">
        <v>90</v>
      </c>
      <c r="Q92" s="75"/>
      <c r="S92" s="75"/>
    </row>
    <row r="93" spans="1:19" x14ac:dyDescent="0.25">
      <c r="A93" s="27">
        <v>91</v>
      </c>
      <c r="Q93" s="75"/>
      <c r="S93" s="75"/>
    </row>
    <row r="94" spans="1:19" x14ac:dyDescent="0.25">
      <c r="A94" s="27">
        <v>92</v>
      </c>
      <c r="Q94" s="75"/>
      <c r="S94" s="75"/>
    </row>
    <row r="95" spans="1:19" x14ac:dyDescent="0.25">
      <c r="A95" s="27">
        <v>93</v>
      </c>
      <c r="Q95" s="75"/>
      <c r="S95" s="75"/>
    </row>
    <row r="96" spans="1:19" x14ac:dyDescent="0.25">
      <c r="A96" s="27">
        <v>94</v>
      </c>
      <c r="Q96" s="75"/>
      <c r="S96" s="75"/>
    </row>
    <row r="97" spans="1:19" x14ac:dyDescent="0.25">
      <c r="A97" s="27">
        <v>95</v>
      </c>
      <c r="Q97" s="75"/>
      <c r="S97" s="75"/>
    </row>
    <row r="98" spans="1:19" x14ac:dyDescent="0.25">
      <c r="A98" s="27">
        <v>96</v>
      </c>
      <c r="Q98" s="75"/>
      <c r="S98" s="75"/>
    </row>
    <row r="99" spans="1:19" x14ac:dyDescent="0.25">
      <c r="A99" s="27">
        <v>97</v>
      </c>
      <c r="Q99" s="75"/>
      <c r="S99" s="75"/>
    </row>
    <row r="100" spans="1:19" x14ac:dyDescent="0.25">
      <c r="A100" s="27">
        <v>98</v>
      </c>
      <c r="Q100" s="75"/>
      <c r="S100" s="75"/>
    </row>
    <row r="101" spans="1:19" x14ac:dyDescent="0.25">
      <c r="A101" s="27">
        <v>99</v>
      </c>
      <c r="Q101" s="75"/>
      <c r="S101" s="75"/>
    </row>
    <row r="102" spans="1:19" x14ac:dyDescent="0.25">
      <c r="A102" s="27">
        <v>100</v>
      </c>
      <c r="Q102" s="75"/>
      <c r="S102" s="75"/>
    </row>
    <row r="103" spans="1:19" x14ac:dyDescent="0.25">
      <c r="A103" s="27">
        <v>101</v>
      </c>
      <c r="Q103" s="75"/>
      <c r="S103" s="75"/>
    </row>
    <row r="104" spans="1:19" x14ac:dyDescent="0.25">
      <c r="A104" s="27">
        <v>102</v>
      </c>
      <c r="Q104" s="75"/>
      <c r="S104" s="75"/>
    </row>
    <row r="105" spans="1:19" x14ac:dyDescent="0.25">
      <c r="A105" s="27">
        <v>103</v>
      </c>
      <c r="Q105" s="75"/>
      <c r="S105" s="75"/>
    </row>
    <row r="106" spans="1:19" x14ac:dyDescent="0.25">
      <c r="A106" s="27">
        <v>104</v>
      </c>
      <c r="Q106" s="75"/>
      <c r="S106" s="75"/>
    </row>
    <row r="107" spans="1:19" x14ac:dyDescent="0.25">
      <c r="A107" s="27">
        <v>105</v>
      </c>
      <c r="Q107" s="75"/>
      <c r="S107" s="75"/>
    </row>
    <row r="108" spans="1:19" x14ac:dyDescent="0.25">
      <c r="A108" s="27">
        <v>106</v>
      </c>
      <c r="Q108" s="75"/>
      <c r="S108" s="75"/>
    </row>
    <row r="109" spans="1:19" x14ac:dyDescent="0.25">
      <c r="A109" s="27">
        <v>107</v>
      </c>
      <c r="Q109" s="75"/>
      <c r="S109" s="75"/>
    </row>
    <row r="110" spans="1:19" x14ac:dyDescent="0.25">
      <c r="A110" s="27">
        <v>108</v>
      </c>
      <c r="Q110" s="75"/>
      <c r="S110" s="75"/>
    </row>
    <row r="111" spans="1:19" x14ac:dyDescent="0.25">
      <c r="A111" s="27">
        <v>109</v>
      </c>
      <c r="Q111" s="75"/>
      <c r="S111" s="75"/>
    </row>
    <row r="112" spans="1:19" x14ac:dyDescent="0.25">
      <c r="A112" s="27">
        <v>110</v>
      </c>
      <c r="Q112" s="75"/>
      <c r="S112" s="75"/>
    </row>
    <row r="113" spans="1:19" x14ac:dyDescent="0.25">
      <c r="A113" s="27">
        <v>111</v>
      </c>
      <c r="Q113" s="75"/>
      <c r="S113" s="75"/>
    </row>
    <row r="114" spans="1:19" x14ac:dyDescent="0.25">
      <c r="A114" s="27">
        <v>112</v>
      </c>
      <c r="Q114" s="75"/>
      <c r="S114" s="75"/>
    </row>
    <row r="115" spans="1:19" x14ac:dyDescent="0.25">
      <c r="A115" s="27">
        <v>113</v>
      </c>
      <c r="Q115" s="75"/>
      <c r="S115" s="75"/>
    </row>
    <row r="116" spans="1:19" x14ac:dyDescent="0.25">
      <c r="A116" s="27">
        <v>114</v>
      </c>
      <c r="Q116" s="75"/>
      <c r="S116" s="75"/>
    </row>
    <row r="117" spans="1:19" x14ac:dyDescent="0.25">
      <c r="A117" s="27">
        <v>115</v>
      </c>
      <c r="Q117" s="75"/>
      <c r="S117" s="75"/>
    </row>
    <row r="118" spans="1:19" x14ac:dyDescent="0.25">
      <c r="A118" s="27">
        <v>116</v>
      </c>
      <c r="Q118" s="75"/>
      <c r="S118" s="75"/>
    </row>
    <row r="119" spans="1:19" x14ac:dyDescent="0.25">
      <c r="A119" s="27">
        <v>117</v>
      </c>
      <c r="Q119" s="75"/>
      <c r="S119" s="75"/>
    </row>
    <row r="120" spans="1:19" x14ac:dyDescent="0.25">
      <c r="A120" s="27">
        <v>118</v>
      </c>
      <c r="Q120" s="75"/>
      <c r="S120" s="75"/>
    </row>
    <row r="121" spans="1:19" x14ac:dyDescent="0.25">
      <c r="A121" s="27">
        <v>119</v>
      </c>
      <c r="Q121" s="75"/>
      <c r="S121" s="75"/>
    </row>
    <row r="122" spans="1:19" x14ac:dyDescent="0.25">
      <c r="A122" s="27">
        <v>120</v>
      </c>
      <c r="Q122" s="75"/>
      <c r="S122" s="75"/>
    </row>
    <row r="123" spans="1:19" x14ac:dyDescent="0.25">
      <c r="A123" s="27">
        <v>121</v>
      </c>
      <c r="Q123" s="75"/>
      <c r="S123" s="75"/>
    </row>
    <row r="124" spans="1:19" x14ac:dyDescent="0.25">
      <c r="A124" s="27">
        <v>122</v>
      </c>
      <c r="Q124" s="75"/>
      <c r="S124" s="75"/>
    </row>
    <row r="125" spans="1:19" x14ac:dyDescent="0.25">
      <c r="A125" s="27">
        <v>123</v>
      </c>
      <c r="Q125" s="75"/>
      <c r="S125" s="75"/>
    </row>
    <row r="126" spans="1:19" x14ac:dyDescent="0.25">
      <c r="A126" s="27">
        <v>124</v>
      </c>
      <c r="Q126" s="75"/>
      <c r="S126" s="75"/>
    </row>
    <row r="127" spans="1:19" x14ac:dyDescent="0.25">
      <c r="A127" s="27">
        <v>125</v>
      </c>
      <c r="Q127" s="75"/>
      <c r="S127" s="75"/>
    </row>
    <row r="128" spans="1:19" x14ac:dyDescent="0.25">
      <c r="A128" s="27">
        <v>126</v>
      </c>
      <c r="Q128" s="75"/>
      <c r="S128" s="75"/>
    </row>
    <row r="129" spans="1:19" x14ac:dyDescent="0.25">
      <c r="A129" s="27">
        <v>127</v>
      </c>
      <c r="Q129" s="75"/>
      <c r="S129" s="75"/>
    </row>
    <row r="130" spans="1:19" x14ac:dyDescent="0.25">
      <c r="A130" s="27">
        <v>128</v>
      </c>
      <c r="Q130" s="75"/>
      <c r="S130" s="75"/>
    </row>
    <row r="131" spans="1:19" x14ac:dyDescent="0.25">
      <c r="A131" s="27">
        <v>129</v>
      </c>
      <c r="Q131" s="75"/>
      <c r="S131" s="75"/>
    </row>
    <row r="132" spans="1:19" x14ac:dyDescent="0.25">
      <c r="A132" s="27">
        <v>130</v>
      </c>
      <c r="Q132" s="75"/>
      <c r="S132" s="75"/>
    </row>
    <row r="133" spans="1:19" x14ac:dyDescent="0.25">
      <c r="A133" s="27">
        <v>131</v>
      </c>
      <c r="Q133" s="75"/>
      <c r="S133" s="75"/>
    </row>
    <row r="134" spans="1:19" x14ac:dyDescent="0.25">
      <c r="A134" s="27">
        <v>132</v>
      </c>
      <c r="Q134" s="75"/>
      <c r="S134" s="75"/>
    </row>
    <row r="135" spans="1:19" x14ac:dyDescent="0.25">
      <c r="A135" s="27">
        <v>133</v>
      </c>
      <c r="Q135" s="75"/>
      <c r="S135" s="75"/>
    </row>
    <row r="136" spans="1:19" x14ac:dyDescent="0.25">
      <c r="A136" s="27">
        <v>134</v>
      </c>
      <c r="Q136" s="75"/>
      <c r="S136" s="75"/>
    </row>
    <row r="137" spans="1:19" x14ac:dyDescent="0.25">
      <c r="A137" s="27">
        <v>135</v>
      </c>
      <c r="Q137" s="75"/>
      <c r="S137" s="75"/>
    </row>
    <row r="138" spans="1:19" x14ac:dyDescent="0.25">
      <c r="A138" s="27">
        <v>136</v>
      </c>
      <c r="Q138" s="75"/>
      <c r="S138" s="75"/>
    </row>
    <row r="139" spans="1:19" x14ac:dyDescent="0.25">
      <c r="A139" s="27">
        <v>137</v>
      </c>
      <c r="Q139" s="75"/>
      <c r="S139" s="75"/>
    </row>
    <row r="140" spans="1:19" x14ac:dyDescent="0.25">
      <c r="A140" s="27">
        <v>138</v>
      </c>
      <c r="Q140" s="75"/>
      <c r="S140" s="75"/>
    </row>
    <row r="141" spans="1:19" x14ac:dyDescent="0.25">
      <c r="A141" s="27">
        <v>139</v>
      </c>
      <c r="Q141" s="75"/>
      <c r="S141" s="75"/>
    </row>
    <row r="142" spans="1:19" x14ac:dyDescent="0.25">
      <c r="A142" s="27">
        <v>140</v>
      </c>
      <c r="Q142" s="75"/>
      <c r="S142" s="75"/>
    </row>
    <row r="143" spans="1:19" x14ac:dyDescent="0.25">
      <c r="A143" s="27">
        <v>141</v>
      </c>
      <c r="Q143" s="75"/>
      <c r="S143" s="75"/>
    </row>
    <row r="144" spans="1:19" x14ac:dyDescent="0.25">
      <c r="A144" s="27">
        <v>142</v>
      </c>
      <c r="Q144" s="75"/>
      <c r="S144" s="75"/>
    </row>
    <row r="145" spans="1:19" x14ac:dyDescent="0.25">
      <c r="A145" s="27">
        <v>143</v>
      </c>
      <c r="Q145" s="75"/>
      <c r="S145" s="75"/>
    </row>
    <row r="146" spans="1:19" x14ac:dyDescent="0.25">
      <c r="A146" s="27">
        <v>144</v>
      </c>
      <c r="Q146" s="75"/>
      <c r="S146" s="75"/>
    </row>
    <row r="147" spans="1:19" x14ac:dyDescent="0.25">
      <c r="A147" s="27">
        <v>145</v>
      </c>
      <c r="Q147" s="75"/>
      <c r="S147" s="75"/>
    </row>
    <row r="148" spans="1:19" x14ac:dyDescent="0.25">
      <c r="A148" s="27">
        <v>146</v>
      </c>
      <c r="Q148" s="75"/>
      <c r="S148" s="75"/>
    </row>
    <row r="149" spans="1:19" x14ac:dyDescent="0.25">
      <c r="A149" s="27">
        <v>147</v>
      </c>
      <c r="Q149" s="75"/>
      <c r="S149" s="75"/>
    </row>
    <row r="150" spans="1:19" x14ac:dyDescent="0.25">
      <c r="A150" s="27">
        <v>148</v>
      </c>
      <c r="Q150" s="75"/>
      <c r="S150" s="75"/>
    </row>
    <row r="151" spans="1:19" x14ac:dyDescent="0.25">
      <c r="A151" s="27">
        <v>149</v>
      </c>
      <c r="Q151" s="75"/>
      <c r="S151" s="75"/>
    </row>
    <row r="152" spans="1:19" x14ac:dyDescent="0.25">
      <c r="A152" s="27">
        <v>150</v>
      </c>
      <c r="Q152" s="75"/>
      <c r="S152" s="75"/>
    </row>
    <row r="153" spans="1:19" x14ac:dyDescent="0.25">
      <c r="A153" s="27">
        <v>151</v>
      </c>
      <c r="Q153" s="75"/>
      <c r="S153" s="75"/>
    </row>
    <row r="154" spans="1:19" x14ac:dyDescent="0.25">
      <c r="A154" s="27">
        <v>152</v>
      </c>
      <c r="Q154" s="75"/>
      <c r="S154" s="75"/>
    </row>
    <row r="155" spans="1:19" x14ac:dyDescent="0.25">
      <c r="A155" s="27">
        <v>153</v>
      </c>
      <c r="Q155" s="75"/>
      <c r="S155" s="75"/>
    </row>
    <row r="156" spans="1:19" x14ac:dyDescent="0.25">
      <c r="A156" s="27">
        <v>154</v>
      </c>
      <c r="Q156" s="75"/>
      <c r="S156" s="75"/>
    </row>
    <row r="157" spans="1:19" x14ac:dyDescent="0.25">
      <c r="A157" s="27">
        <v>155</v>
      </c>
      <c r="Q157" s="75"/>
      <c r="S157" s="75"/>
    </row>
    <row r="158" spans="1:19" x14ac:dyDescent="0.25">
      <c r="A158" s="27">
        <v>156</v>
      </c>
      <c r="Q158" s="75"/>
      <c r="S158" s="75"/>
    </row>
    <row r="159" spans="1:19" x14ac:dyDescent="0.25">
      <c r="A159" s="27">
        <v>157</v>
      </c>
      <c r="Q159" s="75"/>
      <c r="S159" s="75"/>
    </row>
    <row r="160" spans="1:19" x14ac:dyDescent="0.25">
      <c r="A160" s="27">
        <v>158</v>
      </c>
      <c r="Q160" s="75"/>
      <c r="S160" s="75"/>
    </row>
    <row r="161" spans="1:19" x14ac:dyDescent="0.25">
      <c r="A161" s="27">
        <v>159</v>
      </c>
      <c r="Q161" s="75"/>
      <c r="S161" s="75"/>
    </row>
    <row r="162" spans="1:19" x14ac:dyDescent="0.25">
      <c r="A162" s="27">
        <v>160</v>
      </c>
      <c r="Q162" s="75"/>
      <c r="S162" s="75"/>
    </row>
    <row r="163" spans="1:19" x14ac:dyDescent="0.25">
      <c r="A163" s="27">
        <v>161</v>
      </c>
      <c r="Q163" s="75"/>
      <c r="S163" s="75"/>
    </row>
    <row r="164" spans="1:19" x14ac:dyDescent="0.25">
      <c r="A164" s="27">
        <v>162</v>
      </c>
      <c r="Q164" s="75"/>
      <c r="S164" s="75"/>
    </row>
    <row r="165" spans="1:19" x14ac:dyDescent="0.25">
      <c r="A165" s="27">
        <v>163</v>
      </c>
      <c r="Q165" s="75"/>
      <c r="S165" s="75"/>
    </row>
    <row r="166" spans="1:19" x14ac:dyDescent="0.25">
      <c r="A166" s="27">
        <v>164</v>
      </c>
      <c r="Q166" s="75"/>
      <c r="S166" s="75"/>
    </row>
    <row r="167" spans="1:19" x14ac:dyDescent="0.25">
      <c r="A167" s="27">
        <v>165</v>
      </c>
      <c r="Q167" s="75"/>
      <c r="S167" s="75"/>
    </row>
    <row r="168" spans="1:19" x14ac:dyDescent="0.25">
      <c r="A168" s="27">
        <v>166</v>
      </c>
      <c r="Q168" s="75"/>
      <c r="S168" s="75"/>
    </row>
    <row r="169" spans="1:19" x14ac:dyDescent="0.25">
      <c r="A169" s="27">
        <v>167</v>
      </c>
      <c r="Q169" s="75"/>
      <c r="S169" s="75"/>
    </row>
    <row r="170" spans="1:19" x14ac:dyDescent="0.25">
      <c r="A170" s="27">
        <v>168</v>
      </c>
      <c r="Q170" s="75"/>
      <c r="S170" s="75"/>
    </row>
    <row r="171" spans="1:19" x14ac:dyDescent="0.25">
      <c r="A171" s="27">
        <v>169</v>
      </c>
      <c r="Q171" s="75"/>
      <c r="S171" s="75"/>
    </row>
    <row r="172" spans="1:19" x14ac:dyDescent="0.25">
      <c r="A172" s="27">
        <v>170</v>
      </c>
      <c r="Q172" s="75"/>
      <c r="S172" s="75"/>
    </row>
    <row r="173" spans="1:19" x14ac:dyDescent="0.25">
      <c r="A173" s="27">
        <v>171</v>
      </c>
      <c r="Q173" s="75"/>
      <c r="S173" s="75"/>
    </row>
    <row r="174" spans="1:19" x14ac:dyDescent="0.25">
      <c r="A174" s="27">
        <v>172</v>
      </c>
      <c r="Q174" s="75"/>
      <c r="S174" s="75"/>
    </row>
    <row r="175" spans="1:19" x14ac:dyDescent="0.25">
      <c r="A175" s="27">
        <v>173</v>
      </c>
      <c r="Q175" s="75"/>
      <c r="S175" s="75"/>
    </row>
    <row r="176" spans="1:19" x14ac:dyDescent="0.25">
      <c r="A176" s="27">
        <v>174</v>
      </c>
      <c r="Q176" s="75"/>
      <c r="S176" s="75"/>
    </row>
    <row r="177" spans="1:19" x14ac:dyDescent="0.25">
      <c r="A177" s="27">
        <v>175</v>
      </c>
      <c r="Q177" s="75"/>
      <c r="S177" s="75"/>
    </row>
    <row r="178" spans="1:19" x14ac:dyDescent="0.25">
      <c r="A178" s="27">
        <v>176</v>
      </c>
      <c r="Q178" s="75"/>
      <c r="S178" s="75"/>
    </row>
    <row r="179" spans="1:19" x14ac:dyDescent="0.25">
      <c r="A179" s="27">
        <v>177</v>
      </c>
      <c r="Q179" s="75"/>
      <c r="S179" s="75"/>
    </row>
    <row r="180" spans="1:19" x14ac:dyDescent="0.25">
      <c r="A180" s="27">
        <v>178</v>
      </c>
      <c r="Q180" s="75"/>
      <c r="S180" s="75"/>
    </row>
    <row r="181" spans="1:19" x14ac:dyDescent="0.25">
      <c r="A181" s="27">
        <v>179</v>
      </c>
      <c r="Q181" s="75"/>
      <c r="S181" s="75"/>
    </row>
    <row r="182" spans="1:19" x14ac:dyDescent="0.25">
      <c r="A182" s="27">
        <v>180</v>
      </c>
      <c r="Q182" s="75"/>
      <c r="S182" s="75"/>
    </row>
    <row r="183" spans="1:19" x14ac:dyDescent="0.25">
      <c r="A183" s="27">
        <v>181</v>
      </c>
      <c r="Q183" s="75"/>
      <c r="S183" s="75"/>
    </row>
    <row r="184" spans="1:19" x14ac:dyDescent="0.25">
      <c r="A184" s="27">
        <v>182</v>
      </c>
      <c r="Q184" s="75"/>
      <c r="S184" s="75"/>
    </row>
    <row r="185" spans="1:19" x14ac:dyDescent="0.25">
      <c r="A185" s="27">
        <v>183</v>
      </c>
      <c r="Q185" s="75"/>
      <c r="S185" s="75"/>
    </row>
    <row r="186" spans="1:19" x14ac:dyDescent="0.25">
      <c r="A186" s="27">
        <v>184</v>
      </c>
      <c r="Q186" s="75"/>
      <c r="S186" s="75"/>
    </row>
    <row r="187" spans="1:19" x14ac:dyDescent="0.25">
      <c r="A187" s="27">
        <v>185</v>
      </c>
      <c r="Q187" s="75"/>
      <c r="S187" s="75"/>
    </row>
    <row r="188" spans="1:19" x14ac:dyDescent="0.25">
      <c r="A188" s="27">
        <v>186</v>
      </c>
      <c r="Q188" s="75"/>
      <c r="S188" s="75"/>
    </row>
    <row r="189" spans="1:19" x14ac:dyDescent="0.25">
      <c r="A189" s="27">
        <v>187</v>
      </c>
      <c r="Q189" s="75"/>
      <c r="S189" s="75"/>
    </row>
    <row r="190" spans="1:19" x14ac:dyDescent="0.25">
      <c r="A190" s="27">
        <v>188</v>
      </c>
      <c r="Q190" s="75"/>
      <c r="S190" s="75"/>
    </row>
    <row r="191" spans="1:19" x14ac:dyDescent="0.25">
      <c r="A191" s="27">
        <v>189</v>
      </c>
      <c r="Q191" s="75"/>
      <c r="S191" s="75"/>
    </row>
    <row r="192" spans="1:19" x14ac:dyDescent="0.25">
      <c r="A192" s="27">
        <v>190</v>
      </c>
      <c r="Q192" s="75"/>
      <c r="S192" s="75"/>
    </row>
    <row r="193" spans="1:19" x14ac:dyDescent="0.25">
      <c r="A193" s="27">
        <v>191</v>
      </c>
      <c r="Q193" s="75"/>
      <c r="S193" s="75"/>
    </row>
    <row r="194" spans="1:19" x14ac:dyDescent="0.25">
      <c r="A194" s="27">
        <v>192</v>
      </c>
      <c r="Q194" s="75"/>
      <c r="S194" s="75"/>
    </row>
    <row r="195" spans="1:19" x14ac:dyDescent="0.25">
      <c r="A195" s="27">
        <v>193</v>
      </c>
      <c r="Q195" s="75"/>
      <c r="S195" s="75"/>
    </row>
    <row r="196" spans="1:19" x14ac:dyDescent="0.25">
      <c r="A196" s="27">
        <v>194</v>
      </c>
      <c r="Q196" s="75"/>
      <c r="S196" s="75"/>
    </row>
    <row r="197" spans="1:19" x14ac:dyDescent="0.25">
      <c r="A197" s="27">
        <v>195</v>
      </c>
      <c r="Q197" s="75"/>
      <c r="S197" s="75"/>
    </row>
    <row r="198" spans="1:19" x14ac:dyDescent="0.25">
      <c r="A198" s="27">
        <v>196</v>
      </c>
      <c r="Q198" s="75"/>
      <c r="S198" s="75"/>
    </row>
    <row r="199" spans="1:19" x14ac:dyDescent="0.25">
      <c r="A199" s="27">
        <v>197</v>
      </c>
      <c r="Q199" s="75"/>
      <c r="S199" s="75"/>
    </row>
    <row r="200" spans="1:19" x14ac:dyDescent="0.25">
      <c r="A200" s="27">
        <v>198</v>
      </c>
      <c r="Q200" s="75"/>
      <c r="S200" s="75"/>
    </row>
    <row r="201" spans="1:19" x14ac:dyDescent="0.25">
      <c r="A201" s="27">
        <v>199</v>
      </c>
      <c r="Q201" s="75"/>
      <c r="S201" s="75"/>
    </row>
    <row r="202" spans="1:19" x14ac:dyDescent="0.25">
      <c r="A202" s="27">
        <v>200</v>
      </c>
      <c r="Q202" s="75"/>
      <c r="S202" s="75"/>
    </row>
    <row r="203" spans="1:19" x14ac:dyDescent="0.25">
      <c r="A203" s="27">
        <v>201</v>
      </c>
      <c r="Q203" s="75"/>
      <c r="S203" s="75"/>
    </row>
    <row r="204" spans="1:19" x14ac:dyDescent="0.25">
      <c r="A204" s="27">
        <v>202</v>
      </c>
      <c r="Q204" s="75"/>
      <c r="S204" s="75"/>
    </row>
    <row r="205" spans="1:19" x14ac:dyDescent="0.25">
      <c r="A205" s="27">
        <v>203</v>
      </c>
      <c r="Q205" s="75"/>
      <c r="S205" s="75"/>
    </row>
    <row r="206" spans="1:19" x14ac:dyDescent="0.25">
      <c r="A206" s="27">
        <v>204</v>
      </c>
      <c r="Q206" s="75"/>
      <c r="S206" s="75"/>
    </row>
    <row r="207" spans="1:19" x14ac:dyDescent="0.25">
      <c r="A207" s="27">
        <v>205</v>
      </c>
      <c r="Q207" s="75"/>
      <c r="S207" s="75"/>
    </row>
    <row r="208" spans="1:19" x14ac:dyDescent="0.25">
      <c r="A208" s="27">
        <v>206</v>
      </c>
      <c r="Q208" s="75"/>
      <c r="S208" s="75"/>
    </row>
    <row r="209" spans="1:19" x14ac:dyDescent="0.25">
      <c r="A209" s="27">
        <v>207</v>
      </c>
      <c r="Q209" s="75"/>
      <c r="S209" s="75"/>
    </row>
    <row r="210" spans="1:19" x14ac:dyDescent="0.25">
      <c r="A210" s="27">
        <v>208</v>
      </c>
      <c r="Q210" s="75"/>
      <c r="S210" s="75"/>
    </row>
    <row r="211" spans="1:19" x14ac:dyDescent="0.25">
      <c r="A211" s="27">
        <v>209</v>
      </c>
      <c r="Q211" s="75"/>
      <c r="S211" s="75"/>
    </row>
    <row r="212" spans="1:19" x14ac:dyDescent="0.25">
      <c r="A212" s="27">
        <v>210</v>
      </c>
      <c r="Q212" s="75"/>
      <c r="S212" s="75"/>
    </row>
    <row r="213" spans="1:19" x14ac:dyDescent="0.25">
      <c r="A213" s="27">
        <v>211</v>
      </c>
      <c r="Q213" s="75"/>
      <c r="S213" s="75"/>
    </row>
    <row r="214" spans="1:19" x14ac:dyDescent="0.25">
      <c r="A214" s="27">
        <v>212</v>
      </c>
      <c r="Q214" s="75"/>
      <c r="S214" s="75"/>
    </row>
    <row r="215" spans="1:19" x14ac:dyDescent="0.25">
      <c r="A215" s="27">
        <v>213</v>
      </c>
      <c r="Q215" s="75"/>
      <c r="S215" s="75"/>
    </row>
    <row r="216" spans="1:19" x14ac:dyDescent="0.25">
      <c r="A216" s="27">
        <v>214</v>
      </c>
      <c r="Q216" s="75"/>
      <c r="S216" s="75"/>
    </row>
    <row r="217" spans="1:19" x14ac:dyDescent="0.25">
      <c r="A217" s="27">
        <v>215</v>
      </c>
      <c r="Q217" s="75"/>
      <c r="S217" s="75"/>
    </row>
    <row r="218" spans="1:19" x14ac:dyDescent="0.25">
      <c r="A218" s="27">
        <v>216</v>
      </c>
      <c r="Q218" s="75"/>
      <c r="S218" s="75"/>
    </row>
    <row r="219" spans="1:19" x14ac:dyDescent="0.25">
      <c r="A219" s="27">
        <v>217</v>
      </c>
      <c r="Q219" s="75"/>
      <c r="S219" s="75"/>
    </row>
    <row r="220" spans="1:19" x14ac:dyDescent="0.25">
      <c r="A220" s="27">
        <v>218</v>
      </c>
      <c r="Q220" s="75"/>
      <c r="S220" s="75"/>
    </row>
    <row r="221" spans="1:19" x14ac:dyDescent="0.25">
      <c r="A221" s="27">
        <v>219</v>
      </c>
      <c r="Q221" s="75"/>
      <c r="S221" s="75"/>
    </row>
    <row r="222" spans="1:19" x14ac:dyDescent="0.25">
      <c r="A222" s="27">
        <v>220</v>
      </c>
      <c r="Q222" s="75"/>
      <c r="S222" s="75"/>
    </row>
    <row r="223" spans="1:19" x14ac:dyDescent="0.25">
      <c r="A223" s="27">
        <v>221</v>
      </c>
      <c r="Q223" s="75"/>
      <c r="S223" s="75"/>
    </row>
    <row r="224" spans="1:19" x14ac:dyDescent="0.25">
      <c r="A224" s="27">
        <v>222</v>
      </c>
      <c r="Q224" s="75"/>
      <c r="S224" s="75"/>
    </row>
    <row r="225" spans="1:19" x14ac:dyDescent="0.25">
      <c r="A225" s="27">
        <v>223</v>
      </c>
      <c r="Q225" s="75"/>
      <c r="S225" s="75"/>
    </row>
    <row r="226" spans="1:19" x14ac:dyDescent="0.25">
      <c r="A226" s="27">
        <v>224</v>
      </c>
      <c r="Q226" s="75"/>
      <c r="S226" s="75"/>
    </row>
    <row r="227" spans="1:19" x14ac:dyDescent="0.25">
      <c r="A227" s="27">
        <v>225</v>
      </c>
      <c r="Q227" s="75"/>
      <c r="S227" s="75"/>
    </row>
    <row r="228" spans="1:19" x14ac:dyDescent="0.25">
      <c r="A228" s="27">
        <v>226</v>
      </c>
      <c r="Q228" s="75"/>
      <c r="S228" s="75"/>
    </row>
    <row r="229" spans="1:19" x14ac:dyDescent="0.25">
      <c r="A229" s="27">
        <v>227</v>
      </c>
      <c r="Q229" s="75"/>
      <c r="S229" s="75"/>
    </row>
    <row r="230" spans="1:19" x14ac:dyDescent="0.25">
      <c r="A230" s="27">
        <v>228</v>
      </c>
      <c r="Q230" s="75"/>
      <c r="S230" s="75"/>
    </row>
    <row r="231" spans="1:19" x14ac:dyDescent="0.25">
      <c r="A231" s="27">
        <v>229</v>
      </c>
      <c r="Q231" s="75"/>
      <c r="S231" s="75"/>
    </row>
    <row r="232" spans="1:19" x14ac:dyDescent="0.25">
      <c r="A232" s="27">
        <v>230</v>
      </c>
      <c r="Q232" s="75"/>
      <c r="S232" s="75"/>
    </row>
    <row r="233" spans="1:19" x14ac:dyDescent="0.25">
      <c r="A233" s="27">
        <v>231</v>
      </c>
      <c r="Q233" s="75"/>
      <c r="S233" s="75"/>
    </row>
    <row r="234" spans="1:19" x14ac:dyDescent="0.25">
      <c r="A234" s="27">
        <v>232</v>
      </c>
      <c r="Q234" s="75"/>
      <c r="S234" s="75"/>
    </row>
    <row r="235" spans="1:19" x14ac:dyDescent="0.25">
      <c r="A235" s="27">
        <v>233</v>
      </c>
      <c r="Q235" s="75"/>
      <c r="S235" s="75"/>
    </row>
    <row r="236" spans="1:19" x14ac:dyDescent="0.25">
      <c r="A236" s="27">
        <v>234</v>
      </c>
      <c r="Q236" s="75"/>
      <c r="S236" s="75"/>
    </row>
    <row r="237" spans="1:19" x14ac:dyDescent="0.25">
      <c r="A237" s="27">
        <v>235</v>
      </c>
      <c r="Q237" s="75"/>
      <c r="S237" s="75"/>
    </row>
    <row r="238" spans="1:19" x14ac:dyDescent="0.25">
      <c r="A238" s="27">
        <v>236</v>
      </c>
      <c r="Q238" s="75"/>
      <c r="S238" s="75"/>
    </row>
    <row r="239" spans="1:19" x14ac:dyDescent="0.25">
      <c r="A239" s="27">
        <v>237</v>
      </c>
      <c r="Q239" s="75"/>
      <c r="S239" s="75"/>
    </row>
    <row r="240" spans="1:19" x14ac:dyDescent="0.25">
      <c r="A240" s="27">
        <v>238</v>
      </c>
      <c r="Q240" s="75"/>
      <c r="S240" s="75"/>
    </row>
    <row r="241" spans="1:19" x14ac:dyDescent="0.25">
      <c r="A241" s="27">
        <v>239</v>
      </c>
      <c r="Q241" s="75"/>
      <c r="S241" s="75"/>
    </row>
    <row r="242" spans="1:19" x14ac:dyDescent="0.25">
      <c r="A242" s="27">
        <v>240</v>
      </c>
      <c r="Q242" s="75"/>
      <c r="S242" s="75"/>
    </row>
    <row r="243" spans="1:19" x14ac:dyDescent="0.25">
      <c r="A243" s="27">
        <v>241</v>
      </c>
      <c r="Q243" s="75"/>
      <c r="S243" s="75"/>
    </row>
    <row r="244" spans="1:19" x14ac:dyDescent="0.25">
      <c r="A244" s="27">
        <v>242</v>
      </c>
      <c r="Q244" s="75"/>
      <c r="S244" s="75"/>
    </row>
    <row r="245" spans="1:19" x14ac:dyDescent="0.25">
      <c r="A245" s="27">
        <v>243</v>
      </c>
      <c r="Q245" s="75"/>
      <c r="S245" s="75"/>
    </row>
    <row r="246" spans="1:19" x14ac:dyDescent="0.25">
      <c r="A246" s="27">
        <v>244</v>
      </c>
      <c r="Q246" s="75"/>
      <c r="S246" s="75"/>
    </row>
    <row r="247" spans="1:19" x14ac:dyDescent="0.25">
      <c r="A247" s="27">
        <v>245</v>
      </c>
      <c r="Q247" s="75"/>
      <c r="S247" s="75"/>
    </row>
    <row r="248" spans="1:19" x14ac:dyDescent="0.25">
      <c r="A248" s="27">
        <v>246</v>
      </c>
      <c r="Q248" s="75"/>
      <c r="S248" s="75"/>
    </row>
    <row r="249" spans="1:19" x14ac:dyDescent="0.25">
      <c r="A249" s="27">
        <v>247</v>
      </c>
      <c r="Q249" s="75"/>
      <c r="S249" s="75"/>
    </row>
    <row r="250" spans="1:19" x14ac:dyDescent="0.25">
      <c r="A250" s="27">
        <v>248</v>
      </c>
      <c r="Q250" s="75"/>
      <c r="S250" s="75"/>
    </row>
    <row r="251" spans="1:19" x14ac:dyDescent="0.25">
      <c r="A251" s="27">
        <v>249</v>
      </c>
      <c r="Q251" s="75"/>
      <c r="S251" s="75"/>
    </row>
    <row r="252" spans="1:19" x14ac:dyDescent="0.25">
      <c r="A252" s="27">
        <v>250</v>
      </c>
      <c r="Q252" s="75"/>
      <c r="S252" s="75"/>
    </row>
    <row r="253" spans="1:19" x14ac:dyDescent="0.25">
      <c r="A253" s="27">
        <v>251</v>
      </c>
      <c r="Q253" s="75"/>
      <c r="S253" s="75"/>
    </row>
    <row r="254" spans="1:19" x14ac:dyDescent="0.25">
      <c r="A254" s="27">
        <v>252</v>
      </c>
      <c r="Q254" s="75"/>
      <c r="S254" s="75"/>
    </row>
    <row r="255" spans="1:19" x14ac:dyDescent="0.25">
      <c r="A255" s="27">
        <v>253</v>
      </c>
      <c r="Q255" s="75"/>
      <c r="S255" s="75"/>
    </row>
    <row r="256" spans="1:19" x14ac:dyDescent="0.25">
      <c r="A256" s="27">
        <v>254</v>
      </c>
      <c r="Q256" s="75"/>
      <c r="S256" s="75"/>
    </row>
    <row r="257" spans="1:19" x14ac:dyDescent="0.25">
      <c r="A257" s="27">
        <v>255</v>
      </c>
      <c r="Q257" s="75"/>
      <c r="S257" s="75"/>
    </row>
    <row r="258" spans="1:19" x14ac:dyDescent="0.25">
      <c r="A258" s="27">
        <v>256</v>
      </c>
      <c r="Q258" s="75"/>
      <c r="S258" s="75"/>
    </row>
    <row r="259" spans="1:19" x14ac:dyDescent="0.25">
      <c r="A259" s="27">
        <v>257</v>
      </c>
      <c r="Q259" s="75"/>
      <c r="S259" s="75"/>
    </row>
    <row r="260" spans="1:19" x14ac:dyDescent="0.25">
      <c r="A260" s="27">
        <v>258</v>
      </c>
      <c r="Q260" s="75"/>
      <c r="S260" s="75"/>
    </row>
    <row r="261" spans="1:19" x14ac:dyDescent="0.25">
      <c r="A261" s="27">
        <v>259</v>
      </c>
      <c r="Q261" s="75"/>
      <c r="S261" s="75"/>
    </row>
    <row r="262" spans="1:19" x14ac:dyDescent="0.25">
      <c r="A262" s="27">
        <v>260</v>
      </c>
      <c r="Q262" s="75"/>
      <c r="S262" s="75"/>
    </row>
    <row r="263" spans="1:19" x14ac:dyDescent="0.25">
      <c r="A263" s="27">
        <v>261</v>
      </c>
      <c r="Q263" s="75"/>
      <c r="S263" s="75"/>
    </row>
    <row r="264" spans="1:19" x14ac:dyDescent="0.25">
      <c r="A264" s="27">
        <v>262</v>
      </c>
      <c r="Q264" s="75"/>
      <c r="S264" s="75"/>
    </row>
    <row r="265" spans="1:19" x14ac:dyDescent="0.25">
      <c r="A265" s="27">
        <v>263</v>
      </c>
      <c r="Q265" s="75"/>
      <c r="S265" s="75"/>
    </row>
    <row r="266" spans="1:19" x14ac:dyDescent="0.25">
      <c r="A266" s="27">
        <v>264</v>
      </c>
      <c r="Q266" s="75"/>
      <c r="S266" s="75"/>
    </row>
    <row r="267" spans="1:19" x14ac:dyDescent="0.25">
      <c r="A267" s="27">
        <v>265</v>
      </c>
      <c r="Q267" s="75"/>
      <c r="S267" s="75"/>
    </row>
    <row r="268" spans="1:19" x14ac:dyDescent="0.25">
      <c r="A268" s="27">
        <v>266</v>
      </c>
      <c r="Q268" s="75"/>
      <c r="S268" s="75"/>
    </row>
    <row r="269" spans="1:19" x14ac:dyDescent="0.25">
      <c r="A269" s="27">
        <v>267</v>
      </c>
      <c r="Q269" s="75"/>
      <c r="S269" s="75"/>
    </row>
    <row r="270" spans="1:19" x14ac:dyDescent="0.25">
      <c r="A270" s="27">
        <v>268</v>
      </c>
      <c r="Q270" s="75"/>
      <c r="S270" s="75"/>
    </row>
    <row r="271" spans="1:19" x14ac:dyDescent="0.25">
      <c r="A271" s="27">
        <v>269</v>
      </c>
      <c r="Q271" s="75"/>
      <c r="S271" s="75"/>
    </row>
    <row r="272" spans="1:19" x14ac:dyDescent="0.25">
      <c r="A272" s="27">
        <v>270</v>
      </c>
      <c r="Q272" s="75"/>
      <c r="S272" s="75"/>
    </row>
    <row r="273" spans="1:19" x14ac:dyDescent="0.25">
      <c r="A273" s="27">
        <v>271</v>
      </c>
      <c r="Q273" s="75"/>
      <c r="S273" s="75"/>
    </row>
    <row r="274" spans="1:19" x14ac:dyDescent="0.25">
      <c r="A274" s="27">
        <v>272</v>
      </c>
      <c r="Q274" s="75"/>
      <c r="S274" s="75"/>
    </row>
    <row r="275" spans="1:19" x14ac:dyDescent="0.25">
      <c r="A275" s="27">
        <v>273</v>
      </c>
      <c r="Q275" s="75"/>
      <c r="S275" s="75"/>
    </row>
    <row r="276" spans="1:19" x14ac:dyDescent="0.25">
      <c r="A276" s="27">
        <v>274</v>
      </c>
      <c r="Q276" s="75"/>
      <c r="S276" s="75"/>
    </row>
    <row r="277" spans="1:19" x14ac:dyDescent="0.25">
      <c r="A277" s="27">
        <v>275</v>
      </c>
      <c r="Q277" s="75"/>
      <c r="S277" s="75"/>
    </row>
    <row r="278" spans="1:19" x14ac:dyDescent="0.25">
      <c r="A278" s="27">
        <v>276</v>
      </c>
      <c r="Q278" s="75"/>
      <c r="S278" s="75"/>
    </row>
    <row r="279" spans="1:19" x14ac:dyDescent="0.25">
      <c r="A279" s="27">
        <v>277</v>
      </c>
      <c r="Q279" s="75"/>
      <c r="S279" s="75"/>
    </row>
    <row r="280" spans="1:19" x14ac:dyDescent="0.25">
      <c r="A280" s="27">
        <v>278</v>
      </c>
      <c r="Q280" s="75"/>
      <c r="S280" s="75"/>
    </row>
    <row r="281" spans="1:19" x14ac:dyDescent="0.25">
      <c r="A281" s="27">
        <v>279</v>
      </c>
      <c r="Q281" s="75"/>
      <c r="S281" s="75"/>
    </row>
    <row r="282" spans="1:19" x14ac:dyDescent="0.25">
      <c r="A282" s="27">
        <v>280</v>
      </c>
      <c r="Q282" s="75"/>
      <c r="S282" s="75"/>
    </row>
    <row r="283" spans="1:19" x14ac:dyDescent="0.25">
      <c r="A283" s="27">
        <v>281</v>
      </c>
      <c r="Q283" s="75"/>
      <c r="S283" s="75"/>
    </row>
    <row r="284" spans="1:19" x14ac:dyDescent="0.25">
      <c r="A284" s="27">
        <v>282</v>
      </c>
      <c r="Q284" s="75"/>
      <c r="S284" s="75"/>
    </row>
    <row r="285" spans="1:19" x14ac:dyDescent="0.25">
      <c r="A285" s="27">
        <v>283</v>
      </c>
      <c r="Q285" s="75"/>
      <c r="S285" s="75"/>
    </row>
    <row r="286" spans="1:19" x14ac:dyDescent="0.25">
      <c r="A286" s="27">
        <v>284</v>
      </c>
      <c r="Q286" s="75"/>
      <c r="S286" s="75"/>
    </row>
    <row r="287" spans="1:19" x14ac:dyDescent="0.25">
      <c r="A287" s="27">
        <v>285</v>
      </c>
      <c r="Q287" s="75"/>
      <c r="S287" s="75"/>
    </row>
    <row r="288" spans="1:19" x14ac:dyDescent="0.25">
      <c r="A288" s="27">
        <v>286</v>
      </c>
      <c r="Q288" s="75"/>
      <c r="S288" s="75"/>
    </row>
    <row r="289" spans="1:19" x14ac:dyDescent="0.25">
      <c r="A289" s="27">
        <v>287</v>
      </c>
      <c r="Q289" s="75"/>
      <c r="S289" s="75"/>
    </row>
    <row r="290" spans="1:19" x14ac:dyDescent="0.25">
      <c r="A290" s="27">
        <v>288</v>
      </c>
      <c r="Q290" s="75"/>
      <c r="S290" s="75"/>
    </row>
    <row r="291" spans="1:19" x14ac:dyDescent="0.25">
      <c r="A291" s="27">
        <v>289</v>
      </c>
      <c r="Q291" s="75"/>
      <c r="S291" s="75"/>
    </row>
    <row r="292" spans="1:19" x14ac:dyDescent="0.25">
      <c r="A292" s="27">
        <v>290</v>
      </c>
      <c r="Q292" s="75"/>
      <c r="S292" s="75"/>
    </row>
    <row r="293" spans="1:19" x14ac:dyDescent="0.25">
      <c r="A293" s="27">
        <v>291</v>
      </c>
      <c r="Q293" s="75"/>
      <c r="S293" s="75"/>
    </row>
    <row r="294" spans="1:19" x14ac:dyDescent="0.25">
      <c r="A294" s="27">
        <v>292</v>
      </c>
      <c r="Q294" s="75"/>
      <c r="S294" s="75"/>
    </row>
    <row r="295" spans="1:19" x14ac:dyDescent="0.25">
      <c r="A295" s="27">
        <v>293</v>
      </c>
      <c r="Q295" s="75"/>
      <c r="S295" s="75"/>
    </row>
    <row r="296" spans="1:19" x14ac:dyDescent="0.25">
      <c r="A296" s="27">
        <v>294</v>
      </c>
      <c r="Q296" s="75"/>
      <c r="S296" s="75"/>
    </row>
    <row r="297" spans="1:19" x14ac:dyDescent="0.25">
      <c r="A297" s="27">
        <v>295</v>
      </c>
      <c r="Q297" s="75"/>
      <c r="S297" s="75"/>
    </row>
    <row r="298" spans="1:19" x14ac:dyDescent="0.25">
      <c r="A298" s="27">
        <v>296</v>
      </c>
      <c r="Q298" s="75"/>
      <c r="S298" s="75"/>
    </row>
    <row r="299" spans="1:19" x14ac:dyDescent="0.25">
      <c r="A299" s="27">
        <v>297</v>
      </c>
      <c r="Q299" s="75"/>
      <c r="S299" s="75"/>
    </row>
    <row r="300" spans="1:19" x14ac:dyDescent="0.25">
      <c r="A300" s="27">
        <v>298</v>
      </c>
      <c r="Q300" s="75"/>
      <c r="S300" s="75"/>
    </row>
    <row r="301" spans="1:19" x14ac:dyDescent="0.25">
      <c r="A301" s="27">
        <v>299</v>
      </c>
      <c r="Q301" s="75"/>
      <c r="S301" s="75"/>
    </row>
    <row r="302" spans="1:19" x14ac:dyDescent="0.25">
      <c r="A302" s="27">
        <v>300</v>
      </c>
      <c r="Q302" s="75"/>
      <c r="S302" s="75"/>
    </row>
    <row r="303" spans="1:19" x14ac:dyDescent="0.25">
      <c r="A303" s="27">
        <v>301</v>
      </c>
      <c r="Q303" s="75"/>
      <c r="S303" s="75"/>
    </row>
    <row r="304" spans="1:19" x14ac:dyDescent="0.25">
      <c r="A304" s="27">
        <v>302</v>
      </c>
      <c r="Q304" s="75"/>
      <c r="S304" s="75"/>
    </row>
    <row r="305" spans="1:19" x14ac:dyDescent="0.25">
      <c r="A305" s="27">
        <v>303</v>
      </c>
      <c r="Q305" s="75"/>
      <c r="S305" s="75"/>
    </row>
    <row r="306" spans="1:19" x14ac:dyDescent="0.25">
      <c r="A306" s="27">
        <v>304</v>
      </c>
      <c r="Q306" s="75"/>
      <c r="S306" s="75"/>
    </row>
    <row r="307" spans="1:19" x14ac:dyDescent="0.25">
      <c r="A307" s="27">
        <v>305</v>
      </c>
      <c r="Q307" s="75"/>
      <c r="S307" s="75"/>
    </row>
    <row r="308" spans="1:19" x14ac:dyDescent="0.25">
      <c r="A308" s="27">
        <v>306</v>
      </c>
      <c r="Q308" s="75"/>
      <c r="S308" s="75"/>
    </row>
    <row r="309" spans="1:19" x14ac:dyDescent="0.25">
      <c r="A309" s="27">
        <v>307</v>
      </c>
      <c r="Q309" s="75"/>
      <c r="S309" s="75"/>
    </row>
    <row r="310" spans="1:19" x14ac:dyDescent="0.25">
      <c r="A310" s="27">
        <v>308</v>
      </c>
      <c r="Q310" s="75"/>
      <c r="S310" s="75"/>
    </row>
    <row r="311" spans="1:19" x14ac:dyDescent="0.25">
      <c r="A311" s="27">
        <v>309</v>
      </c>
      <c r="Q311" s="75"/>
      <c r="S311" s="75"/>
    </row>
    <row r="312" spans="1:19" x14ac:dyDescent="0.25">
      <c r="A312" s="27">
        <v>310</v>
      </c>
      <c r="Q312" s="75"/>
      <c r="S312" s="75"/>
    </row>
    <row r="313" spans="1:19" x14ac:dyDescent="0.25">
      <c r="A313" s="27">
        <v>311</v>
      </c>
      <c r="Q313" s="75"/>
      <c r="S313" s="75"/>
    </row>
    <row r="314" spans="1:19" x14ac:dyDescent="0.25">
      <c r="A314" s="27">
        <v>312</v>
      </c>
      <c r="Q314" s="75"/>
      <c r="S314" s="75"/>
    </row>
    <row r="315" spans="1:19" x14ac:dyDescent="0.25">
      <c r="A315" s="27">
        <v>313</v>
      </c>
      <c r="Q315" s="75"/>
      <c r="S315" s="75"/>
    </row>
    <row r="316" spans="1:19" x14ac:dyDescent="0.25">
      <c r="A316" s="27">
        <v>314</v>
      </c>
      <c r="Q316" s="75"/>
      <c r="S316" s="75"/>
    </row>
    <row r="317" spans="1:19" x14ac:dyDescent="0.25">
      <c r="A317" s="27">
        <v>315</v>
      </c>
      <c r="Q317" s="75"/>
      <c r="S317" s="75"/>
    </row>
    <row r="318" spans="1:19" x14ac:dyDescent="0.25">
      <c r="A318" s="27">
        <v>316</v>
      </c>
      <c r="Q318" s="75"/>
      <c r="S318" s="75"/>
    </row>
    <row r="319" spans="1:19" x14ac:dyDescent="0.25">
      <c r="A319" s="27">
        <v>317</v>
      </c>
      <c r="Q319" s="75"/>
      <c r="S319" s="75"/>
    </row>
    <row r="320" spans="1:19" x14ac:dyDescent="0.25">
      <c r="A320" s="27">
        <v>318</v>
      </c>
      <c r="Q320" s="75"/>
      <c r="S320" s="75"/>
    </row>
    <row r="321" spans="1:19" x14ac:dyDescent="0.25">
      <c r="A321" s="27">
        <v>319</v>
      </c>
      <c r="Q321" s="75"/>
      <c r="S321" s="75"/>
    </row>
    <row r="322" spans="1:19" x14ac:dyDescent="0.25">
      <c r="A322" s="27">
        <v>320</v>
      </c>
      <c r="Q322" s="75"/>
      <c r="S322" s="75"/>
    </row>
    <row r="323" spans="1:19" x14ac:dyDescent="0.25">
      <c r="A323" s="27">
        <v>321</v>
      </c>
      <c r="Q323" s="75"/>
      <c r="S323" s="75"/>
    </row>
    <row r="324" spans="1:19" x14ac:dyDescent="0.25">
      <c r="A324" s="27">
        <v>322</v>
      </c>
      <c r="Q324" s="75"/>
      <c r="S324" s="75"/>
    </row>
    <row r="325" spans="1:19" x14ac:dyDescent="0.25">
      <c r="A325" s="27">
        <v>323</v>
      </c>
      <c r="Q325" s="75"/>
      <c r="S325" s="75"/>
    </row>
    <row r="326" spans="1:19" x14ac:dyDescent="0.25">
      <c r="A326" s="27">
        <v>324</v>
      </c>
      <c r="Q326" s="75"/>
      <c r="S326" s="75"/>
    </row>
    <row r="327" spans="1:19" x14ac:dyDescent="0.25">
      <c r="A327" s="27">
        <v>325</v>
      </c>
      <c r="Q327" s="75"/>
      <c r="S327" s="75"/>
    </row>
    <row r="328" spans="1:19" x14ac:dyDescent="0.25">
      <c r="A328" s="27">
        <v>326</v>
      </c>
      <c r="Q328" s="75"/>
      <c r="S328" s="75"/>
    </row>
    <row r="329" spans="1:19" x14ac:dyDescent="0.25">
      <c r="A329" s="27">
        <v>327</v>
      </c>
      <c r="Q329" s="75"/>
      <c r="S329" s="75"/>
    </row>
    <row r="330" spans="1:19" x14ac:dyDescent="0.25">
      <c r="A330" s="27">
        <v>328</v>
      </c>
      <c r="Q330" s="75"/>
      <c r="S330" s="75"/>
    </row>
    <row r="331" spans="1:19" x14ac:dyDescent="0.25">
      <c r="A331" s="27">
        <v>329</v>
      </c>
      <c r="Q331" s="75"/>
      <c r="S331" s="75"/>
    </row>
    <row r="332" spans="1:19" x14ac:dyDescent="0.25">
      <c r="A332" s="27">
        <v>330</v>
      </c>
      <c r="Q332" s="75"/>
      <c r="S332" s="75"/>
    </row>
    <row r="333" spans="1:19" x14ac:dyDescent="0.25">
      <c r="A333" s="27">
        <v>331</v>
      </c>
      <c r="Q333" s="75"/>
      <c r="S333" s="75"/>
    </row>
    <row r="334" spans="1:19" x14ac:dyDescent="0.25">
      <c r="A334" s="27">
        <v>332</v>
      </c>
      <c r="Q334" s="75"/>
      <c r="S334" s="75"/>
    </row>
    <row r="335" spans="1:19" x14ac:dyDescent="0.25">
      <c r="A335" s="27">
        <v>333</v>
      </c>
      <c r="Q335" s="75"/>
      <c r="S335" s="75"/>
    </row>
    <row r="336" spans="1:19" x14ac:dyDescent="0.25">
      <c r="A336" s="27">
        <v>334</v>
      </c>
      <c r="Q336" s="75"/>
      <c r="S336" s="75"/>
    </row>
    <row r="337" spans="1:19" x14ac:dyDescent="0.25">
      <c r="A337" s="27">
        <v>335</v>
      </c>
      <c r="Q337" s="75"/>
      <c r="S337" s="75"/>
    </row>
    <row r="338" spans="1:19" x14ac:dyDescent="0.25">
      <c r="A338" s="27">
        <v>336</v>
      </c>
      <c r="Q338" s="75"/>
      <c r="S338" s="75"/>
    </row>
    <row r="339" spans="1:19" x14ac:dyDescent="0.25">
      <c r="A339" s="27">
        <v>337</v>
      </c>
      <c r="Q339" s="75"/>
      <c r="S339" s="75"/>
    </row>
    <row r="340" spans="1:19" x14ac:dyDescent="0.25">
      <c r="A340" s="27">
        <v>338</v>
      </c>
      <c r="Q340" s="75"/>
      <c r="S340" s="75"/>
    </row>
    <row r="341" spans="1:19" x14ac:dyDescent="0.25">
      <c r="A341" s="27">
        <v>339</v>
      </c>
      <c r="Q341" s="75"/>
      <c r="S341" s="75"/>
    </row>
    <row r="342" spans="1:19" x14ac:dyDescent="0.25">
      <c r="A342" s="27">
        <v>340</v>
      </c>
      <c r="Q342" s="75"/>
      <c r="S342" s="75"/>
    </row>
    <row r="343" spans="1:19" x14ac:dyDescent="0.25">
      <c r="A343" s="27">
        <v>341</v>
      </c>
      <c r="Q343" s="75"/>
      <c r="S343" s="75"/>
    </row>
    <row r="344" spans="1:19" x14ac:dyDescent="0.25">
      <c r="A344" s="27">
        <v>342</v>
      </c>
      <c r="Q344" s="75"/>
      <c r="S344" s="75"/>
    </row>
    <row r="345" spans="1:19" x14ac:dyDescent="0.25">
      <c r="A345" s="27">
        <v>343</v>
      </c>
      <c r="Q345" s="75"/>
      <c r="S345" s="75"/>
    </row>
    <row r="346" spans="1:19" x14ac:dyDescent="0.25">
      <c r="A346" s="27">
        <v>344</v>
      </c>
      <c r="Q346" s="75"/>
      <c r="S346" s="75"/>
    </row>
    <row r="347" spans="1:19" x14ac:dyDescent="0.25">
      <c r="A347" s="27">
        <v>345</v>
      </c>
      <c r="Q347" s="75"/>
      <c r="S347" s="75"/>
    </row>
    <row r="348" spans="1:19" x14ac:dyDescent="0.25">
      <c r="A348" s="27">
        <v>346</v>
      </c>
      <c r="Q348" s="75"/>
      <c r="S348" s="75"/>
    </row>
    <row r="349" spans="1:19" x14ac:dyDescent="0.25">
      <c r="A349" s="27">
        <v>347</v>
      </c>
      <c r="Q349" s="75"/>
      <c r="S349" s="75"/>
    </row>
    <row r="350" spans="1:19" x14ac:dyDescent="0.25">
      <c r="A350" s="27">
        <v>348</v>
      </c>
      <c r="Q350" s="75"/>
      <c r="S350" s="75"/>
    </row>
    <row r="351" spans="1:19" x14ac:dyDescent="0.25">
      <c r="A351" s="27">
        <v>349</v>
      </c>
      <c r="Q351" s="75"/>
      <c r="S351" s="75"/>
    </row>
    <row r="352" spans="1:19" x14ac:dyDescent="0.25">
      <c r="A352" s="27">
        <v>350</v>
      </c>
      <c r="Q352" s="75"/>
      <c r="S352" s="75"/>
    </row>
    <row r="353" spans="1:19" x14ac:dyDescent="0.25">
      <c r="A353" s="27">
        <v>351</v>
      </c>
      <c r="Q353" s="75"/>
      <c r="S353" s="75"/>
    </row>
    <row r="354" spans="1:19" x14ac:dyDescent="0.25">
      <c r="A354" s="27">
        <v>352</v>
      </c>
      <c r="Q354" s="75"/>
      <c r="S354" s="75"/>
    </row>
    <row r="355" spans="1:19" x14ac:dyDescent="0.25">
      <c r="A355" s="27">
        <v>353</v>
      </c>
      <c r="Q355" s="75"/>
      <c r="S355" s="75"/>
    </row>
    <row r="356" spans="1:19" x14ac:dyDescent="0.25">
      <c r="A356" s="27">
        <v>354</v>
      </c>
      <c r="Q356" s="75"/>
      <c r="S356" s="75"/>
    </row>
    <row r="357" spans="1:19" x14ac:dyDescent="0.25">
      <c r="A357" s="27">
        <v>355</v>
      </c>
      <c r="Q357" s="75"/>
      <c r="S357" s="75"/>
    </row>
    <row r="358" spans="1:19" x14ac:dyDescent="0.25">
      <c r="A358" s="27">
        <v>356</v>
      </c>
      <c r="Q358" s="75"/>
      <c r="S358" s="75"/>
    </row>
    <row r="359" spans="1:19" x14ac:dyDescent="0.25">
      <c r="A359" s="27">
        <v>357</v>
      </c>
      <c r="Q359" s="75"/>
      <c r="S359" s="75"/>
    </row>
    <row r="360" spans="1:19" x14ac:dyDescent="0.25">
      <c r="A360" s="27">
        <v>358</v>
      </c>
      <c r="Q360" s="75"/>
      <c r="S360" s="75"/>
    </row>
    <row r="361" spans="1:19" x14ac:dyDescent="0.25">
      <c r="A361" s="27">
        <v>359</v>
      </c>
      <c r="Q361" s="75"/>
      <c r="S361" s="75"/>
    </row>
    <row r="362" spans="1:19" x14ac:dyDescent="0.25">
      <c r="A362" s="27">
        <v>360</v>
      </c>
      <c r="Q362" s="75"/>
      <c r="S362" s="75"/>
    </row>
    <row r="363" spans="1:19" x14ac:dyDescent="0.25">
      <c r="A363" s="27">
        <v>361</v>
      </c>
      <c r="Q363" s="75"/>
      <c r="S363" s="75"/>
    </row>
    <row r="364" spans="1:19" x14ac:dyDescent="0.25">
      <c r="A364" s="27">
        <v>362</v>
      </c>
      <c r="Q364" s="75"/>
      <c r="S364" s="75"/>
    </row>
    <row r="365" spans="1:19" x14ac:dyDescent="0.25">
      <c r="A365" s="27">
        <v>363</v>
      </c>
      <c r="Q365" s="75"/>
      <c r="S365" s="75"/>
    </row>
    <row r="366" spans="1:19" x14ac:dyDescent="0.25">
      <c r="A366" s="27">
        <v>364</v>
      </c>
      <c r="Q366" s="75"/>
      <c r="S366" s="75"/>
    </row>
    <row r="367" spans="1:19" x14ac:dyDescent="0.25">
      <c r="A367" s="27">
        <v>365</v>
      </c>
      <c r="Q367" s="75"/>
      <c r="S367" s="75"/>
    </row>
    <row r="368" spans="1:19" x14ac:dyDescent="0.25">
      <c r="A368" s="27">
        <v>366</v>
      </c>
      <c r="Q368" s="75"/>
      <c r="S368" s="75"/>
    </row>
    <row r="369" spans="1:19" x14ac:dyDescent="0.25">
      <c r="A369" s="27">
        <v>367</v>
      </c>
      <c r="Q369" s="75"/>
      <c r="S369" s="75"/>
    </row>
    <row r="370" spans="1:19" x14ac:dyDescent="0.25">
      <c r="A370" s="27">
        <v>368</v>
      </c>
      <c r="Q370" s="75"/>
      <c r="S370" s="75"/>
    </row>
    <row r="371" spans="1:19" x14ac:dyDescent="0.25">
      <c r="A371" s="27">
        <v>369</v>
      </c>
      <c r="Q371" s="75"/>
      <c r="S371" s="75"/>
    </row>
    <row r="372" spans="1:19" x14ac:dyDescent="0.25">
      <c r="A372" s="27">
        <v>370</v>
      </c>
      <c r="Q372" s="75"/>
      <c r="S372" s="75"/>
    </row>
    <row r="373" spans="1:19" x14ac:dyDescent="0.25">
      <c r="A373" s="27">
        <v>371</v>
      </c>
      <c r="Q373" s="75"/>
      <c r="S373" s="75"/>
    </row>
    <row r="374" spans="1:19" x14ac:dyDescent="0.25">
      <c r="A374" s="27">
        <v>372</v>
      </c>
      <c r="Q374" s="75"/>
      <c r="S374" s="75"/>
    </row>
    <row r="375" spans="1:19" x14ac:dyDescent="0.25">
      <c r="A375" s="27">
        <v>373</v>
      </c>
      <c r="Q375" s="75"/>
      <c r="S375" s="75"/>
    </row>
    <row r="376" spans="1:19" x14ac:dyDescent="0.25">
      <c r="A376" s="27">
        <v>374</v>
      </c>
      <c r="Q376" s="75"/>
      <c r="S376" s="75"/>
    </row>
    <row r="377" spans="1:19" x14ac:dyDescent="0.25">
      <c r="A377" s="27">
        <v>375</v>
      </c>
      <c r="Q377" s="75"/>
      <c r="S377" s="75"/>
    </row>
    <row r="378" spans="1:19" x14ac:dyDescent="0.25">
      <c r="A378" s="27">
        <v>376</v>
      </c>
      <c r="Q378" s="75"/>
      <c r="S378" s="75"/>
    </row>
    <row r="379" spans="1:19" x14ac:dyDescent="0.25">
      <c r="A379" s="27">
        <v>377</v>
      </c>
      <c r="Q379" s="75"/>
      <c r="S379" s="75"/>
    </row>
    <row r="380" spans="1:19" x14ac:dyDescent="0.25">
      <c r="A380" s="27">
        <v>378</v>
      </c>
      <c r="Q380" s="75"/>
      <c r="S380" s="75"/>
    </row>
    <row r="381" spans="1:19" x14ac:dyDescent="0.25">
      <c r="A381" s="27">
        <v>379</v>
      </c>
      <c r="Q381" s="75"/>
      <c r="S381" s="75"/>
    </row>
    <row r="382" spans="1:19" x14ac:dyDescent="0.25">
      <c r="A382" s="27">
        <v>380</v>
      </c>
      <c r="Q382" s="75"/>
      <c r="S382" s="75"/>
    </row>
    <row r="383" spans="1:19" x14ac:dyDescent="0.25">
      <c r="A383" s="27">
        <v>381</v>
      </c>
      <c r="Q383" s="75"/>
      <c r="S383" s="75"/>
    </row>
    <row r="384" spans="1:19" x14ac:dyDescent="0.25">
      <c r="A384" s="27">
        <v>382</v>
      </c>
      <c r="Q384" s="75"/>
      <c r="S384" s="75"/>
    </row>
    <row r="385" spans="1:19" x14ac:dyDescent="0.25">
      <c r="A385" s="27">
        <v>383</v>
      </c>
      <c r="Q385" s="75"/>
      <c r="S385" s="75"/>
    </row>
    <row r="386" spans="1:19" x14ac:dyDescent="0.25">
      <c r="A386" s="27">
        <v>384</v>
      </c>
      <c r="Q386" s="75"/>
      <c r="S386" s="75"/>
    </row>
    <row r="387" spans="1:19" x14ac:dyDescent="0.25">
      <c r="A387" s="27">
        <v>385</v>
      </c>
      <c r="Q387" s="75"/>
      <c r="S387" s="75"/>
    </row>
    <row r="388" spans="1:19" x14ac:dyDescent="0.25">
      <c r="A388" s="27">
        <v>386</v>
      </c>
      <c r="Q388" s="75"/>
      <c r="S388" s="75"/>
    </row>
    <row r="389" spans="1:19" x14ac:dyDescent="0.25">
      <c r="A389" s="27">
        <v>387</v>
      </c>
      <c r="Q389" s="75"/>
      <c r="S389" s="75"/>
    </row>
    <row r="390" spans="1:19" x14ac:dyDescent="0.25">
      <c r="A390" s="27">
        <v>388</v>
      </c>
      <c r="Q390" s="75"/>
      <c r="S390" s="75"/>
    </row>
    <row r="391" spans="1:19" x14ac:dyDescent="0.25">
      <c r="A391" s="27">
        <v>389</v>
      </c>
      <c r="Q391" s="75"/>
      <c r="S391" s="75"/>
    </row>
    <row r="392" spans="1:19" x14ac:dyDescent="0.25">
      <c r="A392" s="27">
        <v>390</v>
      </c>
      <c r="Q392" s="75"/>
      <c r="S392" s="75"/>
    </row>
    <row r="393" spans="1:19" x14ac:dyDescent="0.25">
      <c r="A393" s="27">
        <v>391</v>
      </c>
      <c r="Q393" s="75"/>
      <c r="S393" s="75"/>
    </row>
    <row r="394" spans="1:19" x14ac:dyDescent="0.25">
      <c r="A394" s="27">
        <v>392</v>
      </c>
      <c r="Q394" s="75"/>
      <c r="S394" s="75"/>
    </row>
    <row r="395" spans="1:19" x14ac:dyDescent="0.25">
      <c r="A395" s="27">
        <v>393</v>
      </c>
      <c r="Q395" s="75"/>
      <c r="S395" s="75"/>
    </row>
    <row r="396" spans="1:19" x14ac:dyDescent="0.25">
      <c r="A396" s="27">
        <v>394</v>
      </c>
      <c r="Q396" s="75"/>
      <c r="S396" s="75"/>
    </row>
    <row r="397" spans="1:19" x14ac:dyDescent="0.25">
      <c r="A397" s="27">
        <v>395</v>
      </c>
      <c r="Q397" s="75"/>
      <c r="S397" s="75"/>
    </row>
    <row r="398" spans="1:19" x14ac:dyDescent="0.25">
      <c r="A398" s="27">
        <v>396</v>
      </c>
      <c r="Q398" s="75"/>
      <c r="S398" s="75"/>
    </row>
    <row r="399" spans="1:19" x14ac:dyDescent="0.25">
      <c r="A399" s="27">
        <v>397</v>
      </c>
      <c r="Q399" s="75"/>
      <c r="S399" s="75"/>
    </row>
    <row r="400" spans="1:19" x14ac:dyDescent="0.25">
      <c r="A400" s="27">
        <v>398</v>
      </c>
      <c r="Q400" s="75"/>
      <c r="S400" s="75"/>
    </row>
    <row r="401" spans="1:19" x14ac:dyDescent="0.25">
      <c r="A401" s="27">
        <v>399</v>
      </c>
      <c r="Q401" s="75"/>
      <c r="S401" s="75"/>
    </row>
    <row r="402" spans="1:19" x14ac:dyDescent="0.25">
      <c r="A402" s="27">
        <v>400</v>
      </c>
      <c r="Q402" s="75"/>
      <c r="S402" s="75"/>
    </row>
    <row r="403" spans="1:19" x14ac:dyDescent="0.25">
      <c r="A403" s="27">
        <v>401</v>
      </c>
      <c r="Q403" s="75"/>
      <c r="S403" s="75"/>
    </row>
    <row r="404" spans="1:19" x14ac:dyDescent="0.25">
      <c r="A404" s="27">
        <v>402</v>
      </c>
      <c r="Q404" s="75"/>
      <c r="S404" s="75"/>
    </row>
    <row r="405" spans="1:19" x14ac:dyDescent="0.25">
      <c r="A405" s="27">
        <v>403</v>
      </c>
      <c r="Q405" s="75"/>
      <c r="S405" s="75"/>
    </row>
    <row r="406" spans="1:19" x14ac:dyDescent="0.25">
      <c r="A406" s="27">
        <v>404</v>
      </c>
      <c r="Q406" s="75"/>
      <c r="S406" s="75"/>
    </row>
    <row r="407" spans="1:19" x14ac:dyDescent="0.25">
      <c r="A407" s="27">
        <v>405</v>
      </c>
      <c r="Q407" s="75"/>
      <c r="S407" s="75"/>
    </row>
    <row r="408" spans="1:19" x14ac:dyDescent="0.25">
      <c r="A408" s="27">
        <v>406</v>
      </c>
      <c r="Q408" s="75"/>
      <c r="S408" s="75"/>
    </row>
    <row r="409" spans="1:19" x14ac:dyDescent="0.25">
      <c r="A409" s="27">
        <v>407</v>
      </c>
      <c r="Q409" s="75"/>
      <c r="S409" s="75"/>
    </row>
    <row r="410" spans="1:19" x14ac:dyDescent="0.25">
      <c r="A410" s="27">
        <v>408</v>
      </c>
      <c r="Q410" s="75"/>
      <c r="S410" s="75"/>
    </row>
    <row r="411" spans="1:19" x14ac:dyDescent="0.25">
      <c r="A411" s="27">
        <v>409</v>
      </c>
      <c r="Q411" s="75"/>
      <c r="S411" s="75"/>
    </row>
    <row r="412" spans="1:19" x14ac:dyDescent="0.25">
      <c r="A412" s="27">
        <v>410</v>
      </c>
      <c r="Q412" s="75"/>
      <c r="S412" s="75"/>
    </row>
    <row r="413" spans="1:19" x14ac:dyDescent="0.25">
      <c r="A413" s="27">
        <v>411</v>
      </c>
      <c r="Q413" s="75"/>
      <c r="S413" s="75"/>
    </row>
    <row r="414" spans="1:19" x14ac:dyDescent="0.25">
      <c r="A414" s="27">
        <v>412</v>
      </c>
      <c r="Q414" s="75"/>
      <c r="S414" s="75"/>
    </row>
    <row r="415" spans="1:19" x14ac:dyDescent="0.25">
      <c r="A415" s="27">
        <v>413</v>
      </c>
      <c r="Q415" s="75"/>
      <c r="S415" s="75"/>
    </row>
    <row r="416" spans="1:19" x14ac:dyDescent="0.25">
      <c r="A416" s="27">
        <v>414</v>
      </c>
      <c r="Q416" s="75"/>
      <c r="S416" s="75"/>
    </row>
    <row r="417" spans="1:19" x14ac:dyDescent="0.25">
      <c r="A417" s="27">
        <v>415</v>
      </c>
      <c r="Q417" s="75"/>
      <c r="S417" s="75"/>
    </row>
    <row r="418" spans="1:19" x14ac:dyDescent="0.25">
      <c r="A418" s="27">
        <v>416</v>
      </c>
      <c r="Q418" s="75"/>
      <c r="S418" s="75"/>
    </row>
    <row r="419" spans="1:19" x14ac:dyDescent="0.25">
      <c r="A419" s="27">
        <v>417</v>
      </c>
      <c r="Q419" s="75"/>
      <c r="S419" s="75"/>
    </row>
    <row r="420" spans="1:19" x14ac:dyDescent="0.25">
      <c r="A420" s="27">
        <v>418</v>
      </c>
      <c r="Q420" s="75"/>
      <c r="S420" s="75"/>
    </row>
    <row r="421" spans="1:19" x14ac:dyDescent="0.25">
      <c r="A421" s="27">
        <v>419</v>
      </c>
      <c r="Q421" s="75"/>
      <c r="S421" s="75"/>
    </row>
    <row r="422" spans="1:19" x14ac:dyDescent="0.25">
      <c r="A422" s="27">
        <v>420</v>
      </c>
      <c r="Q422" s="75"/>
      <c r="S422" s="75"/>
    </row>
    <row r="423" spans="1:19" x14ac:dyDescent="0.25">
      <c r="A423" s="27">
        <v>421</v>
      </c>
      <c r="Q423" s="75"/>
      <c r="S423" s="75"/>
    </row>
    <row r="424" spans="1:19" x14ac:dyDescent="0.25">
      <c r="A424" s="27">
        <v>422</v>
      </c>
      <c r="Q424" s="75"/>
      <c r="S424" s="75"/>
    </row>
    <row r="425" spans="1:19" x14ac:dyDescent="0.25">
      <c r="A425" s="27">
        <v>423</v>
      </c>
      <c r="Q425" s="75"/>
      <c r="S425" s="75"/>
    </row>
    <row r="426" spans="1:19" x14ac:dyDescent="0.25">
      <c r="A426" s="27">
        <v>424</v>
      </c>
      <c r="Q426" s="75"/>
      <c r="S426" s="75"/>
    </row>
    <row r="427" spans="1:19" x14ac:dyDescent="0.25">
      <c r="A427" s="27">
        <v>425</v>
      </c>
      <c r="Q427" s="75"/>
      <c r="S427" s="75"/>
    </row>
    <row r="428" spans="1:19" x14ac:dyDescent="0.25">
      <c r="A428" s="27">
        <v>426</v>
      </c>
      <c r="Q428" s="75"/>
      <c r="S428" s="75"/>
    </row>
    <row r="429" spans="1:19" x14ac:dyDescent="0.25">
      <c r="A429" s="27">
        <v>427</v>
      </c>
      <c r="Q429" s="75"/>
      <c r="S429" s="75"/>
    </row>
    <row r="430" spans="1:19" x14ac:dyDescent="0.25">
      <c r="A430" s="27">
        <v>428</v>
      </c>
      <c r="Q430" s="75"/>
      <c r="S430" s="75"/>
    </row>
    <row r="431" spans="1:19" x14ac:dyDescent="0.25">
      <c r="A431" s="27">
        <v>429</v>
      </c>
      <c r="Q431" s="75"/>
      <c r="S431" s="75"/>
    </row>
    <row r="432" spans="1:19" x14ac:dyDescent="0.25">
      <c r="A432" s="27">
        <v>430</v>
      </c>
      <c r="Q432" s="75"/>
      <c r="S432" s="75"/>
    </row>
    <row r="433" spans="1:19" x14ac:dyDescent="0.25">
      <c r="A433" s="27">
        <v>431</v>
      </c>
      <c r="Q433" s="75"/>
      <c r="S433" s="75"/>
    </row>
    <row r="434" spans="1:19" x14ac:dyDescent="0.25">
      <c r="A434" s="27">
        <v>432</v>
      </c>
      <c r="Q434" s="75"/>
      <c r="S434" s="75"/>
    </row>
    <row r="435" spans="1:19" x14ac:dyDescent="0.25">
      <c r="A435" s="27">
        <v>433</v>
      </c>
      <c r="Q435" s="75"/>
      <c r="S435" s="75"/>
    </row>
    <row r="436" spans="1:19" x14ac:dyDescent="0.25">
      <c r="A436" s="27">
        <v>434</v>
      </c>
      <c r="Q436" s="75"/>
      <c r="S436" s="75"/>
    </row>
    <row r="437" spans="1:19" x14ac:dyDescent="0.25">
      <c r="A437" s="27">
        <v>435</v>
      </c>
      <c r="Q437" s="75"/>
      <c r="S437" s="75"/>
    </row>
    <row r="438" spans="1:19" x14ac:dyDescent="0.25">
      <c r="A438" s="27">
        <v>436</v>
      </c>
      <c r="Q438" s="75"/>
      <c r="S438" s="75"/>
    </row>
    <row r="439" spans="1:19" x14ac:dyDescent="0.25">
      <c r="A439" s="27">
        <v>437</v>
      </c>
      <c r="Q439" s="75"/>
      <c r="S439" s="75"/>
    </row>
    <row r="440" spans="1:19" x14ac:dyDescent="0.25">
      <c r="A440" s="27">
        <v>438</v>
      </c>
      <c r="Q440" s="75"/>
      <c r="S440" s="75"/>
    </row>
    <row r="441" spans="1:19" x14ac:dyDescent="0.25">
      <c r="A441" s="27">
        <v>439</v>
      </c>
      <c r="Q441" s="75"/>
      <c r="S441" s="75"/>
    </row>
    <row r="442" spans="1:19" x14ac:dyDescent="0.25">
      <c r="A442" s="27">
        <v>440</v>
      </c>
      <c r="Q442" s="75"/>
      <c r="S442" s="75"/>
    </row>
    <row r="443" spans="1:19" x14ac:dyDescent="0.25">
      <c r="A443" s="27">
        <v>441</v>
      </c>
      <c r="Q443" s="75"/>
      <c r="S443" s="75"/>
    </row>
    <row r="444" spans="1:19" x14ac:dyDescent="0.25">
      <c r="A444" s="27">
        <v>442</v>
      </c>
      <c r="Q444" s="75"/>
      <c r="S444" s="75"/>
    </row>
    <row r="445" spans="1:19" x14ac:dyDescent="0.25">
      <c r="A445" s="27">
        <v>443</v>
      </c>
      <c r="Q445" s="75"/>
      <c r="S445" s="75"/>
    </row>
    <row r="446" spans="1:19" x14ac:dyDescent="0.25">
      <c r="A446" s="27">
        <v>444</v>
      </c>
      <c r="Q446" s="75"/>
      <c r="S446" s="75"/>
    </row>
    <row r="447" spans="1:19" x14ac:dyDescent="0.25">
      <c r="A447" s="27">
        <v>445</v>
      </c>
      <c r="Q447" s="75"/>
      <c r="S447" s="75"/>
    </row>
    <row r="448" spans="1:19" x14ac:dyDescent="0.25">
      <c r="A448" s="27">
        <v>446</v>
      </c>
      <c r="Q448" s="75"/>
      <c r="S448" s="75"/>
    </row>
    <row r="449" spans="1:19" x14ac:dyDescent="0.25">
      <c r="A449" s="27">
        <v>447</v>
      </c>
      <c r="Q449" s="75"/>
      <c r="S449" s="75"/>
    </row>
    <row r="450" spans="1:19" x14ac:dyDescent="0.25">
      <c r="A450" s="27">
        <v>448</v>
      </c>
      <c r="Q450" s="75"/>
      <c r="S450" s="75"/>
    </row>
    <row r="451" spans="1:19" x14ac:dyDescent="0.25">
      <c r="A451" s="27">
        <v>449</v>
      </c>
      <c r="Q451" s="75"/>
      <c r="S451" s="75"/>
    </row>
    <row r="452" spans="1:19" x14ac:dyDescent="0.25">
      <c r="A452" s="27">
        <v>450</v>
      </c>
      <c r="Q452" s="75"/>
      <c r="S452" s="75"/>
    </row>
    <row r="453" spans="1:19" x14ac:dyDescent="0.25">
      <c r="A453" s="27">
        <v>451</v>
      </c>
      <c r="Q453" s="75"/>
      <c r="S453" s="75"/>
    </row>
    <row r="454" spans="1:19" x14ac:dyDescent="0.25">
      <c r="A454" s="27">
        <v>452</v>
      </c>
      <c r="Q454" s="75"/>
      <c r="S454" s="75"/>
    </row>
    <row r="455" spans="1:19" x14ac:dyDescent="0.25">
      <c r="A455" s="27">
        <v>453</v>
      </c>
      <c r="Q455" s="75"/>
      <c r="S455" s="75"/>
    </row>
    <row r="456" spans="1:19" x14ac:dyDescent="0.25">
      <c r="A456" s="27">
        <v>454</v>
      </c>
      <c r="Q456" s="75"/>
      <c r="S456" s="75"/>
    </row>
    <row r="457" spans="1:19" x14ac:dyDescent="0.25">
      <c r="A457" s="27">
        <v>455</v>
      </c>
      <c r="Q457" s="75"/>
      <c r="S457" s="75"/>
    </row>
    <row r="458" spans="1:19" x14ac:dyDescent="0.25">
      <c r="A458" s="27">
        <v>456</v>
      </c>
      <c r="Q458" s="75"/>
      <c r="S458" s="75"/>
    </row>
    <row r="459" spans="1:19" x14ac:dyDescent="0.25">
      <c r="A459" s="27">
        <v>457</v>
      </c>
      <c r="Q459" s="75"/>
      <c r="S459" s="75"/>
    </row>
    <row r="460" spans="1:19" x14ac:dyDescent="0.25">
      <c r="A460" s="27">
        <v>458</v>
      </c>
      <c r="Q460" s="75"/>
      <c r="S460" s="75"/>
    </row>
    <row r="461" spans="1:19" x14ac:dyDescent="0.25">
      <c r="A461" s="27">
        <v>459</v>
      </c>
      <c r="Q461" s="75"/>
      <c r="S461" s="75"/>
    </row>
    <row r="462" spans="1:19" x14ac:dyDescent="0.25">
      <c r="A462" s="27">
        <v>460</v>
      </c>
      <c r="Q462" s="75"/>
      <c r="S462" s="75"/>
    </row>
    <row r="463" spans="1:19" x14ac:dyDescent="0.25">
      <c r="A463" s="27">
        <v>461</v>
      </c>
      <c r="Q463" s="75"/>
      <c r="S463" s="75"/>
    </row>
    <row r="464" spans="1:19" x14ac:dyDescent="0.25">
      <c r="A464" s="27">
        <v>462</v>
      </c>
      <c r="Q464" s="75"/>
      <c r="S464" s="75"/>
    </row>
    <row r="465" spans="1:19" x14ac:dyDescent="0.25">
      <c r="A465" s="27">
        <v>463</v>
      </c>
      <c r="Q465" s="75"/>
      <c r="S465" s="75"/>
    </row>
    <row r="466" spans="1:19" x14ac:dyDescent="0.25">
      <c r="A466" s="27">
        <v>464</v>
      </c>
      <c r="Q466" s="75"/>
      <c r="S466" s="75"/>
    </row>
    <row r="467" spans="1:19" x14ac:dyDescent="0.25">
      <c r="A467" s="27">
        <v>465</v>
      </c>
      <c r="Q467" s="75"/>
      <c r="S467" s="75"/>
    </row>
    <row r="468" spans="1:19" x14ac:dyDescent="0.25">
      <c r="A468" s="27">
        <v>466</v>
      </c>
      <c r="Q468" s="75"/>
      <c r="S468" s="75"/>
    </row>
    <row r="469" spans="1:19" x14ac:dyDescent="0.25">
      <c r="A469" s="27">
        <v>467</v>
      </c>
      <c r="Q469" s="75"/>
      <c r="S469" s="75"/>
    </row>
    <row r="470" spans="1:19" x14ac:dyDescent="0.25">
      <c r="A470" s="27">
        <v>468</v>
      </c>
      <c r="Q470" s="75"/>
      <c r="S470" s="75"/>
    </row>
    <row r="471" spans="1:19" x14ac:dyDescent="0.25">
      <c r="A471" s="27">
        <v>469</v>
      </c>
      <c r="Q471" s="75"/>
      <c r="S471" s="75"/>
    </row>
    <row r="472" spans="1:19" x14ac:dyDescent="0.25">
      <c r="A472" s="27">
        <v>470</v>
      </c>
      <c r="Q472" s="75"/>
      <c r="S472" s="75"/>
    </row>
    <row r="473" spans="1:19" x14ac:dyDescent="0.25">
      <c r="A473" s="27">
        <v>471</v>
      </c>
      <c r="Q473" s="75"/>
      <c r="S473" s="75"/>
    </row>
    <row r="474" spans="1:19" x14ac:dyDescent="0.25">
      <c r="A474" s="27">
        <v>472</v>
      </c>
      <c r="Q474" s="75"/>
      <c r="S474" s="75"/>
    </row>
    <row r="475" spans="1:19" x14ac:dyDescent="0.25">
      <c r="A475" s="27">
        <v>473</v>
      </c>
      <c r="Q475" s="75"/>
      <c r="S475" s="75"/>
    </row>
    <row r="476" spans="1:19" x14ac:dyDescent="0.25">
      <c r="A476" s="27">
        <v>474</v>
      </c>
      <c r="Q476" s="75"/>
      <c r="S476" s="75"/>
    </row>
    <row r="477" spans="1:19" x14ac:dyDescent="0.25">
      <c r="A477" s="27">
        <v>475</v>
      </c>
      <c r="Q477" s="75"/>
      <c r="S477" s="75"/>
    </row>
    <row r="478" spans="1:19" x14ac:dyDescent="0.25">
      <c r="A478" s="27">
        <v>476</v>
      </c>
      <c r="Q478" s="75"/>
      <c r="S478" s="75"/>
    </row>
    <row r="479" spans="1:19" x14ac:dyDescent="0.25">
      <c r="A479" s="27">
        <v>477</v>
      </c>
      <c r="Q479" s="75"/>
      <c r="S479" s="75"/>
    </row>
    <row r="480" spans="1:19" x14ac:dyDescent="0.25">
      <c r="A480" s="27">
        <v>478</v>
      </c>
      <c r="Q480" s="75"/>
      <c r="S480" s="75"/>
    </row>
    <row r="481" spans="1:19" x14ac:dyDescent="0.25">
      <c r="A481" s="27">
        <v>479</v>
      </c>
      <c r="Q481" s="75"/>
      <c r="S481" s="75"/>
    </row>
    <row r="482" spans="1:19" x14ac:dyDescent="0.25">
      <c r="A482" s="27">
        <v>480</v>
      </c>
      <c r="Q482" s="75"/>
      <c r="S482" s="75"/>
    </row>
    <row r="483" spans="1:19" x14ac:dyDescent="0.25">
      <c r="A483" s="27">
        <v>481</v>
      </c>
      <c r="Q483" s="75"/>
      <c r="S483" s="75"/>
    </row>
    <row r="484" spans="1:19" x14ac:dyDescent="0.25">
      <c r="A484" s="27">
        <v>482</v>
      </c>
      <c r="Q484" s="75"/>
      <c r="S484" s="75"/>
    </row>
    <row r="485" spans="1:19" x14ac:dyDescent="0.25">
      <c r="A485" s="27">
        <v>483</v>
      </c>
      <c r="Q485" s="75"/>
      <c r="S485" s="75"/>
    </row>
    <row r="486" spans="1:19" x14ac:dyDescent="0.25">
      <c r="A486" s="27">
        <v>484</v>
      </c>
      <c r="Q486" s="75"/>
      <c r="S486" s="75"/>
    </row>
    <row r="487" spans="1:19" x14ac:dyDescent="0.25">
      <c r="A487" s="27">
        <v>485</v>
      </c>
      <c r="Q487" s="75"/>
      <c r="S487" s="75"/>
    </row>
    <row r="488" spans="1:19" x14ac:dyDescent="0.25">
      <c r="A488" s="27">
        <v>486</v>
      </c>
      <c r="Q488" s="75"/>
      <c r="S488" s="75"/>
    </row>
    <row r="489" spans="1:19" x14ac:dyDescent="0.25">
      <c r="A489" s="27">
        <v>487</v>
      </c>
      <c r="Q489" s="75"/>
      <c r="S489" s="75"/>
    </row>
    <row r="490" spans="1:19" x14ac:dyDescent="0.25">
      <c r="A490" s="27">
        <v>488</v>
      </c>
      <c r="Q490" s="75"/>
      <c r="S490" s="75"/>
    </row>
    <row r="491" spans="1:19" x14ac:dyDescent="0.25">
      <c r="A491" s="27">
        <v>489</v>
      </c>
      <c r="Q491" s="75"/>
      <c r="S491" s="75"/>
    </row>
    <row r="492" spans="1:19" x14ac:dyDescent="0.25">
      <c r="A492" s="27">
        <v>490</v>
      </c>
      <c r="Q492" s="75"/>
      <c r="S492" s="75"/>
    </row>
    <row r="493" spans="1:19" x14ac:dyDescent="0.25">
      <c r="A493" s="27">
        <v>491</v>
      </c>
      <c r="Q493" s="75"/>
      <c r="S493" s="75"/>
    </row>
    <row r="494" spans="1:19" x14ac:dyDescent="0.25">
      <c r="A494" s="27">
        <v>492</v>
      </c>
      <c r="Q494" s="75"/>
      <c r="S494" s="75"/>
    </row>
    <row r="495" spans="1:19" x14ac:dyDescent="0.25">
      <c r="A495" s="27">
        <v>493</v>
      </c>
      <c r="Q495" s="75"/>
      <c r="S495" s="75"/>
    </row>
    <row r="496" spans="1:19" x14ac:dyDescent="0.25">
      <c r="A496" s="27">
        <v>494</v>
      </c>
      <c r="Q496" s="75"/>
      <c r="S496" s="75"/>
    </row>
    <row r="497" spans="1:19" x14ac:dyDescent="0.25">
      <c r="A497" s="27">
        <v>495</v>
      </c>
      <c r="Q497" s="75"/>
      <c r="S497" s="75"/>
    </row>
    <row r="498" spans="1:19" x14ac:dyDescent="0.25">
      <c r="A498" s="27">
        <v>496</v>
      </c>
      <c r="Q498" s="75"/>
      <c r="S498" s="75"/>
    </row>
    <row r="499" spans="1:19" x14ac:dyDescent="0.25">
      <c r="A499" s="27">
        <v>497</v>
      </c>
      <c r="Q499" s="75"/>
      <c r="S499" s="75"/>
    </row>
    <row r="500" spans="1:19" x14ac:dyDescent="0.25">
      <c r="A500" s="27">
        <v>498</v>
      </c>
      <c r="Q500" s="75"/>
      <c r="S500" s="75"/>
    </row>
    <row r="501" spans="1:19" x14ac:dyDescent="0.25">
      <c r="A501" s="27">
        <v>499</v>
      </c>
      <c r="Q501" s="75"/>
      <c r="S501" s="75"/>
    </row>
    <row r="502" spans="1:19" x14ac:dyDescent="0.25">
      <c r="A502" s="27">
        <v>500</v>
      </c>
      <c r="Q502" s="75"/>
      <c r="S502" s="75"/>
    </row>
  </sheetData>
  <mergeCells count="9">
    <mergeCell ref="R1:R2"/>
    <mergeCell ref="S1:S2"/>
    <mergeCell ref="A1:A2"/>
    <mergeCell ref="B1:B2"/>
    <mergeCell ref="C1:C2"/>
    <mergeCell ref="D1:D2"/>
    <mergeCell ref="J1:J2"/>
    <mergeCell ref="P1:P2"/>
    <mergeCell ref="Q1:Q2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ataLoadIni01">
                <anchor moveWithCells="1" sizeWithCells="1">
                  <from>
                    <xdr:col>10</xdr:col>
                    <xdr:colOff>5443</xdr:colOff>
                    <xdr:row>0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ataLoadAft01">
                <anchor moveWithCells="1" sizeWithCells="1">
                  <from>
                    <xdr:col>13</xdr:col>
                    <xdr:colOff>5443</xdr:colOff>
                    <xdr:row>0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Q436"/>
  <sheetViews>
    <sheetView workbookViewId="0">
      <pane xSplit="3" ySplit="6" topLeftCell="D7" activePane="bottomRight" state="frozen"/>
      <selection sqref="A1:A2"/>
      <selection pane="topRight" sqref="A1:A2"/>
      <selection pane="bottomLeft" sqref="A1:A2"/>
      <selection pane="bottomRight" sqref="A1:C1"/>
    </sheetView>
  </sheetViews>
  <sheetFormatPr defaultRowHeight="12.9" x14ac:dyDescent="0.25"/>
  <cols>
    <col min="1" max="1" width="8.4609375" style="49" customWidth="1"/>
    <col min="2" max="2" width="8.4609375" style="50" customWidth="1"/>
    <col min="3" max="3" width="8.4609375" style="38" customWidth="1"/>
    <col min="4" max="7" width="9.23046875" style="1"/>
    <col min="8" max="8" width="9.23046875" style="67"/>
    <col min="9" max="10" width="9.23046875" style="64"/>
    <col min="11" max="11" width="9.23046875" style="72"/>
    <col min="12" max="12" width="9.23046875" style="67"/>
    <col min="13" max="14" width="9.23046875" style="64"/>
    <col min="15" max="15" width="9.23046875" style="72"/>
    <col min="16" max="16" width="9.23046875" style="67"/>
    <col min="17" max="18" width="9.23046875" style="64"/>
    <col min="19" max="19" width="9.23046875" style="72"/>
    <col min="20" max="20" width="9.23046875" style="67"/>
    <col min="21" max="22" width="9.23046875" style="64"/>
    <col min="23" max="23" width="9.23046875" style="72"/>
    <col min="24" max="24" width="9.23046875" style="67"/>
    <col min="25" max="26" width="9.23046875" style="64"/>
    <col min="27" max="27" width="9.23046875" style="72"/>
    <col min="28" max="28" width="9.23046875" style="67"/>
    <col min="29" max="30" width="9.23046875" style="64"/>
    <col min="31" max="31" width="9.23046875" style="72"/>
    <col min="32" max="32" width="9.23046875" style="67"/>
    <col min="33" max="34" width="9.23046875" style="64"/>
    <col min="35" max="35" width="9.23046875" style="72"/>
    <col min="36" max="36" width="9.23046875" style="67"/>
    <col min="37" max="38" width="9.23046875" style="64"/>
    <col min="39" max="39" width="9.23046875" style="72"/>
    <col min="40" max="40" width="9.23046875" style="67"/>
    <col min="41" max="42" width="9.23046875" style="64"/>
    <col min="43" max="43" width="9.23046875" style="72"/>
    <col min="44" max="16384" width="9.23046875" style="1"/>
  </cols>
  <sheetData>
    <row r="1" spans="1:43" s="57" customFormat="1" x14ac:dyDescent="0.25">
      <c r="A1" s="103" t="s">
        <v>0</v>
      </c>
      <c r="B1" s="104"/>
      <c r="C1" s="105"/>
      <c r="D1" s="85">
        <v>1</v>
      </c>
      <c r="E1" s="85"/>
      <c r="F1" s="85"/>
      <c r="G1" s="85"/>
      <c r="H1" s="84">
        <v>2</v>
      </c>
      <c r="I1" s="85"/>
      <c r="J1" s="85"/>
      <c r="K1" s="86"/>
      <c r="L1" s="84">
        <v>3</v>
      </c>
      <c r="M1" s="85"/>
      <c r="N1" s="85"/>
      <c r="O1" s="86"/>
      <c r="P1" s="84">
        <v>4</v>
      </c>
      <c r="Q1" s="85"/>
      <c r="R1" s="85"/>
      <c r="S1" s="86"/>
      <c r="T1" s="84">
        <v>5</v>
      </c>
      <c r="U1" s="85"/>
      <c r="V1" s="85"/>
      <c r="W1" s="86"/>
      <c r="X1" s="84">
        <v>6</v>
      </c>
      <c r="Y1" s="85"/>
      <c r="Z1" s="85"/>
      <c r="AA1" s="86"/>
      <c r="AB1" s="84">
        <v>7</v>
      </c>
      <c r="AC1" s="85"/>
      <c r="AD1" s="85"/>
      <c r="AE1" s="86"/>
      <c r="AF1" s="84">
        <v>8</v>
      </c>
      <c r="AG1" s="85"/>
      <c r="AH1" s="85"/>
      <c r="AI1" s="86"/>
      <c r="AJ1" s="84">
        <v>9</v>
      </c>
      <c r="AK1" s="85"/>
      <c r="AL1" s="85"/>
      <c r="AM1" s="86"/>
      <c r="AN1" s="84">
        <v>10</v>
      </c>
      <c r="AO1" s="85"/>
      <c r="AP1" s="85"/>
      <c r="AQ1" s="86"/>
    </row>
    <row r="2" spans="1:43" s="74" customFormat="1" x14ac:dyDescent="0.25">
      <c r="A2" s="106" t="s">
        <v>1</v>
      </c>
      <c r="B2" s="107"/>
      <c r="C2" s="108"/>
      <c r="D2" s="88" t="str" cm="1">
        <f t="array" aca="1" ref="D2" ca="1">IF(INDIRECT("List"&amp;"!"&amp;ADDRESS(MATCH(D$1,List!$A:$A,0),MATCH($A2,List!$1:$1,0),4))="","",INDIRECT("List"&amp;"!"&amp;ADDRESS(MATCH(D$1,List!$A:$A,0),MATCH($A2,List!$1:$1,0),4)))</f>
        <v>xx</v>
      </c>
      <c r="E2" s="88"/>
      <c r="F2" s="88"/>
      <c r="G2" s="88"/>
      <c r="H2" s="87" t="str" cm="1">
        <f t="array" aca="1" ref="H2" ca="1">IF(INDIRECT("List"&amp;"!"&amp;ADDRESS(MATCH(H$1,List!$A:$A,0),MATCH($A2,List!$1:$1,0),4))="","",INDIRECT("List"&amp;"!"&amp;ADDRESS(MATCH(H$1,List!$A:$A,0),MATCH($A2,List!$1:$1,0),4)))</f>
        <v>aa</v>
      </c>
      <c r="I2" s="88"/>
      <c r="J2" s="88"/>
      <c r="K2" s="89"/>
      <c r="L2" s="87" t="str" cm="1">
        <f t="array" aca="1" ref="L2" ca="1">IF(INDIRECT("List"&amp;"!"&amp;ADDRESS(MATCH(L$1,List!$A:$A,0),MATCH($A2,List!$1:$1,0),4))="","",INDIRECT("List"&amp;"!"&amp;ADDRESS(MATCH(L$1,List!$A:$A,0),MATCH($A2,List!$1:$1,0),4)))</f>
        <v>bb</v>
      </c>
      <c r="M2" s="88"/>
      <c r="N2" s="88"/>
      <c r="O2" s="89"/>
      <c r="P2" s="87" t="str" cm="1">
        <f t="array" aca="1" ref="P2" ca="1">IF(INDIRECT("List"&amp;"!"&amp;ADDRESS(MATCH(P$1,List!$A:$A,0),MATCH($A2,List!$1:$1,0),4))="","",INDIRECT("List"&amp;"!"&amp;ADDRESS(MATCH(P$1,List!$A:$A,0),MATCH($A2,List!$1:$1,0),4)))</f>
        <v>cc</v>
      </c>
      <c r="Q2" s="88"/>
      <c r="R2" s="88"/>
      <c r="S2" s="89"/>
      <c r="T2" s="87" t="str" cm="1">
        <f t="array" aca="1" ref="T2" ca="1">IF(INDIRECT("List"&amp;"!"&amp;ADDRESS(MATCH(T$1,List!$A:$A,0),MATCH($A2,List!$1:$1,0),4))="","",INDIRECT("List"&amp;"!"&amp;ADDRESS(MATCH(T$1,List!$A:$A,0),MATCH($A2,List!$1:$1,0),4)))</f>
        <v>dd</v>
      </c>
      <c r="U2" s="88"/>
      <c r="V2" s="88"/>
      <c r="W2" s="89"/>
      <c r="X2" s="87" t="str" cm="1">
        <f t="array" aca="1" ref="X2" ca="1">IF(INDIRECT("List"&amp;"!"&amp;ADDRESS(MATCH(X$1,List!$A:$A,0),MATCH($A2,List!$1:$1,0),4))="","",INDIRECT("List"&amp;"!"&amp;ADDRESS(MATCH(X$1,List!$A:$A,0),MATCH($A2,List!$1:$1,0),4)))</f>
        <v>ee</v>
      </c>
      <c r="Y2" s="88"/>
      <c r="Z2" s="88"/>
      <c r="AA2" s="89"/>
      <c r="AB2" s="87" t="str" cm="1">
        <f t="array" aca="1" ref="AB2" ca="1">IF(INDIRECT("List"&amp;"!"&amp;ADDRESS(MATCH(AB$1,List!$A:$A,0),MATCH($A2,List!$1:$1,0),4))="","",INDIRECT("List"&amp;"!"&amp;ADDRESS(MATCH(AB$1,List!$A:$A,0),MATCH($A2,List!$1:$1,0),4)))</f>
        <v>ff</v>
      </c>
      <c r="AC2" s="88"/>
      <c r="AD2" s="88"/>
      <c r="AE2" s="89"/>
      <c r="AF2" s="87" t="str" cm="1">
        <f t="array" aca="1" ref="AF2" ca="1">IF(INDIRECT("List"&amp;"!"&amp;ADDRESS(MATCH(AF$1,List!$A:$A,0),MATCH($A2,List!$1:$1,0),4))="","",INDIRECT("List"&amp;"!"&amp;ADDRESS(MATCH(AF$1,List!$A:$A,0),MATCH($A2,List!$1:$1,0),4)))</f>
        <v>gg</v>
      </c>
      <c r="AG2" s="88"/>
      <c r="AH2" s="88"/>
      <c r="AI2" s="89"/>
      <c r="AJ2" s="87" t="str" cm="1">
        <f t="array" aca="1" ref="AJ2" ca="1">IF(INDIRECT("List"&amp;"!"&amp;ADDRESS(MATCH(AJ$1,List!$A:$A,0),MATCH($A2,List!$1:$1,0),4))="","",INDIRECT("List"&amp;"!"&amp;ADDRESS(MATCH(AJ$1,List!$A:$A,0),MATCH($A2,List!$1:$1,0),4)))</f>
        <v/>
      </c>
      <c r="AK2" s="88"/>
      <c r="AL2" s="88"/>
      <c r="AM2" s="89"/>
      <c r="AN2" s="87" t="str" cm="1">
        <f t="array" aca="1" ref="AN2" ca="1">IF(INDIRECT("List"&amp;"!"&amp;ADDRESS(MATCH(AN$1,List!$A:$A,0),MATCH($A2,List!$1:$1,0),4))="","",INDIRECT("List"&amp;"!"&amp;ADDRESS(MATCH(AN$1,List!$A:$A,0),MATCH($A2,List!$1:$1,0),4)))</f>
        <v/>
      </c>
      <c r="AO2" s="88"/>
      <c r="AP2" s="88"/>
      <c r="AQ2" s="89"/>
    </row>
    <row r="3" spans="1:43" s="64" customFormat="1" x14ac:dyDescent="0.25">
      <c r="A3" s="109" t="s">
        <v>29</v>
      </c>
      <c r="B3" s="110"/>
      <c r="C3" s="111"/>
      <c r="D3" s="91" t="str" cm="1">
        <f t="array" aca="1" ref="D3" ca="1">IF(INDIRECT("List"&amp;"!"&amp;ADDRESS(MATCH(D$1,List!$A:$A,0),MATCH($A3,List!$1:$1,0),4))="","",INDIRECT("List"&amp;"!"&amp;ADDRESS(MATCH(D$1,List!$A:$A,0),MATCH($A3,List!$1:$1,0),4)))</f>
        <v>20xx/xx/xx</v>
      </c>
      <c r="E3" s="91"/>
      <c r="F3" s="91"/>
      <c r="G3" s="91"/>
      <c r="H3" s="90" t="str" cm="1">
        <f t="array" aca="1" ref="H3" ca="1">IF(INDIRECT("List"&amp;"!"&amp;ADDRESS(MATCH(H$1,List!$A:$A,0),MATCH($A3,List!$1:$1,0),4))="","",INDIRECT("List"&amp;"!"&amp;ADDRESS(MATCH(H$1,List!$A:$A,0),MATCH($A3,List!$1:$1,0),4)))</f>
        <v>20xx/xx/xx</v>
      </c>
      <c r="I3" s="91"/>
      <c r="J3" s="91"/>
      <c r="K3" s="92"/>
      <c r="L3" s="90" t="str" cm="1">
        <f t="array" aca="1" ref="L3" ca="1">IF(INDIRECT("List"&amp;"!"&amp;ADDRESS(MATCH(L$1,List!$A:$A,0),MATCH($A3,List!$1:$1,0),4))="","",INDIRECT("List"&amp;"!"&amp;ADDRESS(MATCH(L$1,List!$A:$A,0),MATCH($A3,List!$1:$1,0),4)))</f>
        <v>20xx/xx/xx</v>
      </c>
      <c r="M3" s="91"/>
      <c r="N3" s="91"/>
      <c r="O3" s="92"/>
      <c r="P3" s="90" t="str" cm="1">
        <f t="array" aca="1" ref="P3" ca="1">IF(INDIRECT("List"&amp;"!"&amp;ADDRESS(MATCH(P$1,List!$A:$A,0),MATCH($A3,List!$1:$1,0),4))="","",INDIRECT("List"&amp;"!"&amp;ADDRESS(MATCH(P$1,List!$A:$A,0),MATCH($A3,List!$1:$1,0),4)))</f>
        <v>20xx/xx/xx</v>
      </c>
      <c r="Q3" s="91"/>
      <c r="R3" s="91"/>
      <c r="S3" s="92"/>
      <c r="T3" s="90" t="str" cm="1">
        <f t="array" aca="1" ref="T3" ca="1">IF(INDIRECT("List"&amp;"!"&amp;ADDRESS(MATCH(T$1,List!$A:$A,0),MATCH($A3,List!$1:$1,0),4))="","",INDIRECT("List"&amp;"!"&amp;ADDRESS(MATCH(T$1,List!$A:$A,0),MATCH($A3,List!$1:$1,0),4)))</f>
        <v>20xx/xx/xx</v>
      </c>
      <c r="U3" s="91"/>
      <c r="V3" s="91"/>
      <c r="W3" s="92"/>
      <c r="X3" s="90" t="str" cm="1">
        <f t="array" aca="1" ref="X3" ca="1">IF(INDIRECT("List"&amp;"!"&amp;ADDRESS(MATCH(X$1,List!$A:$A,0),MATCH($A3,List!$1:$1,0),4))="","",INDIRECT("List"&amp;"!"&amp;ADDRESS(MATCH(X$1,List!$A:$A,0),MATCH($A3,List!$1:$1,0),4)))</f>
        <v>20xx/xx/xx</v>
      </c>
      <c r="Y3" s="91"/>
      <c r="Z3" s="91"/>
      <c r="AA3" s="92"/>
      <c r="AB3" s="90" t="str" cm="1">
        <f t="array" aca="1" ref="AB3" ca="1">IF(INDIRECT("List"&amp;"!"&amp;ADDRESS(MATCH(AB$1,List!$A:$A,0),MATCH($A3,List!$1:$1,0),4))="","",INDIRECT("List"&amp;"!"&amp;ADDRESS(MATCH(AB$1,List!$A:$A,0),MATCH($A3,List!$1:$1,0),4)))</f>
        <v>20xx/xx/xx</v>
      </c>
      <c r="AC3" s="91"/>
      <c r="AD3" s="91"/>
      <c r="AE3" s="92"/>
      <c r="AF3" s="90" t="str" cm="1">
        <f t="array" aca="1" ref="AF3" ca="1">IF(INDIRECT("List"&amp;"!"&amp;ADDRESS(MATCH(AF$1,List!$A:$A,0),MATCH($A3,List!$1:$1,0),4))="","",INDIRECT("List"&amp;"!"&amp;ADDRESS(MATCH(AF$1,List!$A:$A,0),MATCH($A3,List!$1:$1,0),4)))</f>
        <v>20xx/xx/xx</v>
      </c>
      <c r="AG3" s="91"/>
      <c r="AH3" s="91"/>
      <c r="AI3" s="92"/>
      <c r="AJ3" s="90" t="str" cm="1">
        <f t="array" aca="1" ref="AJ3" ca="1">IF(INDIRECT("List"&amp;"!"&amp;ADDRESS(MATCH(AJ$1,List!$A:$A,0),MATCH($A3,List!$1:$1,0),4))="","",INDIRECT("List"&amp;"!"&amp;ADDRESS(MATCH(AJ$1,List!$A:$A,0),MATCH($A3,List!$1:$1,0),4)))</f>
        <v/>
      </c>
      <c r="AK3" s="91"/>
      <c r="AL3" s="91"/>
      <c r="AM3" s="92"/>
      <c r="AN3" s="90" t="str" cm="1">
        <f t="array" aca="1" ref="AN3" ca="1">IF(INDIRECT("List"&amp;"!"&amp;ADDRESS(MATCH(AN$1,List!$A:$A,0),MATCH($A3,List!$1:$1,0),4))="","",INDIRECT("List"&amp;"!"&amp;ADDRESS(MATCH(AN$1,List!$A:$A,0),MATCH($A3,List!$1:$1,0),4)))</f>
        <v/>
      </c>
      <c r="AO3" s="91"/>
      <c r="AP3" s="91"/>
      <c r="AQ3" s="92"/>
    </row>
    <row r="4" spans="1:43" s="64" customFormat="1" x14ac:dyDescent="0.25">
      <c r="A4" s="109" t="s">
        <v>2</v>
      </c>
      <c r="B4" s="110"/>
      <c r="C4" s="111"/>
      <c r="D4" s="94" t="str" cm="1">
        <f t="array" aca="1" ref="D4" ca="1">IF(INDIRECT("List"&amp;"!"&amp;ADDRESS(MATCH(D$1,List!$A:$A,0),MATCH($A4,List!$1:$1,0),4))="","",INDIRECT("List"&amp;"!"&amp;ADDRESS(MATCH(D$1,List!$A:$A,0),MATCH($A4,List!$1:$1,0),4)))</f>
        <v>Poly-Si</v>
      </c>
      <c r="E4" s="94"/>
      <c r="F4" s="94"/>
      <c r="G4" s="94"/>
      <c r="H4" s="93" t="str" cm="1">
        <f t="array" aca="1" ref="H4" ca="1">IF(INDIRECT("List"&amp;"!"&amp;ADDRESS(MATCH(H$1,List!$A:$A,0),MATCH($A4,List!$1:$1,0),4))="","",INDIRECT("List"&amp;"!"&amp;ADDRESS(MATCH(H$1,List!$A:$A,0),MATCH($A4,List!$1:$1,0),4)))</f>
        <v>Poly-Si</v>
      </c>
      <c r="I4" s="94"/>
      <c r="J4" s="94"/>
      <c r="K4" s="95"/>
      <c r="L4" s="93" t="str" cm="1">
        <f t="array" aca="1" ref="L4" ca="1">IF(INDIRECT("List"&amp;"!"&amp;ADDRESS(MATCH(L$1,List!$A:$A,0),MATCH($A4,List!$1:$1,0),4))="","",INDIRECT("List"&amp;"!"&amp;ADDRESS(MATCH(L$1,List!$A:$A,0),MATCH($A4,List!$1:$1,0),4)))</f>
        <v>Poly-Si</v>
      </c>
      <c r="M4" s="94"/>
      <c r="N4" s="94"/>
      <c r="O4" s="95"/>
      <c r="P4" s="93" t="str" cm="1">
        <f t="array" aca="1" ref="P4" ca="1">IF(INDIRECT("List"&amp;"!"&amp;ADDRESS(MATCH(P$1,List!$A:$A,0),MATCH($A4,List!$1:$1,0),4))="","",INDIRECT("List"&amp;"!"&amp;ADDRESS(MATCH(P$1,List!$A:$A,0),MATCH($A4,List!$1:$1,0),4)))</f>
        <v>Poly-Si</v>
      </c>
      <c r="Q4" s="94"/>
      <c r="R4" s="94"/>
      <c r="S4" s="95"/>
      <c r="T4" s="93" t="str" cm="1">
        <f t="array" aca="1" ref="T4" ca="1">IF(INDIRECT("List"&amp;"!"&amp;ADDRESS(MATCH(T$1,List!$A:$A,0),MATCH($A4,List!$1:$1,0),4))="","",INDIRECT("List"&amp;"!"&amp;ADDRESS(MATCH(T$1,List!$A:$A,0),MATCH($A4,List!$1:$1,0),4)))</f>
        <v>Poly-Si</v>
      </c>
      <c r="U4" s="94"/>
      <c r="V4" s="94"/>
      <c r="W4" s="95"/>
      <c r="X4" s="93" t="str" cm="1">
        <f t="array" aca="1" ref="X4" ca="1">IF(INDIRECT("List"&amp;"!"&amp;ADDRESS(MATCH(X$1,List!$A:$A,0),MATCH($A4,List!$1:$1,0),4))="","",INDIRECT("List"&amp;"!"&amp;ADDRESS(MATCH(X$1,List!$A:$A,0),MATCH($A4,List!$1:$1,0),4)))</f>
        <v>Poly-Si</v>
      </c>
      <c r="Y4" s="94"/>
      <c r="Z4" s="94"/>
      <c r="AA4" s="95"/>
      <c r="AB4" s="93" t="str" cm="1">
        <f t="array" aca="1" ref="AB4" ca="1">IF(INDIRECT("List"&amp;"!"&amp;ADDRESS(MATCH(AB$1,List!$A:$A,0),MATCH($A4,List!$1:$1,0),4))="","",INDIRECT("List"&amp;"!"&amp;ADDRESS(MATCH(AB$1,List!$A:$A,0),MATCH($A4,List!$1:$1,0),4)))</f>
        <v>Poly-Si</v>
      </c>
      <c r="AC4" s="94"/>
      <c r="AD4" s="94"/>
      <c r="AE4" s="95"/>
      <c r="AF4" s="93" t="str" cm="1">
        <f t="array" aca="1" ref="AF4" ca="1">IF(INDIRECT("List"&amp;"!"&amp;ADDRESS(MATCH(AF$1,List!$A:$A,0),MATCH($A4,List!$1:$1,0),4))="","",INDIRECT("List"&amp;"!"&amp;ADDRESS(MATCH(AF$1,List!$A:$A,0),MATCH($A4,List!$1:$1,0),4)))</f>
        <v>Poly-Si</v>
      </c>
      <c r="AG4" s="94"/>
      <c r="AH4" s="94"/>
      <c r="AI4" s="95"/>
      <c r="AJ4" s="93" t="str" cm="1">
        <f t="array" aca="1" ref="AJ4" ca="1">IF(INDIRECT("List"&amp;"!"&amp;ADDRESS(MATCH(AJ$1,List!$A:$A,0),MATCH($A4,List!$1:$1,0),4))="","",INDIRECT("List"&amp;"!"&amp;ADDRESS(MATCH(AJ$1,List!$A:$A,0),MATCH($A4,List!$1:$1,0),4)))</f>
        <v/>
      </c>
      <c r="AK4" s="94"/>
      <c r="AL4" s="94"/>
      <c r="AM4" s="95"/>
      <c r="AN4" s="93" t="str" cm="1">
        <f t="array" aca="1" ref="AN4" ca="1">IF(INDIRECT("List"&amp;"!"&amp;ADDRESS(MATCH(AN$1,List!$A:$A,0),MATCH($A4,List!$1:$1,0),4))="","",INDIRECT("List"&amp;"!"&amp;ADDRESS(MATCH(AN$1,List!$A:$A,0),MATCH($A4,List!$1:$1,0),4)))</f>
        <v/>
      </c>
      <c r="AO4" s="94"/>
      <c r="AP4" s="94"/>
      <c r="AQ4" s="95"/>
    </row>
    <row r="5" spans="1:43" s="53" customFormat="1" ht="13.3" thickBot="1" x14ac:dyDescent="0.3">
      <c r="A5" s="112" t="s">
        <v>3</v>
      </c>
      <c r="B5" s="113"/>
      <c r="C5" s="114"/>
      <c r="D5" s="97" t="str" cm="1">
        <f t="array" aca="1" ref="D5" ca="1">IF(INDIRECT("List"&amp;"!"&amp;ADDRESS(MATCH(D$1,List!$A:$A,0),MATCH($A5,List!$1:$1,0),4))="","",INDIRECT("List"&amp;"!"&amp;ADDRESS(MATCH(D$1,List!$A:$A,0),MATCH($A5,List!$1:$1,0),4)))</f>
        <v>xxx.</v>
      </c>
      <c r="E5" s="97"/>
      <c r="F5" s="97"/>
      <c r="G5" s="97"/>
      <c r="H5" s="96" t="str" cm="1">
        <f t="array" aca="1" ref="H5" ca="1">IF(INDIRECT("List"&amp;"!"&amp;ADDRESS(MATCH(H$1,List!$A:$A,0),MATCH($A5,List!$1:$1,0),4))="","",INDIRECT("List"&amp;"!"&amp;ADDRESS(MATCH(H$1,List!$A:$A,0),MATCH($A5,List!$1:$1,0),4)))</f>
        <v>xxx.</v>
      </c>
      <c r="I5" s="97"/>
      <c r="J5" s="97"/>
      <c r="K5" s="98"/>
      <c r="L5" s="96" t="str" cm="1">
        <f t="array" aca="1" ref="L5" ca="1">IF(INDIRECT("List"&amp;"!"&amp;ADDRESS(MATCH(L$1,List!$A:$A,0),MATCH($A5,List!$1:$1,0),4))="","",INDIRECT("List"&amp;"!"&amp;ADDRESS(MATCH(L$1,List!$A:$A,0),MATCH($A5,List!$1:$1,0),4)))</f>
        <v>xxx.</v>
      </c>
      <c r="M5" s="97"/>
      <c r="N5" s="97"/>
      <c r="O5" s="98"/>
      <c r="P5" s="96" t="str" cm="1">
        <f t="array" aca="1" ref="P5" ca="1">IF(INDIRECT("List"&amp;"!"&amp;ADDRESS(MATCH(P$1,List!$A:$A,0),MATCH($A5,List!$1:$1,0),4))="","",INDIRECT("List"&amp;"!"&amp;ADDRESS(MATCH(P$1,List!$A:$A,0),MATCH($A5,List!$1:$1,0),4)))</f>
        <v>xxx.</v>
      </c>
      <c r="Q5" s="97"/>
      <c r="R5" s="97"/>
      <c r="S5" s="98"/>
      <c r="T5" s="96" t="str" cm="1">
        <f t="array" aca="1" ref="T5" ca="1">IF(INDIRECT("List"&amp;"!"&amp;ADDRESS(MATCH(T$1,List!$A:$A,0),MATCH($A5,List!$1:$1,0),4))="","",INDIRECT("List"&amp;"!"&amp;ADDRESS(MATCH(T$1,List!$A:$A,0),MATCH($A5,List!$1:$1,0),4)))</f>
        <v>xxx.</v>
      </c>
      <c r="U5" s="97"/>
      <c r="V5" s="97"/>
      <c r="W5" s="98"/>
      <c r="X5" s="96" t="str" cm="1">
        <f t="array" aca="1" ref="X5" ca="1">IF(INDIRECT("List"&amp;"!"&amp;ADDRESS(MATCH(X$1,List!$A:$A,0),MATCH($A5,List!$1:$1,0),4))="","",INDIRECT("List"&amp;"!"&amp;ADDRESS(MATCH(X$1,List!$A:$A,0),MATCH($A5,List!$1:$1,0),4)))</f>
        <v>xxx.</v>
      </c>
      <c r="Y5" s="97"/>
      <c r="Z5" s="97"/>
      <c r="AA5" s="98"/>
      <c r="AB5" s="96" t="str" cm="1">
        <f t="array" aca="1" ref="AB5" ca="1">IF(INDIRECT("List"&amp;"!"&amp;ADDRESS(MATCH(AB$1,List!$A:$A,0),MATCH($A5,List!$1:$1,0),4))="","",INDIRECT("List"&amp;"!"&amp;ADDRESS(MATCH(AB$1,List!$A:$A,0),MATCH($A5,List!$1:$1,0),4)))</f>
        <v>xxx.</v>
      </c>
      <c r="AC5" s="97"/>
      <c r="AD5" s="97"/>
      <c r="AE5" s="98"/>
      <c r="AF5" s="96" t="str" cm="1">
        <f t="array" aca="1" ref="AF5" ca="1">IF(INDIRECT("List"&amp;"!"&amp;ADDRESS(MATCH(AF$1,List!$A:$A,0),MATCH($A5,List!$1:$1,0),4))="","",INDIRECT("List"&amp;"!"&amp;ADDRESS(MATCH(AF$1,List!$A:$A,0),MATCH($A5,List!$1:$1,0),4)))</f>
        <v>xxx.</v>
      </c>
      <c r="AG5" s="97"/>
      <c r="AH5" s="97"/>
      <c r="AI5" s="98"/>
      <c r="AJ5" s="96" t="str" cm="1">
        <f t="array" aca="1" ref="AJ5" ca="1">IF(INDIRECT("List"&amp;"!"&amp;ADDRESS(MATCH(AJ$1,List!$A:$A,0),MATCH($A5,List!$1:$1,0),4))="","",INDIRECT("List"&amp;"!"&amp;ADDRESS(MATCH(AJ$1,List!$A:$A,0),MATCH($A5,List!$1:$1,0),4)))</f>
        <v/>
      </c>
      <c r="AK5" s="97"/>
      <c r="AL5" s="97"/>
      <c r="AM5" s="98"/>
      <c r="AN5" s="96" t="str" cm="1">
        <f t="array" aca="1" ref="AN5" ca="1">IF(INDIRECT("List"&amp;"!"&amp;ADDRESS(MATCH(AN$1,List!$A:$A,0),MATCH($A5,List!$1:$1,0),4))="","",INDIRECT("List"&amp;"!"&amp;ADDRESS(MATCH(AN$1,List!$A:$A,0),MATCH($A5,List!$1:$1,0),4)))</f>
        <v/>
      </c>
      <c r="AO5" s="97"/>
      <c r="AP5" s="97"/>
      <c r="AQ5" s="98"/>
    </row>
    <row r="6" spans="1:43" s="40" customFormat="1" ht="180" customHeight="1" thickTop="1" thickBot="1" x14ac:dyDescent="0.3">
      <c r="A6" s="100" t="s">
        <v>69</v>
      </c>
      <c r="B6" s="101"/>
      <c r="C6" s="102"/>
      <c r="D6" s="82"/>
      <c r="E6" s="82"/>
      <c r="F6" s="82"/>
      <c r="G6" s="82"/>
      <c r="H6" s="81"/>
      <c r="I6" s="82"/>
      <c r="J6" s="82"/>
      <c r="K6" s="83"/>
      <c r="L6" s="81"/>
      <c r="M6" s="82"/>
      <c r="N6" s="82"/>
      <c r="O6" s="83"/>
      <c r="P6" s="81"/>
      <c r="Q6" s="82"/>
      <c r="R6" s="82"/>
      <c r="S6" s="83"/>
      <c r="T6" s="81"/>
      <c r="U6" s="82"/>
      <c r="V6" s="82"/>
      <c r="W6" s="83"/>
      <c r="X6" s="81"/>
      <c r="Y6" s="82"/>
      <c r="Z6" s="82"/>
      <c r="AA6" s="83"/>
      <c r="AB6" s="81"/>
      <c r="AC6" s="82"/>
      <c r="AD6" s="82"/>
      <c r="AE6" s="83"/>
      <c r="AF6" s="81"/>
      <c r="AG6" s="82"/>
      <c r="AH6" s="82"/>
      <c r="AI6" s="83"/>
      <c r="AJ6" s="81"/>
      <c r="AK6" s="82"/>
      <c r="AL6" s="82"/>
      <c r="AM6" s="83"/>
      <c r="AN6" s="81"/>
      <c r="AO6" s="82"/>
      <c r="AP6" s="82"/>
      <c r="AQ6" s="83"/>
    </row>
    <row r="7" spans="1:43" s="44" customFormat="1" ht="17.149999999999999" customHeight="1" x14ac:dyDescent="0.25">
      <c r="A7" s="47"/>
      <c r="B7" s="41"/>
      <c r="C7" s="42"/>
      <c r="D7" s="43" t="s">
        <v>5</v>
      </c>
      <c r="E7" s="43" t="s">
        <v>7</v>
      </c>
      <c r="F7" s="41" t="s">
        <v>28</v>
      </c>
      <c r="G7" s="41" t="s">
        <v>30</v>
      </c>
      <c r="H7" s="65" t="s">
        <v>5</v>
      </c>
      <c r="I7" s="43" t="s">
        <v>7</v>
      </c>
      <c r="J7" s="41" t="s">
        <v>28</v>
      </c>
      <c r="K7" s="69" t="s">
        <v>30</v>
      </c>
      <c r="L7" s="65" t="s">
        <v>5</v>
      </c>
      <c r="M7" s="43" t="s">
        <v>7</v>
      </c>
      <c r="N7" s="41" t="s">
        <v>28</v>
      </c>
      <c r="O7" s="69" t="s">
        <v>30</v>
      </c>
      <c r="P7" s="65" t="s">
        <v>5</v>
      </c>
      <c r="Q7" s="43" t="s">
        <v>7</v>
      </c>
      <c r="R7" s="41" t="s">
        <v>28</v>
      </c>
      <c r="S7" s="69" t="s">
        <v>30</v>
      </c>
      <c r="T7" s="65" t="s">
        <v>5</v>
      </c>
      <c r="U7" s="43" t="s">
        <v>7</v>
      </c>
      <c r="V7" s="41" t="s">
        <v>28</v>
      </c>
      <c r="W7" s="69" t="s">
        <v>30</v>
      </c>
      <c r="X7" s="65" t="s">
        <v>5</v>
      </c>
      <c r="Y7" s="43" t="s">
        <v>7</v>
      </c>
      <c r="Z7" s="41" t="s">
        <v>28</v>
      </c>
      <c r="AA7" s="69" t="s">
        <v>30</v>
      </c>
      <c r="AB7" s="65" t="s">
        <v>5</v>
      </c>
      <c r="AC7" s="43" t="s">
        <v>7</v>
      </c>
      <c r="AD7" s="41" t="s">
        <v>28</v>
      </c>
      <c r="AE7" s="69" t="s">
        <v>30</v>
      </c>
      <c r="AF7" s="65" t="s">
        <v>5</v>
      </c>
      <c r="AG7" s="43" t="s">
        <v>7</v>
      </c>
      <c r="AH7" s="41" t="s">
        <v>28</v>
      </c>
      <c r="AI7" s="69" t="s">
        <v>30</v>
      </c>
      <c r="AJ7" s="65" t="s">
        <v>5</v>
      </c>
      <c r="AK7" s="43" t="s">
        <v>7</v>
      </c>
      <c r="AL7" s="41" t="s">
        <v>28</v>
      </c>
      <c r="AM7" s="69" t="s">
        <v>30</v>
      </c>
      <c r="AN7" s="65" t="s">
        <v>5</v>
      </c>
      <c r="AO7" s="43" t="s">
        <v>7</v>
      </c>
      <c r="AP7" s="41" t="s">
        <v>28</v>
      </c>
      <c r="AQ7" s="69" t="s">
        <v>30</v>
      </c>
    </row>
    <row r="8" spans="1:43" ht="25.85" customHeight="1" x14ac:dyDescent="0.25">
      <c r="A8" s="99" t="s">
        <v>35</v>
      </c>
      <c r="B8" s="94"/>
      <c r="C8" s="37" t="s">
        <v>22</v>
      </c>
      <c r="D8" s="3" t="str">
        <f>IFERROR(AVERAGE(G19:G67)/60,"")</f>
        <v/>
      </c>
      <c r="E8" s="3" t="str">
        <f>IFERROR(AVERAGE(G68:G115)/60,"")</f>
        <v/>
      </c>
      <c r="F8" s="3" t="str">
        <f>IFERROR(AVERAGE(G19:G115)/60,"")</f>
        <v/>
      </c>
      <c r="G8" s="63" t="str">
        <f>IFERROR(AVERAGE(G124:G436)/60,"")</f>
        <v/>
      </c>
      <c r="H8" s="66" t="str">
        <f>IFERROR(AVERAGE(K19:K67)/60,"")</f>
        <v/>
      </c>
      <c r="I8" s="59" t="str">
        <f>IFERROR(AVERAGE(K68:K115)/60,"")</f>
        <v/>
      </c>
      <c r="J8" s="59" t="str">
        <f>IFERROR(AVERAGE(K19:K115)/60,"")</f>
        <v/>
      </c>
      <c r="K8" s="70" t="str">
        <f>IFERROR(AVERAGE(K124:K436)/60,"")</f>
        <v/>
      </c>
      <c r="L8" s="66" t="str">
        <f>IFERROR(AVERAGE(O19:O67)/60,"")</f>
        <v/>
      </c>
      <c r="M8" s="59" t="str">
        <f>IFERROR(AVERAGE(O68:O115)/60,"")</f>
        <v/>
      </c>
      <c r="N8" s="59" t="str">
        <f>IFERROR(AVERAGE(O19:O115)/60,"")</f>
        <v/>
      </c>
      <c r="O8" s="70" t="str">
        <f>IFERROR(AVERAGE(O124:O436)/60,"")</f>
        <v/>
      </c>
      <c r="P8" s="66" t="str">
        <f>IFERROR(AVERAGE(S19:S67)/60,"")</f>
        <v/>
      </c>
      <c r="Q8" s="59" t="str">
        <f>IFERROR(AVERAGE(S68:S115)/60,"")</f>
        <v/>
      </c>
      <c r="R8" s="59" t="str">
        <f>IFERROR(AVERAGE(S19:S115)/60,"")</f>
        <v/>
      </c>
      <c r="S8" s="70" t="str">
        <f>IFERROR(AVERAGE(S124:S436)/60,"")</f>
        <v/>
      </c>
      <c r="T8" s="66" t="str">
        <f>IFERROR(AVERAGE(W19:W67)/60,"")</f>
        <v/>
      </c>
      <c r="U8" s="59" t="str">
        <f>IFERROR(AVERAGE(W68:W115)/60,"")</f>
        <v/>
      </c>
      <c r="V8" s="59" t="str">
        <f>IFERROR(AVERAGE(W19:W115)/60,"")</f>
        <v/>
      </c>
      <c r="W8" s="70" t="str">
        <f>IFERROR(AVERAGE(W124:W436)/60,"")</f>
        <v/>
      </c>
      <c r="X8" s="66" t="str">
        <f>IFERROR(AVERAGE(AA19:AA67)/60,"")</f>
        <v/>
      </c>
      <c r="Y8" s="59" t="str">
        <f>IFERROR(AVERAGE(AA68:AA115)/60,"")</f>
        <v/>
      </c>
      <c r="Z8" s="59" t="str">
        <f>IFERROR(AVERAGE(AA19:AA115)/60,"")</f>
        <v/>
      </c>
      <c r="AA8" s="70" t="str">
        <f>IFERROR(AVERAGE(AA124:AA436)/60,"")</f>
        <v/>
      </c>
      <c r="AB8" s="66" t="str">
        <f>IFERROR(AVERAGE(AE19:AE67)/60,"")</f>
        <v/>
      </c>
      <c r="AC8" s="59" t="str">
        <f>IFERROR(AVERAGE(AE68:AE115)/60,"")</f>
        <v/>
      </c>
      <c r="AD8" s="59" t="str">
        <f>IFERROR(AVERAGE(AE19:AE115)/60,"")</f>
        <v/>
      </c>
      <c r="AE8" s="70" t="str">
        <f>IFERROR(AVERAGE(AE124:AE436)/60,"")</f>
        <v/>
      </c>
      <c r="AF8" s="66" t="str">
        <f>IFERROR(AVERAGE(AI19:AI67)/60,"")</f>
        <v/>
      </c>
      <c r="AG8" s="59" t="str">
        <f>IFERROR(AVERAGE(AI68:AI115)/60,"")</f>
        <v/>
      </c>
      <c r="AH8" s="59" t="str">
        <f>IFERROR(AVERAGE(AI19:AI115)/60,"")</f>
        <v/>
      </c>
      <c r="AI8" s="70" t="str">
        <f>IFERROR(AVERAGE(AI124:AI436)/60,"")</f>
        <v/>
      </c>
      <c r="AJ8" s="66" t="str">
        <f>IFERROR(AVERAGE(AM19:AM67)/60,"")</f>
        <v/>
      </c>
      <c r="AK8" s="59" t="str">
        <f>IFERROR(AVERAGE(AM68:AM115)/60,"")</f>
        <v/>
      </c>
      <c r="AL8" s="59" t="str">
        <f>IFERROR(AVERAGE(AM19:AM115)/60,"")</f>
        <v/>
      </c>
      <c r="AM8" s="70" t="str">
        <f>IFERROR(AVERAGE(AM124:AM436)/60,"")</f>
        <v/>
      </c>
      <c r="AN8" s="66" t="str">
        <f>IFERROR(AVERAGE(AQ19:AQ67)/60,"")</f>
        <v/>
      </c>
      <c r="AO8" s="59" t="str">
        <f>IFERROR(AVERAGE(AQ68:AQ115)/60,"")</f>
        <v/>
      </c>
      <c r="AP8" s="59" t="str">
        <f>IFERROR(AVERAGE(AQ19:AQ115)/60,"")</f>
        <v/>
      </c>
      <c r="AQ8" s="70" t="str">
        <f>IFERROR(AVERAGE(AQ124:AQ436)/60,"")</f>
        <v/>
      </c>
    </row>
    <row r="9" spans="1:43" ht="25.85" customHeight="1" x14ac:dyDescent="0.25">
      <c r="A9" s="93"/>
      <c r="B9" s="94"/>
      <c r="C9" s="37" t="s">
        <v>23</v>
      </c>
      <c r="D9" s="3" t="str">
        <f>IFERROR(AVERAGE(G19:G67),"")</f>
        <v/>
      </c>
      <c r="E9" s="3" t="str">
        <f>IFERROR(AVERAGE(G68:G115),"")</f>
        <v/>
      </c>
      <c r="F9" s="3" t="str">
        <f>IFERROR(AVERAGE(G19:G115),"")</f>
        <v/>
      </c>
      <c r="G9" s="59" t="str">
        <f>IFERROR(AVERAGE(G124:G436),"")</f>
        <v/>
      </c>
      <c r="H9" s="66" t="str">
        <f>IFERROR(AVERAGE(K19:K67),"")</f>
        <v/>
      </c>
      <c r="I9" s="59" t="str">
        <f>IFERROR(AVERAGE(K68:K115),"")</f>
        <v/>
      </c>
      <c r="J9" s="59" t="str">
        <f>IFERROR(AVERAGE(K19:K115),"")</f>
        <v/>
      </c>
      <c r="K9" s="71" t="str">
        <f>IFERROR(AVERAGE(K124:K436),"")</f>
        <v/>
      </c>
      <c r="L9" s="66" t="str">
        <f>IFERROR(AVERAGE(O19:O67),"")</f>
        <v/>
      </c>
      <c r="M9" s="59" t="str">
        <f>IFERROR(AVERAGE(O68:O115),"")</f>
        <v/>
      </c>
      <c r="N9" s="59" t="str">
        <f>IFERROR(AVERAGE(O19:O115),"")</f>
        <v/>
      </c>
      <c r="O9" s="71" t="str">
        <f>IFERROR(AVERAGE(O124:O436),"")</f>
        <v/>
      </c>
      <c r="P9" s="66" t="str">
        <f>IFERROR(AVERAGE(S19:S67),"")</f>
        <v/>
      </c>
      <c r="Q9" s="59" t="str">
        <f>IFERROR(AVERAGE(S68:S115),"")</f>
        <v/>
      </c>
      <c r="R9" s="59" t="str">
        <f>IFERROR(AVERAGE(S19:S115),"")</f>
        <v/>
      </c>
      <c r="S9" s="71" t="str">
        <f>IFERROR(AVERAGE(S124:S436),"")</f>
        <v/>
      </c>
      <c r="T9" s="66" t="str">
        <f>IFERROR(AVERAGE(W19:W67),"")</f>
        <v/>
      </c>
      <c r="U9" s="59" t="str">
        <f>IFERROR(AVERAGE(W68:W115),"")</f>
        <v/>
      </c>
      <c r="V9" s="59" t="str">
        <f>IFERROR(AVERAGE(W19:W115),"")</f>
        <v/>
      </c>
      <c r="W9" s="71" t="str">
        <f>IFERROR(AVERAGE(W124:W436),"")</f>
        <v/>
      </c>
      <c r="X9" s="66" t="str">
        <f>IFERROR(AVERAGE(AA19:AA67),"")</f>
        <v/>
      </c>
      <c r="Y9" s="59" t="str">
        <f>IFERROR(AVERAGE(AA68:AA115),"")</f>
        <v/>
      </c>
      <c r="Z9" s="59" t="str">
        <f>IFERROR(AVERAGE(AA19:AA115),"")</f>
        <v/>
      </c>
      <c r="AA9" s="71" t="str">
        <f>IFERROR(AVERAGE(AA124:AA436),"")</f>
        <v/>
      </c>
      <c r="AB9" s="66" t="str">
        <f>IFERROR(AVERAGE(AE19:AE67),"")</f>
        <v/>
      </c>
      <c r="AC9" s="59" t="str">
        <f>IFERROR(AVERAGE(AE68:AE115),"")</f>
        <v/>
      </c>
      <c r="AD9" s="59" t="str">
        <f>IFERROR(AVERAGE(AE19:AE115),"")</f>
        <v/>
      </c>
      <c r="AE9" s="71" t="str">
        <f>IFERROR(AVERAGE(AE124:AE436),"")</f>
        <v/>
      </c>
      <c r="AF9" s="66" t="str">
        <f>IFERROR(AVERAGE(AI19:AI67),"")</f>
        <v/>
      </c>
      <c r="AG9" s="59" t="str">
        <f>IFERROR(AVERAGE(AI68:AI115),"")</f>
        <v/>
      </c>
      <c r="AH9" s="59" t="str">
        <f>IFERROR(AVERAGE(AI19:AI115),"")</f>
        <v/>
      </c>
      <c r="AI9" s="71" t="str">
        <f>IFERROR(AVERAGE(AI124:AI436),"")</f>
        <v/>
      </c>
      <c r="AJ9" s="66" t="str">
        <f>IFERROR(AVERAGE(AM19:AM67),"")</f>
        <v/>
      </c>
      <c r="AK9" s="59" t="str">
        <f>IFERROR(AVERAGE(AM68:AM115),"")</f>
        <v/>
      </c>
      <c r="AL9" s="59" t="str">
        <f>IFERROR(AVERAGE(AM19:AM115),"")</f>
        <v/>
      </c>
      <c r="AM9" s="71" t="str">
        <f>IFERROR(AVERAGE(AM124:AM436),"")</f>
        <v/>
      </c>
      <c r="AN9" s="66" t="str">
        <f>IFERROR(AVERAGE(AQ19:AQ67),"")</f>
        <v/>
      </c>
      <c r="AO9" s="59" t="str">
        <f>IFERROR(AVERAGE(AQ68:AQ115),"")</f>
        <v/>
      </c>
      <c r="AP9" s="59" t="str">
        <f>IFERROR(AVERAGE(AQ19:AQ115),"")</f>
        <v/>
      </c>
      <c r="AQ9" s="71" t="str">
        <f>IFERROR(AVERAGE(AQ124:AQ436),"")</f>
        <v/>
      </c>
    </row>
    <row r="10" spans="1:43" ht="25.75" customHeight="1" x14ac:dyDescent="0.25">
      <c r="A10" s="99" t="s">
        <v>36</v>
      </c>
      <c r="B10" s="94"/>
      <c r="C10" s="37" t="s">
        <v>26</v>
      </c>
      <c r="D10" s="3" t="str">
        <f>IFERROR(AVERAGE(F19:F67),"")</f>
        <v/>
      </c>
      <c r="E10" s="3" t="str">
        <f>IFERROR(AVERAGE(F68:F115),"")</f>
        <v/>
      </c>
      <c r="F10" s="3" t="str">
        <f>IFERROR(AVERAGE(F19:F115),"")</f>
        <v/>
      </c>
      <c r="G10" s="59" t="str">
        <f>IFERROR(AVERAGE(F124:F436),"")</f>
        <v/>
      </c>
      <c r="H10" s="66" t="str">
        <f>IFERROR(AVERAGE(J19:J67),"")</f>
        <v/>
      </c>
      <c r="I10" s="59" t="str">
        <f>IFERROR(AVERAGE(J68:J115),"")</f>
        <v/>
      </c>
      <c r="J10" s="59" t="str">
        <f>IFERROR(AVERAGE(J19:J115),"")</f>
        <v/>
      </c>
      <c r="K10" s="71" t="str">
        <f>IFERROR(AVERAGE(J124:J436),"")</f>
        <v/>
      </c>
      <c r="L10" s="66" t="str">
        <f>IFERROR(AVERAGE(N19:N67),"")</f>
        <v/>
      </c>
      <c r="M10" s="59" t="str">
        <f>IFERROR(AVERAGE(N68:N115),"")</f>
        <v/>
      </c>
      <c r="N10" s="59" t="str">
        <f>IFERROR(AVERAGE(N19:N115),"")</f>
        <v/>
      </c>
      <c r="O10" s="71" t="str">
        <f>IFERROR(AVERAGE(N124:N436),"")</f>
        <v/>
      </c>
      <c r="P10" s="66" t="str">
        <f>IFERROR(AVERAGE(R19:R67),"")</f>
        <v/>
      </c>
      <c r="Q10" s="59" t="str">
        <f>IFERROR(AVERAGE(R68:R115),"")</f>
        <v/>
      </c>
      <c r="R10" s="59" t="str">
        <f>IFERROR(AVERAGE(R19:R115),"")</f>
        <v/>
      </c>
      <c r="S10" s="71" t="str">
        <f>IFERROR(AVERAGE(R124:R436),"")</f>
        <v/>
      </c>
      <c r="T10" s="66" t="str">
        <f>IFERROR(AVERAGE(V19:V67),"")</f>
        <v/>
      </c>
      <c r="U10" s="59" t="str">
        <f>IFERROR(AVERAGE(V68:V115),"")</f>
        <v/>
      </c>
      <c r="V10" s="59" t="str">
        <f>IFERROR(AVERAGE(V19:V115),"")</f>
        <v/>
      </c>
      <c r="W10" s="71" t="str">
        <f>IFERROR(AVERAGE(V124:V436),"")</f>
        <v/>
      </c>
      <c r="X10" s="66" t="str">
        <f>IFERROR(AVERAGE(Z19:Z67),"")</f>
        <v/>
      </c>
      <c r="Y10" s="59" t="str">
        <f>IFERROR(AVERAGE(Z68:Z115),"")</f>
        <v/>
      </c>
      <c r="Z10" s="59" t="str">
        <f>IFERROR(AVERAGE(Z19:Z115),"")</f>
        <v/>
      </c>
      <c r="AA10" s="71" t="str">
        <f>IFERROR(AVERAGE(Z124:Z436),"")</f>
        <v/>
      </c>
      <c r="AB10" s="66" t="str">
        <f>IFERROR(AVERAGE(AD19:AD67),"")</f>
        <v/>
      </c>
      <c r="AC10" s="59" t="str">
        <f>IFERROR(AVERAGE(AD68:AD115),"")</f>
        <v/>
      </c>
      <c r="AD10" s="59" t="str">
        <f>IFERROR(AVERAGE(AD19:AD115),"")</f>
        <v/>
      </c>
      <c r="AE10" s="71" t="str">
        <f>IFERROR(AVERAGE(AD124:AD436),"")</f>
        <v/>
      </c>
      <c r="AF10" s="66" t="str">
        <f>IFERROR(AVERAGE(AH19:AH67),"")</f>
        <v/>
      </c>
      <c r="AG10" s="59" t="str">
        <f>IFERROR(AVERAGE(AH68:AH115),"")</f>
        <v/>
      </c>
      <c r="AH10" s="59" t="str">
        <f>IFERROR(AVERAGE(AH19:AH115),"")</f>
        <v/>
      </c>
      <c r="AI10" s="71" t="str">
        <f>IFERROR(AVERAGE(AH124:AH436),"")</f>
        <v/>
      </c>
      <c r="AJ10" s="66" t="str">
        <f>IFERROR(AVERAGE(AL19:AL67),"")</f>
        <v/>
      </c>
      <c r="AK10" s="59" t="str">
        <f>IFERROR(AVERAGE(AL68:AL115),"")</f>
        <v/>
      </c>
      <c r="AL10" s="59" t="str">
        <f>IFERROR(AVERAGE(AL19:AL115),"")</f>
        <v/>
      </c>
      <c r="AM10" s="71" t="str">
        <f>IFERROR(AVERAGE(AL124:AL436),"")</f>
        <v/>
      </c>
      <c r="AN10" s="66" t="str">
        <f>IFERROR(AVERAGE(AP19:AP67),"")</f>
        <v/>
      </c>
      <c r="AO10" s="59" t="str">
        <f>IFERROR(AVERAGE(AP68:AP115),"")</f>
        <v/>
      </c>
      <c r="AP10" s="59" t="str">
        <f>IFERROR(AVERAGE(AP19:AP115),"")</f>
        <v/>
      </c>
      <c r="AQ10" s="71" t="str">
        <f>IFERROR(AVERAGE(AP124:AP436),"")</f>
        <v/>
      </c>
    </row>
    <row r="11" spans="1:43" ht="25.75" customHeight="1" x14ac:dyDescent="0.25">
      <c r="A11" s="99" t="s">
        <v>32</v>
      </c>
      <c r="B11" s="94"/>
      <c r="C11" s="37" t="s">
        <v>31</v>
      </c>
      <c r="D11" s="3" t="str">
        <f>IFERROR(((MAX(G19:G67)-MIN(G19:G67))/(MAX(G19:G67)+MIN(G19:G67)))*100,"")</f>
        <v/>
      </c>
      <c r="E11" s="3" t="str">
        <f>IFERROR(((MAX(G68:G115)-MIN(G68:G115))/(MAX(G68:G115)+MIN(G68:G115)))*100,"")</f>
        <v/>
      </c>
      <c r="F11" s="3" t="str">
        <f>IFERROR(((MAX(G19:G115)-MIN(G19:G115))/(MAX(G19:G115)+MIN(G19:G115)))*100,"")</f>
        <v/>
      </c>
      <c r="G11" s="59" t="str">
        <f>IFERROR(((MAX(G124:G436)-MIN(G124:G436))/(MAX(G124:G436)+MIN(G124:G436)))*100,"")</f>
        <v/>
      </c>
      <c r="H11" s="66" t="str">
        <f>IFERROR(((MAX(K19:K67)-MIN(K19:K67))/(MAX(K19:K67)+MIN(K19:K67)))*100,"")</f>
        <v/>
      </c>
      <c r="I11" s="59" t="str">
        <f>IFERROR(((MAX(K68:K115)-MIN(K68:K115))/(MAX(K68:K115)+MIN(K68:K115)))*100,"")</f>
        <v/>
      </c>
      <c r="J11" s="59" t="str">
        <f>IFERROR(((MAX(K19:K115)-MIN(K19:K115))/(MAX(K19:K115)+MIN(K19:K115)))*100,"")</f>
        <v/>
      </c>
      <c r="K11" s="71" t="str">
        <f>IFERROR(((MAX(K124:K436)-MIN(K124:K436))/(MAX(K124:K436)+MIN(K124:K436)))*100,"")</f>
        <v/>
      </c>
      <c r="L11" s="66" t="str">
        <f>IFERROR(((MAX(O19:O67)-MIN(O19:O67))/(MAX(O19:O67)+MIN(O19:O67)))*100,"")</f>
        <v/>
      </c>
      <c r="M11" s="59" t="str">
        <f>IFERROR(((MAX(O68:O115)-MIN(O68:O115))/(MAX(O68:O115)+MIN(O68:O115)))*100,"")</f>
        <v/>
      </c>
      <c r="N11" s="59" t="str">
        <f>IFERROR(((MAX(O19:O115)-MIN(O19:O115))/(MAX(O19:O115)+MIN(O19:O115)))*100,"")</f>
        <v/>
      </c>
      <c r="O11" s="71" t="str">
        <f>IFERROR(((MAX(O124:O436)-MIN(O124:O436))/(MAX(O124:O436)+MIN(O124:O436)))*100,"")</f>
        <v/>
      </c>
      <c r="P11" s="66" t="str">
        <f>IFERROR(((MAX(S19:S67)-MIN(S19:S67))/(MAX(S19:S67)+MIN(S19:S67)))*100,"")</f>
        <v/>
      </c>
      <c r="Q11" s="59" t="str">
        <f>IFERROR(((MAX(S68:S115)-MIN(S68:S115))/(MAX(S68:S115)+MIN(S68:S115)))*100,"")</f>
        <v/>
      </c>
      <c r="R11" s="59" t="str">
        <f>IFERROR(((MAX(S19:S115)-MIN(S19:S115))/(MAX(S19:S115)+MIN(S19:S115)))*100,"")</f>
        <v/>
      </c>
      <c r="S11" s="71" t="str">
        <f>IFERROR(((MAX(S124:S436)-MIN(S124:S436))/(MAX(S124:S436)+MIN(S124:S436)))*100,"")</f>
        <v/>
      </c>
      <c r="T11" s="66" t="str">
        <f>IFERROR(((MAX(W19:W67)-MIN(W19:W67))/(MAX(W19:W67)+MIN(W19:W67)))*100,"")</f>
        <v/>
      </c>
      <c r="U11" s="59" t="str">
        <f>IFERROR(((MAX(W68:W115)-MIN(W68:W115))/(MAX(W68:W115)+MIN(W68:W115)))*100,"")</f>
        <v/>
      </c>
      <c r="V11" s="59" t="str">
        <f>IFERROR(((MAX(W19:W115)-MIN(W19:W115))/(MAX(W19:W115)+MIN(W19:W115)))*100,"")</f>
        <v/>
      </c>
      <c r="W11" s="71" t="str">
        <f>IFERROR(((MAX(W124:W436)-MIN(W124:W436))/(MAX(W124:W436)+MIN(W124:W436)))*100,"")</f>
        <v/>
      </c>
      <c r="X11" s="66" t="str">
        <f>IFERROR(((MAX(AA19:AA67)-MIN(AA19:AA67))/(MAX(AA19:AA67)+MIN(AA19:AA67)))*100,"")</f>
        <v/>
      </c>
      <c r="Y11" s="59" t="str">
        <f>IFERROR(((MAX(AA68:AA115)-MIN(AA68:AA115))/(MAX(AA68:AA115)+MIN(AA68:AA115)))*100,"")</f>
        <v/>
      </c>
      <c r="Z11" s="59" t="str">
        <f>IFERROR(((MAX(AA19:AA115)-MIN(AA19:AA115))/(MAX(AA19:AA115)+MIN(AA19:AA115)))*100,"")</f>
        <v/>
      </c>
      <c r="AA11" s="71" t="str">
        <f>IFERROR(((MAX(AA124:AA436)-MIN(AA124:AA436))/(MAX(AA124:AA436)+MIN(AA124:AA436)))*100,"")</f>
        <v/>
      </c>
      <c r="AB11" s="66" t="str">
        <f>IFERROR(((MAX(AE19:AE67)-MIN(AE19:AE67))/(MAX(AE19:AE67)+MIN(AE19:AE67)))*100,"")</f>
        <v/>
      </c>
      <c r="AC11" s="59" t="str">
        <f>IFERROR(((MAX(AE68:AE115)-MIN(AE68:AE115))/(MAX(AE68:AE115)+MIN(AE68:AE115)))*100,"")</f>
        <v/>
      </c>
      <c r="AD11" s="59" t="str">
        <f>IFERROR(((MAX(AE19:AE115)-MIN(AE19:AE115))/(MAX(AE19:AE115)+MIN(AE19:AE115)))*100,"")</f>
        <v/>
      </c>
      <c r="AE11" s="71" t="str">
        <f>IFERROR(((MAX(AE124:AE436)-MIN(AE124:AE436))/(MAX(AE124:AE436)+MIN(AE124:AE436)))*100,"")</f>
        <v/>
      </c>
      <c r="AF11" s="66" t="str">
        <f>IFERROR(((MAX(AI19:AI67)-MIN(AI19:AI67))/(MAX(AI19:AI67)+MIN(AI19:AI67)))*100,"")</f>
        <v/>
      </c>
      <c r="AG11" s="59" t="str">
        <f>IFERROR(((MAX(AI68:AI115)-MIN(AI68:AI115))/(MAX(AI68:AI115)+MIN(AI68:AI115)))*100,"")</f>
        <v/>
      </c>
      <c r="AH11" s="59" t="str">
        <f>IFERROR(((MAX(AI19:AI115)-MIN(AI19:AI115))/(MAX(AI19:AI115)+MIN(AI19:AI115)))*100,"")</f>
        <v/>
      </c>
      <c r="AI11" s="71" t="str">
        <f>IFERROR(((MAX(AI124:AI436)-MIN(AI124:AI436))/(MAX(AI124:AI436)+MIN(AI124:AI436)))*100,"")</f>
        <v/>
      </c>
      <c r="AJ11" s="66" t="str">
        <f>IFERROR(((MAX(AM19:AM67)-MIN(AM19:AM67))/(MAX(AM19:AM67)+MIN(AM19:AM67)))*100,"")</f>
        <v/>
      </c>
      <c r="AK11" s="59" t="str">
        <f>IFERROR(((MAX(AM68:AM115)-MIN(AM68:AM115))/(MAX(AM68:AM115)+MIN(AM68:AM115)))*100,"")</f>
        <v/>
      </c>
      <c r="AL11" s="59" t="str">
        <f>IFERROR(((MAX(AM19:AM115)-MIN(AM19:AM115))/(MAX(AM19:AM115)+MIN(AM19:AM115)))*100,"")</f>
        <v/>
      </c>
      <c r="AM11" s="71" t="str">
        <f>IFERROR(((MAX(AM124:AM436)-MIN(AM124:AM436))/(MAX(AM124:AM436)+MIN(AM124:AM436)))*100,"")</f>
        <v/>
      </c>
      <c r="AN11" s="66" t="str">
        <f>IFERROR(((MAX(AQ19:AQ67)-MIN(AQ19:AQ67))/(MAX(AQ19:AQ67)+MIN(AQ19:AQ67)))*100,"")</f>
        <v/>
      </c>
      <c r="AO11" s="59" t="str">
        <f>IFERROR(((MAX(AQ68:AQ115)-MIN(AQ68:AQ115))/(MAX(AQ68:AQ115)+MIN(AQ68:AQ115)))*100,"")</f>
        <v/>
      </c>
      <c r="AP11" s="59" t="str">
        <f>IFERROR(((MAX(AQ19:AQ115)-MIN(AQ19:AQ115))/(MAX(AQ19:AQ115)+MIN(AQ19:AQ115)))*100,"")</f>
        <v/>
      </c>
      <c r="AQ11" s="71" t="str">
        <f>IFERROR(((MAX(AQ124:AQ436)-MIN(AQ124:AQ436))/(MAX(AQ124:AQ436)+MIN(AQ124:AQ436)))*100,"")</f>
        <v/>
      </c>
    </row>
    <row r="12" spans="1:43" x14ac:dyDescent="0.25">
      <c r="A12" s="99" t="s">
        <v>33</v>
      </c>
      <c r="B12" s="94"/>
      <c r="C12" s="37" t="s">
        <v>26</v>
      </c>
      <c r="D12" s="3" t="str">
        <f>IFERROR(STDEV(G19:G67),"")</f>
        <v/>
      </c>
      <c r="E12" s="3" t="str">
        <f>IFERROR(STDEV(G68:G115),"")</f>
        <v/>
      </c>
      <c r="F12" s="3" t="str">
        <f>IFERROR(STDEV(G19:G115),"")</f>
        <v/>
      </c>
      <c r="G12" s="59" t="str">
        <f>IFERROR(STDEV(G124:G436),"")</f>
        <v/>
      </c>
      <c r="H12" s="66" t="str">
        <f>IFERROR(STDEV(K19:K67),"")</f>
        <v/>
      </c>
      <c r="I12" s="59" t="str">
        <f>IFERROR(STDEV(K68:K115),"")</f>
        <v/>
      </c>
      <c r="J12" s="59" t="str">
        <f>IFERROR(STDEV(K19:K115),"")</f>
        <v/>
      </c>
      <c r="K12" s="71" t="str">
        <f>IFERROR(STDEV(K124:K436),"")</f>
        <v/>
      </c>
      <c r="L12" s="66" t="str">
        <f>IFERROR(STDEV(O19:O67),"")</f>
        <v/>
      </c>
      <c r="M12" s="59" t="str">
        <f>IFERROR(STDEV(O68:O115),"")</f>
        <v/>
      </c>
      <c r="N12" s="59" t="str">
        <f>IFERROR(STDEV(O19:O115),"")</f>
        <v/>
      </c>
      <c r="O12" s="71" t="str">
        <f>IFERROR(STDEV(O124:O436),"")</f>
        <v/>
      </c>
      <c r="P12" s="66" t="str">
        <f>IFERROR(STDEV(S19:S67),"")</f>
        <v/>
      </c>
      <c r="Q12" s="59" t="str">
        <f>IFERROR(STDEV(S68:S115),"")</f>
        <v/>
      </c>
      <c r="R12" s="59" t="str">
        <f>IFERROR(STDEV(S19:S115),"")</f>
        <v/>
      </c>
      <c r="S12" s="71" t="str">
        <f>IFERROR(STDEV(S124:S436),"")</f>
        <v/>
      </c>
      <c r="T12" s="66" t="str">
        <f>IFERROR(STDEV(W19:W67),"")</f>
        <v/>
      </c>
      <c r="U12" s="59" t="str">
        <f>IFERROR(STDEV(W68:W115),"")</f>
        <v/>
      </c>
      <c r="V12" s="59" t="str">
        <f>IFERROR(STDEV(W19:W115),"")</f>
        <v/>
      </c>
      <c r="W12" s="71" t="str">
        <f>IFERROR(STDEV(W124:W436),"")</f>
        <v/>
      </c>
      <c r="X12" s="66" t="str">
        <f>IFERROR(STDEV(AA19:AA67),"")</f>
        <v/>
      </c>
      <c r="Y12" s="59" t="str">
        <f>IFERROR(STDEV(AA68:AA115),"")</f>
        <v/>
      </c>
      <c r="Z12" s="59" t="str">
        <f>IFERROR(STDEV(AA19:AA115),"")</f>
        <v/>
      </c>
      <c r="AA12" s="71" t="str">
        <f>IFERROR(STDEV(AA124:AA436),"")</f>
        <v/>
      </c>
      <c r="AB12" s="66" t="str">
        <f>IFERROR(STDEV(AE19:AE67),"")</f>
        <v/>
      </c>
      <c r="AC12" s="59" t="str">
        <f>IFERROR(STDEV(AE68:AE115),"")</f>
        <v/>
      </c>
      <c r="AD12" s="59" t="str">
        <f>IFERROR(STDEV(AE19:AE115),"")</f>
        <v/>
      </c>
      <c r="AE12" s="71" t="str">
        <f>IFERROR(STDEV(AE124:AE436),"")</f>
        <v/>
      </c>
      <c r="AF12" s="66" t="str">
        <f>IFERROR(STDEV(AI19:AI67),"")</f>
        <v/>
      </c>
      <c r="AG12" s="59" t="str">
        <f>IFERROR(STDEV(AI68:AI115),"")</f>
        <v/>
      </c>
      <c r="AH12" s="59" t="str">
        <f>IFERROR(STDEV(AI19:AI115),"")</f>
        <v/>
      </c>
      <c r="AI12" s="71" t="str">
        <f>IFERROR(STDEV(AI124:AI436),"")</f>
        <v/>
      </c>
      <c r="AJ12" s="66" t="str">
        <f>IFERROR(STDEV(AM19:AM67),"")</f>
        <v/>
      </c>
      <c r="AK12" s="59" t="str">
        <f>IFERROR(STDEV(AM68:AM115),"")</f>
        <v/>
      </c>
      <c r="AL12" s="59" t="str">
        <f>IFERROR(STDEV(AM19:AM115),"")</f>
        <v/>
      </c>
      <c r="AM12" s="71" t="str">
        <f>IFERROR(STDEV(AM124:AM436),"")</f>
        <v/>
      </c>
      <c r="AN12" s="66" t="str">
        <f>IFERROR(STDEV(AQ19:AQ67),"")</f>
        <v/>
      </c>
      <c r="AO12" s="59" t="str">
        <f>IFERROR(STDEV(AQ68:AQ115),"")</f>
        <v/>
      </c>
      <c r="AP12" s="59" t="str">
        <f>IFERROR(STDEV(AQ19:AQ115),"")</f>
        <v/>
      </c>
      <c r="AQ12" s="71" t="str">
        <f>IFERROR(STDEV(AQ124:AQ436),"")</f>
        <v/>
      </c>
    </row>
    <row r="13" spans="1:43" x14ac:dyDescent="0.25">
      <c r="A13" s="99" t="s">
        <v>34</v>
      </c>
      <c r="B13" s="94"/>
      <c r="C13" s="37" t="s">
        <v>26</v>
      </c>
      <c r="D13" s="3" t="str">
        <f>IFERROR(3*STDEV(G19:G67),"")</f>
        <v/>
      </c>
      <c r="E13" s="3" t="str">
        <f>IFERROR(3*STDEV(G68:G115),"")</f>
        <v/>
      </c>
      <c r="F13" s="3" t="str">
        <f>IFERROR(3*STDEV(G19:G115),"")</f>
        <v/>
      </c>
      <c r="G13" s="59" t="str">
        <f>IFERROR(3*STDEV(G124:G436),"")</f>
        <v/>
      </c>
      <c r="H13" s="66" t="str">
        <f>IFERROR(3*STDEV(K19:K67),"")</f>
        <v/>
      </c>
      <c r="I13" s="59" t="str">
        <f>IFERROR(3*STDEV(K68:K115),"")</f>
        <v/>
      </c>
      <c r="J13" s="59" t="str">
        <f>IFERROR(3*STDEV(K19:K115),"")</f>
        <v/>
      </c>
      <c r="K13" s="71" t="str">
        <f>IFERROR(3*STDEV(K124:K436),"")</f>
        <v/>
      </c>
      <c r="L13" s="66" t="str">
        <f>IFERROR(3*STDEV(O19:O67),"")</f>
        <v/>
      </c>
      <c r="M13" s="59" t="str">
        <f>IFERROR(3*STDEV(O68:O115),"")</f>
        <v/>
      </c>
      <c r="N13" s="59" t="str">
        <f>IFERROR(3*STDEV(O19:O115),"")</f>
        <v/>
      </c>
      <c r="O13" s="71" t="str">
        <f>IFERROR(3*STDEV(O124:O436),"")</f>
        <v/>
      </c>
      <c r="P13" s="66" t="str">
        <f>IFERROR(3*STDEV(S19:S67),"")</f>
        <v/>
      </c>
      <c r="Q13" s="59" t="str">
        <f>IFERROR(3*STDEV(S68:S115),"")</f>
        <v/>
      </c>
      <c r="R13" s="59" t="str">
        <f>IFERROR(3*STDEV(S19:S115),"")</f>
        <v/>
      </c>
      <c r="S13" s="71" t="str">
        <f>IFERROR(3*STDEV(S124:S436),"")</f>
        <v/>
      </c>
      <c r="T13" s="66" t="str">
        <f>IFERROR(3*STDEV(W19:W67),"")</f>
        <v/>
      </c>
      <c r="U13" s="59" t="str">
        <f>IFERROR(3*STDEV(W68:W115),"")</f>
        <v/>
      </c>
      <c r="V13" s="59" t="str">
        <f>IFERROR(3*STDEV(W19:W115),"")</f>
        <v/>
      </c>
      <c r="W13" s="71" t="str">
        <f>IFERROR(3*STDEV(W124:W436),"")</f>
        <v/>
      </c>
      <c r="X13" s="66" t="str">
        <f>IFERROR(3*STDEV(AA19:AA67),"")</f>
        <v/>
      </c>
      <c r="Y13" s="59" t="str">
        <f>IFERROR(3*STDEV(AA68:AA115),"")</f>
        <v/>
      </c>
      <c r="Z13" s="59" t="str">
        <f>IFERROR(3*STDEV(AA19:AA115),"")</f>
        <v/>
      </c>
      <c r="AA13" s="71" t="str">
        <f>IFERROR(3*STDEV(AA124:AA436),"")</f>
        <v/>
      </c>
      <c r="AB13" s="66" t="str">
        <f>IFERROR(3*STDEV(AE19:AE67),"")</f>
        <v/>
      </c>
      <c r="AC13" s="59" t="str">
        <f>IFERROR(3*STDEV(AE68:AE115),"")</f>
        <v/>
      </c>
      <c r="AD13" s="59" t="str">
        <f>IFERROR(3*STDEV(AE19:AE115),"")</f>
        <v/>
      </c>
      <c r="AE13" s="71" t="str">
        <f>IFERROR(3*STDEV(AE124:AE436),"")</f>
        <v/>
      </c>
      <c r="AF13" s="66" t="str">
        <f>IFERROR(3*STDEV(AI19:AI67),"")</f>
        <v/>
      </c>
      <c r="AG13" s="59" t="str">
        <f>IFERROR(3*STDEV(AI68:AI115),"")</f>
        <v/>
      </c>
      <c r="AH13" s="59" t="str">
        <f>IFERROR(3*STDEV(AI19:AI115),"")</f>
        <v/>
      </c>
      <c r="AI13" s="71" t="str">
        <f>IFERROR(3*STDEV(AI124:AI436),"")</f>
        <v/>
      </c>
      <c r="AJ13" s="66" t="str">
        <f>IFERROR(3*STDEV(AM19:AM67),"")</f>
        <v/>
      </c>
      <c r="AK13" s="59" t="str">
        <f>IFERROR(3*STDEV(AM68:AM115),"")</f>
        <v/>
      </c>
      <c r="AL13" s="59" t="str">
        <f>IFERROR(3*STDEV(AM19:AM115),"")</f>
        <v/>
      </c>
      <c r="AM13" s="71" t="str">
        <f>IFERROR(3*STDEV(AM124:AM436),"")</f>
        <v/>
      </c>
      <c r="AN13" s="66" t="str">
        <f>IFERROR(3*STDEV(AQ19:AQ67),"")</f>
        <v/>
      </c>
      <c r="AO13" s="59" t="str">
        <f>IFERROR(3*STDEV(AQ68:AQ115),"")</f>
        <v/>
      </c>
      <c r="AP13" s="59" t="str">
        <f>IFERROR(3*STDEV(AQ19:AQ115),"")</f>
        <v/>
      </c>
      <c r="AQ13" s="71" t="str">
        <f>IFERROR(3*STDEV(AQ124:AQ436),"")</f>
        <v/>
      </c>
    </row>
    <row r="15" spans="1:43" s="40" customFormat="1" ht="13.3" thickBot="1" x14ac:dyDescent="0.3">
      <c r="A15" s="48"/>
      <c r="B15" s="45"/>
      <c r="C15" s="46"/>
      <c r="H15" s="68"/>
      <c r="K15" s="73"/>
      <c r="L15" s="68"/>
      <c r="O15" s="73"/>
      <c r="P15" s="68"/>
      <c r="S15" s="73"/>
      <c r="T15" s="68"/>
      <c r="W15" s="73"/>
      <c r="X15" s="68"/>
      <c r="AA15" s="73"/>
      <c r="AB15" s="68"/>
      <c r="AE15" s="73"/>
      <c r="AF15" s="68"/>
      <c r="AI15" s="73"/>
      <c r="AJ15" s="68"/>
      <c r="AM15" s="73"/>
      <c r="AN15" s="68"/>
      <c r="AQ15" s="73"/>
    </row>
    <row r="16" spans="1:43" x14ac:dyDescent="0.25">
      <c r="A16" s="58" t="s">
        <v>68</v>
      </c>
      <c r="B16" s="50">
        <f>COUNTA(A19:A115)</f>
        <v>97</v>
      </c>
      <c r="E16" s="2" t="s">
        <v>27</v>
      </c>
      <c r="F16" s="2" t="s">
        <v>24</v>
      </c>
      <c r="G16" s="2">
        <v>30</v>
      </c>
      <c r="I16" s="77" t="s">
        <v>27</v>
      </c>
      <c r="J16" s="77" t="s">
        <v>24</v>
      </c>
      <c r="K16" s="78">
        <v>30</v>
      </c>
      <c r="M16" s="77" t="s">
        <v>27</v>
      </c>
      <c r="N16" s="77" t="s">
        <v>24</v>
      </c>
      <c r="O16" s="78">
        <v>30</v>
      </c>
      <c r="Q16" s="77" t="s">
        <v>27</v>
      </c>
      <c r="R16" s="77" t="s">
        <v>24</v>
      </c>
      <c r="S16" s="78">
        <v>30</v>
      </c>
      <c r="U16" s="77" t="s">
        <v>27</v>
      </c>
      <c r="V16" s="77" t="s">
        <v>24</v>
      </c>
      <c r="W16" s="78">
        <v>30</v>
      </c>
      <c r="Y16" s="77" t="s">
        <v>27</v>
      </c>
      <c r="Z16" s="77" t="s">
        <v>24</v>
      </c>
      <c r="AA16" s="78">
        <v>30</v>
      </c>
      <c r="AC16" s="77" t="s">
        <v>27</v>
      </c>
      <c r="AD16" s="77" t="s">
        <v>24</v>
      </c>
      <c r="AE16" s="78">
        <v>30</v>
      </c>
      <c r="AG16" s="77" t="s">
        <v>27</v>
      </c>
      <c r="AH16" s="77" t="s">
        <v>24</v>
      </c>
      <c r="AI16" s="78">
        <v>30</v>
      </c>
      <c r="AK16" s="77" t="s">
        <v>27</v>
      </c>
      <c r="AL16" s="77" t="s">
        <v>24</v>
      </c>
      <c r="AM16" s="78">
        <v>30</v>
      </c>
      <c r="AO16" s="77" t="s">
        <v>27</v>
      </c>
      <c r="AP16" s="77" t="s">
        <v>24</v>
      </c>
      <c r="AQ16" s="78">
        <v>30</v>
      </c>
    </row>
    <row r="17" spans="1:43" x14ac:dyDescent="0.25">
      <c r="A17" s="51" t="s">
        <v>5</v>
      </c>
      <c r="B17" s="52" t="s">
        <v>7</v>
      </c>
      <c r="C17" s="39" t="s">
        <v>9</v>
      </c>
      <c r="D17" s="2" t="s">
        <v>13</v>
      </c>
      <c r="E17" s="2" t="s">
        <v>15</v>
      </c>
      <c r="F17" s="2" t="s">
        <v>17</v>
      </c>
      <c r="G17" s="2" t="s">
        <v>19</v>
      </c>
      <c r="H17" s="76" t="s">
        <v>13</v>
      </c>
      <c r="I17" s="77" t="s">
        <v>15</v>
      </c>
      <c r="J17" s="77" t="s">
        <v>17</v>
      </c>
      <c r="K17" s="78" t="s">
        <v>19</v>
      </c>
      <c r="L17" s="76" t="s">
        <v>13</v>
      </c>
      <c r="M17" s="77" t="s">
        <v>15</v>
      </c>
      <c r="N17" s="77" t="s">
        <v>17</v>
      </c>
      <c r="O17" s="78" t="s">
        <v>19</v>
      </c>
      <c r="P17" s="76" t="s">
        <v>13</v>
      </c>
      <c r="Q17" s="77" t="s">
        <v>15</v>
      </c>
      <c r="R17" s="77" t="s">
        <v>17</v>
      </c>
      <c r="S17" s="78" t="s">
        <v>19</v>
      </c>
      <c r="T17" s="76" t="s">
        <v>13</v>
      </c>
      <c r="U17" s="77" t="s">
        <v>15</v>
      </c>
      <c r="V17" s="77" t="s">
        <v>17</v>
      </c>
      <c r="W17" s="78" t="s">
        <v>19</v>
      </c>
      <c r="X17" s="76" t="s">
        <v>13</v>
      </c>
      <c r="Y17" s="77" t="s">
        <v>15</v>
      </c>
      <c r="Z17" s="77" t="s">
        <v>17</v>
      </c>
      <c r="AA17" s="78" t="s">
        <v>19</v>
      </c>
      <c r="AB17" s="76" t="s">
        <v>13</v>
      </c>
      <c r="AC17" s="77" t="s">
        <v>15</v>
      </c>
      <c r="AD17" s="77" t="s">
        <v>17</v>
      </c>
      <c r="AE17" s="78" t="s">
        <v>19</v>
      </c>
      <c r="AF17" s="76" t="s">
        <v>13</v>
      </c>
      <c r="AG17" s="77" t="s">
        <v>15</v>
      </c>
      <c r="AH17" s="77" t="s">
        <v>17</v>
      </c>
      <c r="AI17" s="78" t="s">
        <v>19</v>
      </c>
      <c r="AJ17" s="76" t="s">
        <v>13</v>
      </c>
      <c r="AK17" s="77" t="s">
        <v>15</v>
      </c>
      <c r="AL17" s="77" t="s">
        <v>17</v>
      </c>
      <c r="AM17" s="78" t="s">
        <v>19</v>
      </c>
      <c r="AN17" s="76" t="s">
        <v>13</v>
      </c>
      <c r="AO17" s="77" t="s">
        <v>15</v>
      </c>
      <c r="AP17" s="77" t="s">
        <v>17</v>
      </c>
      <c r="AQ17" s="78" t="s">
        <v>19</v>
      </c>
    </row>
    <row r="18" spans="1:43" s="57" customFormat="1" x14ac:dyDescent="0.25">
      <c r="A18" s="54" t="s">
        <v>11</v>
      </c>
      <c r="B18" s="55" t="s">
        <v>11</v>
      </c>
      <c r="C18" s="56" t="s">
        <v>11</v>
      </c>
      <c r="D18" s="55" t="s">
        <v>21</v>
      </c>
      <c r="E18" s="55" t="s">
        <v>21</v>
      </c>
      <c r="F18" s="55" t="s">
        <v>26</v>
      </c>
      <c r="G18" s="55" t="s">
        <v>23</v>
      </c>
      <c r="H18" s="54" t="s">
        <v>21</v>
      </c>
      <c r="I18" s="55" t="s">
        <v>21</v>
      </c>
      <c r="J18" s="55" t="s">
        <v>26</v>
      </c>
      <c r="K18" s="56" t="s">
        <v>23</v>
      </c>
      <c r="L18" s="54" t="s">
        <v>21</v>
      </c>
      <c r="M18" s="55" t="s">
        <v>21</v>
      </c>
      <c r="N18" s="55" t="s">
        <v>26</v>
      </c>
      <c r="O18" s="56" t="s">
        <v>23</v>
      </c>
      <c r="P18" s="54" t="s">
        <v>21</v>
      </c>
      <c r="Q18" s="55" t="s">
        <v>21</v>
      </c>
      <c r="R18" s="55" t="s">
        <v>26</v>
      </c>
      <c r="S18" s="56" t="s">
        <v>23</v>
      </c>
      <c r="T18" s="54" t="s">
        <v>21</v>
      </c>
      <c r="U18" s="55" t="s">
        <v>21</v>
      </c>
      <c r="V18" s="55" t="s">
        <v>26</v>
      </c>
      <c r="W18" s="56" t="s">
        <v>23</v>
      </c>
      <c r="X18" s="54" t="s">
        <v>21</v>
      </c>
      <c r="Y18" s="55" t="s">
        <v>21</v>
      </c>
      <c r="Z18" s="55" t="s">
        <v>26</v>
      </c>
      <c r="AA18" s="56" t="s">
        <v>23</v>
      </c>
      <c r="AB18" s="54" t="s">
        <v>21</v>
      </c>
      <c r="AC18" s="55" t="s">
        <v>21</v>
      </c>
      <c r="AD18" s="55" t="s">
        <v>26</v>
      </c>
      <c r="AE18" s="56" t="s">
        <v>23</v>
      </c>
      <c r="AF18" s="54" t="s">
        <v>21</v>
      </c>
      <c r="AG18" s="55" t="s">
        <v>21</v>
      </c>
      <c r="AH18" s="55" t="s">
        <v>26</v>
      </c>
      <c r="AI18" s="56" t="s">
        <v>23</v>
      </c>
      <c r="AJ18" s="54" t="s">
        <v>21</v>
      </c>
      <c r="AK18" s="55" t="s">
        <v>21</v>
      </c>
      <c r="AL18" s="55" t="s">
        <v>26</v>
      </c>
      <c r="AM18" s="56" t="s">
        <v>23</v>
      </c>
      <c r="AN18" s="54" t="s">
        <v>21</v>
      </c>
      <c r="AO18" s="55" t="s">
        <v>21</v>
      </c>
      <c r="AP18" s="55" t="s">
        <v>26</v>
      </c>
      <c r="AQ18" s="56" t="s">
        <v>23</v>
      </c>
    </row>
    <row r="19" spans="1:43" x14ac:dyDescent="0.25">
      <c r="A19" s="49">
        <v>-98</v>
      </c>
      <c r="B19" s="50">
        <v>0</v>
      </c>
      <c r="C19" s="38">
        <f>(A19^2+B19^2)^(1/2)</f>
        <v>98</v>
      </c>
      <c r="F19" s="1" t="str">
        <f>IF(D19="","",(D19-E19)/10)</f>
        <v/>
      </c>
      <c r="G19" s="1" t="str">
        <f>IFERROR(IF(G$16="","",F19/(G$16/60)),"")</f>
        <v/>
      </c>
      <c r="J19" s="64" t="str">
        <f>IF(H19="","",(H19-I19)/10)</f>
        <v/>
      </c>
      <c r="K19" s="72" t="str">
        <f>IFERROR(IF(K$16="","",J19/(K$16/60)),"")</f>
        <v/>
      </c>
      <c r="N19" s="64" t="str">
        <f>IF(L19="","",(L19-M19)/10)</f>
        <v/>
      </c>
      <c r="O19" s="72" t="str">
        <f>IFERROR(IF(O$16="","",N19/(O$16/60)),"")</f>
        <v/>
      </c>
      <c r="R19" s="64" t="str">
        <f>IF(P19="","",(P19-Q19)/10)</f>
        <v/>
      </c>
      <c r="S19" s="72" t="str">
        <f>IFERROR(IF(S$16="","",R19/(S$16/60)),"")</f>
        <v/>
      </c>
      <c r="V19" s="64" t="str">
        <f>IF(T19="","",(T19-U19)/10)</f>
        <v/>
      </c>
      <c r="W19" s="72" t="str">
        <f>IFERROR(IF(W$16="","",V19/(W$16/60)),"")</f>
        <v/>
      </c>
      <c r="Z19" s="64" t="str">
        <f>IF(X19="","",(X19-Y19)/10)</f>
        <v/>
      </c>
      <c r="AA19" s="72" t="str">
        <f>IFERROR(IF(AA$16="","",Z19/(AA$16/60)),"")</f>
        <v/>
      </c>
      <c r="AD19" s="64" t="str">
        <f>IF(AB19="","",(AB19-AC19)/10)</f>
        <v/>
      </c>
      <c r="AE19" s="72" t="str">
        <f>IFERROR(IF(AE$16="","",AD19/(AE$16/60)),"")</f>
        <v/>
      </c>
      <c r="AH19" s="64" t="str">
        <f>IF(AF19="","",(AF19-AG19)/10)</f>
        <v/>
      </c>
      <c r="AI19" s="72" t="str">
        <f>IFERROR(IF(AI$16="","",AH19/(AI$16/60)),"")</f>
        <v/>
      </c>
      <c r="AL19" s="64" t="str">
        <f>IF(AJ19="","",(AJ19-AK19)/10)</f>
        <v/>
      </c>
      <c r="AM19" s="72" t="str">
        <f>IFERROR(IF(AM$16="","",AL19/(AM$16/60)),"")</f>
        <v/>
      </c>
      <c r="AP19" s="64" t="str">
        <f>IF(AN19="","",(AN19-AO19)/10)</f>
        <v/>
      </c>
      <c r="AQ19" s="72" t="str">
        <f>IFERROR(IF(AQ$16="","",AP19/(AQ$16/60)),"")</f>
        <v/>
      </c>
    </row>
    <row r="20" spans="1:43" x14ac:dyDescent="0.25">
      <c r="A20" s="49">
        <v>-97</v>
      </c>
      <c r="B20" s="50">
        <v>0</v>
      </c>
      <c r="C20" s="38">
        <f t="shared" ref="C20:C83" si="0">(A20^2+B20^2)^(1/2)</f>
        <v>97</v>
      </c>
      <c r="F20" s="1" t="str">
        <f t="shared" ref="F20:F83" si="1">IF(D20="","",(D20-E20)/10)</f>
        <v/>
      </c>
      <c r="G20" s="1" t="str">
        <f t="shared" ref="G20:G83" si="2">IFERROR(IF(G$16="","",F20/(G$16/60)),"")</f>
        <v/>
      </c>
      <c r="J20" s="64" t="str">
        <f t="shared" ref="J20:J83" si="3">IF(H20="","",(H20-I20)/10)</f>
        <v/>
      </c>
      <c r="K20" s="72" t="str">
        <f t="shared" ref="K20:K83" si="4">IFERROR(IF(K$16="","",J20/(K$16/60)),"")</f>
        <v/>
      </c>
      <c r="N20" s="64" t="str">
        <f t="shared" ref="N20:N83" si="5">IF(L20="","",(L20-M20)/10)</f>
        <v/>
      </c>
      <c r="O20" s="72" t="str">
        <f t="shared" ref="O20:O83" si="6">IFERROR(IF(O$16="","",N20/(O$16/60)),"")</f>
        <v/>
      </c>
      <c r="R20" s="64" t="str">
        <f t="shared" ref="R20:R83" si="7">IF(P20="","",(P20-Q20)/10)</f>
        <v/>
      </c>
      <c r="S20" s="72" t="str">
        <f t="shared" ref="S20:S83" si="8">IFERROR(IF(S$16="","",R20/(S$16/60)),"")</f>
        <v/>
      </c>
      <c r="V20" s="64" t="str">
        <f t="shared" ref="V20:V83" si="9">IF(T20="","",(T20-U20)/10)</f>
        <v/>
      </c>
      <c r="W20" s="72" t="str">
        <f t="shared" ref="W20:W83" si="10">IFERROR(IF(W$16="","",V20/(W$16/60)),"")</f>
        <v/>
      </c>
      <c r="Z20" s="64" t="str">
        <f t="shared" ref="Z20:Z83" si="11">IF(X20="","",(X20-Y20)/10)</f>
        <v/>
      </c>
      <c r="AA20" s="72" t="str">
        <f t="shared" ref="AA20:AA83" si="12">IFERROR(IF(AA$16="","",Z20/(AA$16/60)),"")</f>
        <v/>
      </c>
      <c r="AD20" s="64" t="str">
        <f t="shared" ref="AD20:AD83" si="13">IF(AB20="","",(AB20-AC20)/10)</f>
        <v/>
      </c>
      <c r="AE20" s="72" t="str">
        <f t="shared" ref="AE20:AE83" si="14">IFERROR(IF(AE$16="","",AD20/(AE$16/60)),"")</f>
        <v/>
      </c>
      <c r="AH20" s="64" t="str">
        <f t="shared" ref="AH20:AH83" si="15">IF(AF20="","",(AF20-AG20)/10)</f>
        <v/>
      </c>
      <c r="AI20" s="72" t="str">
        <f t="shared" ref="AI20:AI83" si="16">IFERROR(IF(AI$16="","",AH20/(AI$16/60)),"")</f>
        <v/>
      </c>
      <c r="AL20" s="64" t="str">
        <f t="shared" ref="AL20:AL83" si="17">IF(AJ20="","",(AJ20-AK20)/10)</f>
        <v/>
      </c>
      <c r="AM20" s="72" t="str">
        <f t="shared" ref="AM20:AM83" si="18">IFERROR(IF(AM$16="","",AL20/(AM$16/60)),"")</f>
        <v/>
      </c>
      <c r="AP20" s="64" t="str">
        <f t="shared" ref="AP20:AP83" si="19">IF(AN20="","",(AN20-AO20)/10)</f>
        <v/>
      </c>
      <c r="AQ20" s="72" t="str">
        <f t="shared" ref="AQ20:AQ83" si="20">IFERROR(IF(AQ$16="","",AP20/(AQ$16/60)),"")</f>
        <v/>
      </c>
    </row>
    <row r="21" spans="1:43" x14ac:dyDescent="0.25">
      <c r="A21" s="49">
        <v>-96</v>
      </c>
      <c r="B21" s="50">
        <v>0</v>
      </c>
      <c r="C21" s="38">
        <f t="shared" si="0"/>
        <v>96</v>
      </c>
      <c r="F21" s="1" t="str">
        <f t="shared" si="1"/>
        <v/>
      </c>
      <c r="G21" s="1" t="str">
        <f t="shared" si="2"/>
        <v/>
      </c>
      <c r="J21" s="64" t="str">
        <f t="shared" si="3"/>
        <v/>
      </c>
      <c r="K21" s="72" t="str">
        <f t="shared" si="4"/>
        <v/>
      </c>
      <c r="N21" s="64" t="str">
        <f t="shared" si="5"/>
        <v/>
      </c>
      <c r="O21" s="72" t="str">
        <f t="shared" si="6"/>
        <v/>
      </c>
      <c r="R21" s="64" t="str">
        <f t="shared" si="7"/>
        <v/>
      </c>
      <c r="S21" s="72" t="str">
        <f t="shared" si="8"/>
        <v/>
      </c>
      <c r="V21" s="64" t="str">
        <f t="shared" si="9"/>
        <v/>
      </c>
      <c r="W21" s="72" t="str">
        <f t="shared" si="10"/>
        <v/>
      </c>
      <c r="Z21" s="64" t="str">
        <f t="shared" si="11"/>
        <v/>
      </c>
      <c r="AA21" s="72" t="str">
        <f t="shared" si="12"/>
        <v/>
      </c>
      <c r="AD21" s="64" t="str">
        <f t="shared" si="13"/>
        <v/>
      </c>
      <c r="AE21" s="72" t="str">
        <f t="shared" si="14"/>
        <v/>
      </c>
      <c r="AH21" s="64" t="str">
        <f t="shared" si="15"/>
        <v/>
      </c>
      <c r="AI21" s="72" t="str">
        <f t="shared" si="16"/>
        <v/>
      </c>
      <c r="AL21" s="64" t="str">
        <f t="shared" si="17"/>
        <v/>
      </c>
      <c r="AM21" s="72" t="str">
        <f t="shared" si="18"/>
        <v/>
      </c>
      <c r="AP21" s="64" t="str">
        <f t="shared" si="19"/>
        <v/>
      </c>
      <c r="AQ21" s="72" t="str">
        <f t="shared" si="20"/>
        <v/>
      </c>
    </row>
    <row r="22" spans="1:43" x14ac:dyDescent="0.25">
      <c r="A22" s="49">
        <v>-95</v>
      </c>
      <c r="B22" s="50">
        <v>0</v>
      </c>
      <c r="C22" s="38">
        <f t="shared" si="0"/>
        <v>95</v>
      </c>
      <c r="F22" s="1" t="str">
        <f t="shared" si="1"/>
        <v/>
      </c>
      <c r="G22" s="1" t="str">
        <f t="shared" si="2"/>
        <v/>
      </c>
      <c r="J22" s="64" t="str">
        <f t="shared" si="3"/>
        <v/>
      </c>
      <c r="K22" s="72" t="str">
        <f t="shared" si="4"/>
        <v/>
      </c>
      <c r="N22" s="64" t="str">
        <f t="shared" si="5"/>
        <v/>
      </c>
      <c r="O22" s="72" t="str">
        <f t="shared" si="6"/>
        <v/>
      </c>
      <c r="R22" s="64" t="str">
        <f t="shared" si="7"/>
        <v/>
      </c>
      <c r="S22" s="72" t="str">
        <f t="shared" si="8"/>
        <v/>
      </c>
      <c r="V22" s="64" t="str">
        <f t="shared" si="9"/>
        <v/>
      </c>
      <c r="W22" s="72" t="str">
        <f t="shared" si="10"/>
        <v/>
      </c>
      <c r="Z22" s="64" t="str">
        <f t="shared" si="11"/>
        <v/>
      </c>
      <c r="AA22" s="72" t="str">
        <f t="shared" si="12"/>
        <v/>
      </c>
      <c r="AD22" s="64" t="str">
        <f t="shared" si="13"/>
        <v/>
      </c>
      <c r="AE22" s="72" t="str">
        <f t="shared" si="14"/>
        <v/>
      </c>
      <c r="AH22" s="64" t="str">
        <f t="shared" si="15"/>
        <v/>
      </c>
      <c r="AI22" s="72" t="str">
        <f t="shared" si="16"/>
        <v/>
      </c>
      <c r="AL22" s="64" t="str">
        <f t="shared" si="17"/>
        <v/>
      </c>
      <c r="AM22" s="72" t="str">
        <f t="shared" si="18"/>
        <v/>
      </c>
      <c r="AP22" s="64" t="str">
        <f t="shared" si="19"/>
        <v/>
      </c>
      <c r="AQ22" s="72" t="str">
        <f t="shared" si="20"/>
        <v/>
      </c>
    </row>
    <row r="23" spans="1:43" x14ac:dyDescent="0.25">
      <c r="A23" s="49">
        <v>-94</v>
      </c>
      <c r="B23" s="50">
        <v>0</v>
      </c>
      <c r="C23" s="38">
        <f t="shared" si="0"/>
        <v>94</v>
      </c>
      <c r="F23" s="1" t="str">
        <f t="shared" si="1"/>
        <v/>
      </c>
      <c r="G23" s="1" t="str">
        <f t="shared" si="2"/>
        <v/>
      </c>
      <c r="J23" s="64" t="str">
        <f t="shared" si="3"/>
        <v/>
      </c>
      <c r="K23" s="72" t="str">
        <f t="shared" si="4"/>
        <v/>
      </c>
      <c r="N23" s="64" t="str">
        <f t="shared" si="5"/>
        <v/>
      </c>
      <c r="O23" s="72" t="str">
        <f t="shared" si="6"/>
        <v/>
      </c>
      <c r="R23" s="64" t="str">
        <f t="shared" si="7"/>
        <v/>
      </c>
      <c r="S23" s="72" t="str">
        <f t="shared" si="8"/>
        <v/>
      </c>
      <c r="V23" s="64" t="str">
        <f t="shared" si="9"/>
        <v/>
      </c>
      <c r="W23" s="72" t="str">
        <f t="shared" si="10"/>
        <v/>
      </c>
      <c r="Z23" s="64" t="str">
        <f t="shared" si="11"/>
        <v/>
      </c>
      <c r="AA23" s="72" t="str">
        <f t="shared" si="12"/>
        <v/>
      </c>
      <c r="AD23" s="64" t="str">
        <f t="shared" si="13"/>
        <v/>
      </c>
      <c r="AE23" s="72" t="str">
        <f t="shared" si="14"/>
        <v/>
      </c>
      <c r="AH23" s="64" t="str">
        <f t="shared" si="15"/>
        <v/>
      </c>
      <c r="AI23" s="72" t="str">
        <f t="shared" si="16"/>
        <v/>
      </c>
      <c r="AL23" s="64" t="str">
        <f t="shared" si="17"/>
        <v/>
      </c>
      <c r="AM23" s="72" t="str">
        <f t="shared" si="18"/>
        <v/>
      </c>
      <c r="AP23" s="64" t="str">
        <f t="shared" si="19"/>
        <v/>
      </c>
      <c r="AQ23" s="72" t="str">
        <f t="shared" si="20"/>
        <v/>
      </c>
    </row>
    <row r="24" spans="1:43" x14ac:dyDescent="0.25">
      <c r="A24" s="49">
        <v>-92</v>
      </c>
      <c r="B24" s="50">
        <v>0</v>
      </c>
      <c r="C24" s="38">
        <f t="shared" si="0"/>
        <v>92</v>
      </c>
      <c r="F24" s="1" t="str">
        <f t="shared" si="1"/>
        <v/>
      </c>
      <c r="G24" s="1" t="str">
        <f t="shared" si="2"/>
        <v/>
      </c>
      <c r="J24" s="64" t="str">
        <f t="shared" si="3"/>
        <v/>
      </c>
      <c r="K24" s="72" t="str">
        <f t="shared" si="4"/>
        <v/>
      </c>
      <c r="N24" s="64" t="str">
        <f t="shared" si="5"/>
        <v/>
      </c>
      <c r="O24" s="72" t="str">
        <f t="shared" si="6"/>
        <v/>
      </c>
      <c r="R24" s="64" t="str">
        <f t="shared" si="7"/>
        <v/>
      </c>
      <c r="S24" s="72" t="str">
        <f t="shared" si="8"/>
        <v/>
      </c>
      <c r="V24" s="64" t="str">
        <f t="shared" si="9"/>
        <v/>
      </c>
      <c r="W24" s="72" t="str">
        <f t="shared" si="10"/>
        <v/>
      </c>
      <c r="Z24" s="64" t="str">
        <f t="shared" si="11"/>
        <v/>
      </c>
      <c r="AA24" s="72" t="str">
        <f t="shared" si="12"/>
        <v/>
      </c>
      <c r="AD24" s="64" t="str">
        <f t="shared" si="13"/>
        <v/>
      </c>
      <c r="AE24" s="72" t="str">
        <f t="shared" si="14"/>
        <v/>
      </c>
      <c r="AH24" s="64" t="str">
        <f t="shared" si="15"/>
        <v/>
      </c>
      <c r="AI24" s="72" t="str">
        <f t="shared" si="16"/>
        <v/>
      </c>
      <c r="AL24" s="64" t="str">
        <f t="shared" si="17"/>
        <v/>
      </c>
      <c r="AM24" s="72" t="str">
        <f t="shared" si="18"/>
        <v/>
      </c>
      <c r="AP24" s="64" t="str">
        <f t="shared" si="19"/>
        <v/>
      </c>
      <c r="AQ24" s="72" t="str">
        <f t="shared" si="20"/>
        <v/>
      </c>
    </row>
    <row r="25" spans="1:43" x14ac:dyDescent="0.25">
      <c r="A25" s="49">
        <v>-90</v>
      </c>
      <c r="B25" s="50">
        <v>0</v>
      </c>
      <c r="C25" s="38">
        <f t="shared" si="0"/>
        <v>90</v>
      </c>
      <c r="F25" s="1" t="str">
        <f t="shared" si="1"/>
        <v/>
      </c>
      <c r="G25" s="1" t="str">
        <f t="shared" si="2"/>
        <v/>
      </c>
      <c r="J25" s="64" t="str">
        <f t="shared" si="3"/>
        <v/>
      </c>
      <c r="K25" s="72" t="str">
        <f t="shared" si="4"/>
        <v/>
      </c>
      <c r="N25" s="64" t="str">
        <f t="shared" si="5"/>
        <v/>
      </c>
      <c r="O25" s="72" t="str">
        <f t="shared" si="6"/>
        <v/>
      </c>
      <c r="R25" s="64" t="str">
        <f t="shared" si="7"/>
        <v/>
      </c>
      <c r="S25" s="72" t="str">
        <f t="shared" si="8"/>
        <v/>
      </c>
      <c r="V25" s="64" t="str">
        <f t="shared" si="9"/>
        <v/>
      </c>
      <c r="W25" s="72" t="str">
        <f t="shared" si="10"/>
        <v/>
      </c>
      <c r="Z25" s="64" t="str">
        <f t="shared" si="11"/>
        <v/>
      </c>
      <c r="AA25" s="72" t="str">
        <f t="shared" si="12"/>
        <v/>
      </c>
      <c r="AD25" s="64" t="str">
        <f t="shared" si="13"/>
        <v/>
      </c>
      <c r="AE25" s="72" t="str">
        <f t="shared" si="14"/>
        <v/>
      </c>
      <c r="AH25" s="64" t="str">
        <f t="shared" si="15"/>
        <v/>
      </c>
      <c r="AI25" s="72" t="str">
        <f t="shared" si="16"/>
        <v/>
      </c>
      <c r="AL25" s="64" t="str">
        <f t="shared" si="17"/>
        <v/>
      </c>
      <c r="AM25" s="72" t="str">
        <f t="shared" si="18"/>
        <v/>
      </c>
      <c r="AP25" s="64" t="str">
        <f t="shared" si="19"/>
        <v/>
      </c>
      <c r="AQ25" s="72" t="str">
        <f t="shared" si="20"/>
        <v/>
      </c>
    </row>
    <row r="26" spans="1:43" x14ac:dyDescent="0.25">
      <c r="A26" s="49">
        <v>-85</v>
      </c>
      <c r="B26" s="50">
        <v>0</v>
      </c>
      <c r="C26" s="38">
        <f t="shared" si="0"/>
        <v>85</v>
      </c>
      <c r="F26" s="1" t="str">
        <f t="shared" si="1"/>
        <v/>
      </c>
      <c r="G26" s="1" t="str">
        <f t="shared" si="2"/>
        <v/>
      </c>
      <c r="J26" s="64" t="str">
        <f t="shared" si="3"/>
        <v/>
      </c>
      <c r="K26" s="72" t="str">
        <f t="shared" si="4"/>
        <v/>
      </c>
      <c r="N26" s="64" t="str">
        <f t="shared" si="5"/>
        <v/>
      </c>
      <c r="O26" s="72" t="str">
        <f t="shared" si="6"/>
        <v/>
      </c>
      <c r="R26" s="64" t="str">
        <f t="shared" si="7"/>
        <v/>
      </c>
      <c r="S26" s="72" t="str">
        <f t="shared" si="8"/>
        <v/>
      </c>
      <c r="V26" s="64" t="str">
        <f t="shared" si="9"/>
        <v/>
      </c>
      <c r="W26" s="72" t="str">
        <f t="shared" si="10"/>
        <v/>
      </c>
      <c r="Z26" s="64" t="str">
        <f t="shared" si="11"/>
        <v/>
      </c>
      <c r="AA26" s="72" t="str">
        <f t="shared" si="12"/>
        <v/>
      </c>
      <c r="AD26" s="64" t="str">
        <f t="shared" si="13"/>
        <v/>
      </c>
      <c r="AE26" s="72" t="str">
        <f t="shared" si="14"/>
        <v/>
      </c>
      <c r="AH26" s="64" t="str">
        <f t="shared" si="15"/>
        <v/>
      </c>
      <c r="AI26" s="72" t="str">
        <f t="shared" si="16"/>
        <v/>
      </c>
      <c r="AL26" s="64" t="str">
        <f t="shared" si="17"/>
        <v/>
      </c>
      <c r="AM26" s="72" t="str">
        <f t="shared" si="18"/>
        <v/>
      </c>
      <c r="AP26" s="64" t="str">
        <f t="shared" si="19"/>
        <v/>
      </c>
      <c r="AQ26" s="72" t="str">
        <f t="shared" si="20"/>
        <v/>
      </c>
    </row>
    <row r="27" spans="1:43" x14ac:dyDescent="0.25">
      <c r="A27" s="49">
        <v>-80</v>
      </c>
      <c r="B27" s="50">
        <v>0</v>
      </c>
      <c r="C27" s="38">
        <f t="shared" si="0"/>
        <v>80</v>
      </c>
      <c r="F27" s="1" t="str">
        <f t="shared" si="1"/>
        <v/>
      </c>
      <c r="G27" s="1" t="str">
        <f t="shared" si="2"/>
        <v/>
      </c>
      <c r="J27" s="64" t="str">
        <f t="shared" si="3"/>
        <v/>
      </c>
      <c r="K27" s="72" t="str">
        <f t="shared" si="4"/>
        <v/>
      </c>
      <c r="N27" s="64" t="str">
        <f t="shared" si="5"/>
        <v/>
      </c>
      <c r="O27" s="72" t="str">
        <f t="shared" si="6"/>
        <v/>
      </c>
      <c r="R27" s="64" t="str">
        <f t="shared" si="7"/>
        <v/>
      </c>
      <c r="S27" s="72" t="str">
        <f t="shared" si="8"/>
        <v/>
      </c>
      <c r="V27" s="64" t="str">
        <f t="shared" si="9"/>
        <v/>
      </c>
      <c r="W27" s="72" t="str">
        <f t="shared" si="10"/>
        <v/>
      </c>
      <c r="Z27" s="64" t="str">
        <f t="shared" si="11"/>
        <v/>
      </c>
      <c r="AA27" s="72" t="str">
        <f t="shared" si="12"/>
        <v/>
      </c>
      <c r="AD27" s="64" t="str">
        <f t="shared" si="13"/>
        <v/>
      </c>
      <c r="AE27" s="72" t="str">
        <f t="shared" si="14"/>
        <v/>
      </c>
      <c r="AH27" s="64" t="str">
        <f t="shared" si="15"/>
        <v/>
      </c>
      <c r="AI27" s="72" t="str">
        <f t="shared" si="16"/>
        <v/>
      </c>
      <c r="AL27" s="64" t="str">
        <f t="shared" si="17"/>
        <v/>
      </c>
      <c r="AM27" s="72" t="str">
        <f t="shared" si="18"/>
        <v/>
      </c>
      <c r="AP27" s="64" t="str">
        <f t="shared" si="19"/>
        <v/>
      </c>
      <c r="AQ27" s="72" t="str">
        <f t="shared" si="20"/>
        <v/>
      </c>
    </row>
    <row r="28" spans="1:43" x14ac:dyDescent="0.25">
      <c r="A28" s="49">
        <v>-75</v>
      </c>
      <c r="B28" s="50">
        <v>0</v>
      </c>
      <c r="C28" s="38">
        <f t="shared" si="0"/>
        <v>75</v>
      </c>
      <c r="F28" s="1" t="str">
        <f t="shared" si="1"/>
        <v/>
      </c>
      <c r="G28" s="1" t="str">
        <f t="shared" si="2"/>
        <v/>
      </c>
      <c r="J28" s="64" t="str">
        <f t="shared" si="3"/>
        <v/>
      </c>
      <c r="K28" s="72" t="str">
        <f t="shared" si="4"/>
        <v/>
      </c>
      <c r="N28" s="64" t="str">
        <f t="shared" si="5"/>
        <v/>
      </c>
      <c r="O28" s="72" t="str">
        <f t="shared" si="6"/>
        <v/>
      </c>
      <c r="R28" s="64" t="str">
        <f t="shared" si="7"/>
        <v/>
      </c>
      <c r="S28" s="72" t="str">
        <f t="shared" si="8"/>
        <v/>
      </c>
      <c r="V28" s="64" t="str">
        <f t="shared" si="9"/>
        <v/>
      </c>
      <c r="W28" s="72" t="str">
        <f t="shared" si="10"/>
        <v/>
      </c>
      <c r="Z28" s="64" t="str">
        <f t="shared" si="11"/>
        <v/>
      </c>
      <c r="AA28" s="72" t="str">
        <f t="shared" si="12"/>
        <v/>
      </c>
      <c r="AD28" s="64" t="str">
        <f t="shared" si="13"/>
        <v/>
      </c>
      <c r="AE28" s="72" t="str">
        <f t="shared" si="14"/>
        <v/>
      </c>
      <c r="AH28" s="64" t="str">
        <f t="shared" si="15"/>
        <v/>
      </c>
      <c r="AI28" s="72" t="str">
        <f t="shared" si="16"/>
        <v/>
      </c>
      <c r="AL28" s="64" t="str">
        <f t="shared" si="17"/>
        <v/>
      </c>
      <c r="AM28" s="72" t="str">
        <f t="shared" si="18"/>
        <v/>
      </c>
      <c r="AP28" s="64" t="str">
        <f t="shared" si="19"/>
        <v/>
      </c>
      <c r="AQ28" s="72" t="str">
        <f t="shared" si="20"/>
        <v/>
      </c>
    </row>
    <row r="29" spans="1:43" x14ac:dyDescent="0.25">
      <c r="A29" s="49">
        <v>-70</v>
      </c>
      <c r="B29" s="50">
        <v>0</v>
      </c>
      <c r="C29" s="38">
        <f t="shared" si="0"/>
        <v>70</v>
      </c>
      <c r="F29" s="1" t="str">
        <f t="shared" si="1"/>
        <v/>
      </c>
      <c r="G29" s="1" t="str">
        <f t="shared" si="2"/>
        <v/>
      </c>
      <c r="J29" s="64" t="str">
        <f t="shared" si="3"/>
        <v/>
      </c>
      <c r="K29" s="72" t="str">
        <f t="shared" si="4"/>
        <v/>
      </c>
      <c r="N29" s="64" t="str">
        <f t="shared" si="5"/>
        <v/>
      </c>
      <c r="O29" s="72" t="str">
        <f t="shared" si="6"/>
        <v/>
      </c>
      <c r="R29" s="64" t="str">
        <f t="shared" si="7"/>
        <v/>
      </c>
      <c r="S29" s="72" t="str">
        <f t="shared" si="8"/>
        <v/>
      </c>
      <c r="V29" s="64" t="str">
        <f t="shared" si="9"/>
        <v/>
      </c>
      <c r="W29" s="72" t="str">
        <f t="shared" si="10"/>
        <v/>
      </c>
      <c r="Z29" s="64" t="str">
        <f t="shared" si="11"/>
        <v/>
      </c>
      <c r="AA29" s="72" t="str">
        <f t="shared" si="12"/>
        <v/>
      </c>
      <c r="AD29" s="64" t="str">
        <f t="shared" si="13"/>
        <v/>
      </c>
      <c r="AE29" s="72" t="str">
        <f t="shared" si="14"/>
        <v/>
      </c>
      <c r="AH29" s="64" t="str">
        <f t="shared" si="15"/>
        <v/>
      </c>
      <c r="AI29" s="72" t="str">
        <f t="shared" si="16"/>
        <v/>
      </c>
      <c r="AL29" s="64" t="str">
        <f t="shared" si="17"/>
        <v/>
      </c>
      <c r="AM29" s="72" t="str">
        <f t="shared" si="18"/>
        <v/>
      </c>
      <c r="AP29" s="64" t="str">
        <f t="shared" si="19"/>
        <v/>
      </c>
      <c r="AQ29" s="72" t="str">
        <f t="shared" si="20"/>
        <v/>
      </c>
    </row>
    <row r="30" spans="1:43" x14ac:dyDescent="0.25">
      <c r="A30" s="49">
        <v>-65</v>
      </c>
      <c r="B30" s="50">
        <v>0</v>
      </c>
      <c r="C30" s="38">
        <f t="shared" si="0"/>
        <v>65</v>
      </c>
      <c r="F30" s="1" t="str">
        <f t="shared" si="1"/>
        <v/>
      </c>
      <c r="G30" s="1" t="str">
        <f t="shared" si="2"/>
        <v/>
      </c>
      <c r="J30" s="64" t="str">
        <f t="shared" si="3"/>
        <v/>
      </c>
      <c r="K30" s="72" t="str">
        <f t="shared" si="4"/>
        <v/>
      </c>
      <c r="N30" s="64" t="str">
        <f t="shared" si="5"/>
        <v/>
      </c>
      <c r="O30" s="72" t="str">
        <f t="shared" si="6"/>
        <v/>
      </c>
      <c r="R30" s="64" t="str">
        <f t="shared" si="7"/>
        <v/>
      </c>
      <c r="S30" s="72" t="str">
        <f t="shared" si="8"/>
        <v/>
      </c>
      <c r="V30" s="64" t="str">
        <f t="shared" si="9"/>
        <v/>
      </c>
      <c r="W30" s="72" t="str">
        <f t="shared" si="10"/>
        <v/>
      </c>
      <c r="Z30" s="64" t="str">
        <f t="shared" si="11"/>
        <v/>
      </c>
      <c r="AA30" s="72" t="str">
        <f t="shared" si="12"/>
        <v/>
      </c>
      <c r="AD30" s="64" t="str">
        <f t="shared" si="13"/>
        <v/>
      </c>
      <c r="AE30" s="72" t="str">
        <f t="shared" si="14"/>
        <v/>
      </c>
      <c r="AH30" s="64" t="str">
        <f t="shared" si="15"/>
        <v/>
      </c>
      <c r="AI30" s="72" t="str">
        <f t="shared" si="16"/>
        <v/>
      </c>
      <c r="AL30" s="64" t="str">
        <f t="shared" si="17"/>
        <v/>
      </c>
      <c r="AM30" s="72" t="str">
        <f t="shared" si="18"/>
        <v/>
      </c>
      <c r="AP30" s="64" t="str">
        <f t="shared" si="19"/>
        <v/>
      </c>
      <c r="AQ30" s="72" t="str">
        <f t="shared" si="20"/>
        <v/>
      </c>
    </row>
    <row r="31" spans="1:43" x14ac:dyDescent="0.25">
      <c r="A31" s="49">
        <v>-60</v>
      </c>
      <c r="B31" s="50">
        <v>0</v>
      </c>
      <c r="C31" s="38">
        <f t="shared" si="0"/>
        <v>60</v>
      </c>
      <c r="F31" s="1" t="str">
        <f t="shared" si="1"/>
        <v/>
      </c>
      <c r="G31" s="1" t="str">
        <f t="shared" si="2"/>
        <v/>
      </c>
      <c r="J31" s="64" t="str">
        <f t="shared" si="3"/>
        <v/>
      </c>
      <c r="K31" s="72" t="str">
        <f t="shared" si="4"/>
        <v/>
      </c>
      <c r="N31" s="64" t="str">
        <f t="shared" si="5"/>
        <v/>
      </c>
      <c r="O31" s="72" t="str">
        <f t="shared" si="6"/>
        <v/>
      </c>
      <c r="R31" s="64" t="str">
        <f t="shared" si="7"/>
        <v/>
      </c>
      <c r="S31" s="72" t="str">
        <f t="shared" si="8"/>
        <v/>
      </c>
      <c r="V31" s="64" t="str">
        <f t="shared" si="9"/>
        <v/>
      </c>
      <c r="W31" s="72" t="str">
        <f t="shared" si="10"/>
        <v/>
      </c>
      <c r="Z31" s="64" t="str">
        <f t="shared" si="11"/>
        <v/>
      </c>
      <c r="AA31" s="72" t="str">
        <f t="shared" si="12"/>
        <v/>
      </c>
      <c r="AD31" s="64" t="str">
        <f t="shared" si="13"/>
        <v/>
      </c>
      <c r="AE31" s="72" t="str">
        <f t="shared" si="14"/>
        <v/>
      </c>
      <c r="AH31" s="64" t="str">
        <f t="shared" si="15"/>
        <v/>
      </c>
      <c r="AI31" s="72" t="str">
        <f t="shared" si="16"/>
        <v/>
      </c>
      <c r="AL31" s="64" t="str">
        <f t="shared" si="17"/>
        <v/>
      </c>
      <c r="AM31" s="72" t="str">
        <f t="shared" si="18"/>
        <v/>
      </c>
      <c r="AP31" s="64" t="str">
        <f t="shared" si="19"/>
        <v/>
      </c>
      <c r="AQ31" s="72" t="str">
        <f t="shared" si="20"/>
        <v/>
      </c>
    </row>
    <row r="32" spans="1:43" x14ac:dyDescent="0.25">
      <c r="A32" s="49">
        <v>-55</v>
      </c>
      <c r="B32" s="50">
        <v>0</v>
      </c>
      <c r="C32" s="38">
        <f t="shared" si="0"/>
        <v>55</v>
      </c>
      <c r="F32" s="1" t="str">
        <f t="shared" si="1"/>
        <v/>
      </c>
      <c r="G32" s="1" t="str">
        <f t="shared" si="2"/>
        <v/>
      </c>
      <c r="J32" s="64" t="str">
        <f t="shared" si="3"/>
        <v/>
      </c>
      <c r="K32" s="72" t="str">
        <f t="shared" si="4"/>
        <v/>
      </c>
      <c r="N32" s="64" t="str">
        <f t="shared" si="5"/>
        <v/>
      </c>
      <c r="O32" s="72" t="str">
        <f t="shared" si="6"/>
        <v/>
      </c>
      <c r="R32" s="64" t="str">
        <f t="shared" si="7"/>
        <v/>
      </c>
      <c r="S32" s="72" t="str">
        <f t="shared" si="8"/>
        <v/>
      </c>
      <c r="V32" s="64" t="str">
        <f t="shared" si="9"/>
        <v/>
      </c>
      <c r="W32" s="72" t="str">
        <f t="shared" si="10"/>
        <v/>
      </c>
      <c r="Z32" s="64" t="str">
        <f t="shared" si="11"/>
        <v/>
      </c>
      <c r="AA32" s="72" t="str">
        <f t="shared" si="12"/>
        <v/>
      </c>
      <c r="AD32" s="64" t="str">
        <f t="shared" si="13"/>
        <v/>
      </c>
      <c r="AE32" s="72" t="str">
        <f t="shared" si="14"/>
        <v/>
      </c>
      <c r="AH32" s="64" t="str">
        <f t="shared" si="15"/>
        <v/>
      </c>
      <c r="AI32" s="72" t="str">
        <f t="shared" si="16"/>
        <v/>
      </c>
      <c r="AL32" s="64" t="str">
        <f t="shared" si="17"/>
        <v/>
      </c>
      <c r="AM32" s="72" t="str">
        <f t="shared" si="18"/>
        <v/>
      </c>
      <c r="AP32" s="64" t="str">
        <f t="shared" si="19"/>
        <v/>
      </c>
      <c r="AQ32" s="72" t="str">
        <f t="shared" si="20"/>
        <v/>
      </c>
    </row>
    <row r="33" spans="1:43" x14ac:dyDescent="0.25">
      <c r="A33" s="49">
        <v>-50</v>
      </c>
      <c r="B33" s="50">
        <v>0</v>
      </c>
      <c r="C33" s="38">
        <f t="shared" si="0"/>
        <v>50</v>
      </c>
      <c r="F33" s="1" t="str">
        <f t="shared" si="1"/>
        <v/>
      </c>
      <c r="G33" s="1" t="str">
        <f t="shared" si="2"/>
        <v/>
      </c>
      <c r="J33" s="64" t="str">
        <f t="shared" si="3"/>
        <v/>
      </c>
      <c r="K33" s="72" t="str">
        <f t="shared" si="4"/>
        <v/>
      </c>
      <c r="N33" s="64" t="str">
        <f t="shared" si="5"/>
        <v/>
      </c>
      <c r="O33" s="72" t="str">
        <f t="shared" si="6"/>
        <v/>
      </c>
      <c r="R33" s="64" t="str">
        <f t="shared" si="7"/>
        <v/>
      </c>
      <c r="S33" s="72" t="str">
        <f t="shared" si="8"/>
        <v/>
      </c>
      <c r="V33" s="64" t="str">
        <f t="shared" si="9"/>
        <v/>
      </c>
      <c r="W33" s="72" t="str">
        <f t="shared" si="10"/>
        <v/>
      </c>
      <c r="Z33" s="64" t="str">
        <f t="shared" si="11"/>
        <v/>
      </c>
      <c r="AA33" s="72" t="str">
        <f t="shared" si="12"/>
        <v/>
      </c>
      <c r="AD33" s="64" t="str">
        <f t="shared" si="13"/>
        <v/>
      </c>
      <c r="AE33" s="72" t="str">
        <f t="shared" si="14"/>
        <v/>
      </c>
      <c r="AH33" s="64" t="str">
        <f t="shared" si="15"/>
        <v/>
      </c>
      <c r="AI33" s="72" t="str">
        <f t="shared" si="16"/>
        <v/>
      </c>
      <c r="AL33" s="64" t="str">
        <f t="shared" si="17"/>
        <v/>
      </c>
      <c r="AM33" s="72" t="str">
        <f t="shared" si="18"/>
        <v/>
      </c>
      <c r="AP33" s="64" t="str">
        <f t="shared" si="19"/>
        <v/>
      </c>
      <c r="AQ33" s="72" t="str">
        <f t="shared" si="20"/>
        <v/>
      </c>
    </row>
    <row r="34" spans="1:43" x14ac:dyDescent="0.25">
      <c r="A34" s="49">
        <v>-45</v>
      </c>
      <c r="B34" s="50">
        <v>0</v>
      </c>
      <c r="C34" s="38">
        <f t="shared" si="0"/>
        <v>45</v>
      </c>
      <c r="F34" s="1" t="str">
        <f t="shared" si="1"/>
        <v/>
      </c>
      <c r="G34" s="1" t="str">
        <f t="shared" si="2"/>
        <v/>
      </c>
      <c r="J34" s="64" t="str">
        <f t="shared" si="3"/>
        <v/>
      </c>
      <c r="K34" s="72" t="str">
        <f t="shared" si="4"/>
        <v/>
      </c>
      <c r="N34" s="64" t="str">
        <f t="shared" si="5"/>
        <v/>
      </c>
      <c r="O34" s="72" t="str">
        <f t="shared" si="6"/>
        <v/>
      </c>
      <c r="R34" s="64" t="str">
        <f t="shared" si="7"/>
        <v/>
      </c>
      <c r="S34" s="72" t="str">
        <f t="shared" si="8"/>
        <v/>
      </c>
      <c r="V34" s="64" t="str">
        <f t="shared" si="9"/>
        <v/>
      </c>
      <c r="W34" s="72" t="str">
        <f t="shared" si="10"/>
        <v/>
      </c>
      <c r="Z34" s="64" t="str">
        <f t="shared" si="11"/>
        <v/>
      </c>
      <c r="AA34" s="72" t="str">
        <f t="shared" si="12"/>
        <v/>
      </c>
      <c r="AD34" s="64" t="str">
        <f t="shared" si="13"/>
        <v/>
      </c>
      <c r="AE34" s="72" t="str">
        <f t="shared" si="14"/>
        <v/>
      </c>
      <c r="AH34" s="64" t="str">
        <f t="shared" si="15"/>
        <v/>
      </c>
      <c r="AI34" s="72" t="str">
        <f t="shared" si="16"/>
        <v/>
      </c>
      <c r="AL34" s="64" t="str">
        <f t="shared" si="17"/>
        <v/>
      </c>
      <c r="AM34" s="72" t="str">
        <f t="shared" si="18"/>
        <v/>
      </c>
      <c r="AP34" s="64" t="str">
        <f t="shared" si="19"/>
        <v/>
      </c>
      <c r="AQ34" s="72" t="str">
        <f t="shared" si="20"/>
        <v/>
      </c>
    </row>
    <row r="35" spans="1:43" x14ac:dyDescent="0.25">
      <c r="A35" s="49">
        <v>-40</v>
      </c>
      <c r="B35" s="50">
        <v>0</v>
      </c>
      <c r="C35" s="38">
        <f t="shared" si="0"/>
        <v>40</v>
      </c>
      <c r="F35" s="1" t="str">
        <f t="shared" si="1"/>
        <v/>
      </c>
      <c r="G35" s="1" t="str">
        <f t="shared" si="2"/>
        <v/>
      </c>
      <c r="J35" s="64" t="str">
        <f t="shared" si="3"/>
        <v/>
      </c>
      <c r="K35" s="72" t="str">
        <f t="shared" si="4"/>
        <v/>
      </c>
      <c r="N35" s="64" t="str">
        <f t="shared" si="5"/>
        <v/>
      </c>
      <c r="O35" s="72" t="str">
        <f t="shared" si="6"/>
        <v/>
      </c>
      <c r="R35" s="64" t="str">
        <f t="shared" si="7"/>
        <v/>
      </c>
      <c r="S35" s="72" t="str">
        <f t="shared" si="8"/>
        <v/>
      </c>
      <c r="V35" s="64" t="str">
        <f t="shared" si="9"/>
        <v/>
      </c>
      <c r="W35" s="72" t="str">
        <f t="shared" si="10"/>
        <v/>
      </c>
      <c r="Z35" s="64" t="str">
        <f t="shared" si="11"/>
        <v/>
      </c>
      <c r="AA35" s="72" t="str">
        <f t="shared" si="12"/>
        <v/>
      </c>
      <c r="AD35" s="64" t="str">
        <f t="shared" si="13"/>
        <v/>
      </c>
      <c r="AE35" s="72" t="str">
        <f t="shared" si="14"/>
        <v/>
      </c>
      <c r="AH35" s="64" t="str">
        <f t="shared" si="15"/>
        <v/>
      </c>
      <c r="AI35" s="72" t="str">
        <f t="shared" si="16"/>
        <v/>
      </c>
      <c r="AL35" s="64" t="str">
        <f t="shared" si="17"/>
        <v/>
      </c>
      <c r="AM35" s="72" t="str">
        <f t="shared" si="18"/>
        <v/>
      </c>
      <c r="AP35" s="64" t="str">
        <f t="shared" si="19"/>
        <v/>
      </c>
      <c r="AQ35" s="72" t="str">
        <f t="shared" si="20"/>
        <v/>
      </c>
    </row>
    <row r="36" spans="1:43" x14ac:dyDescent="0.25">
      <c r="A36" s="49">
        <v>-35</v>
      </c>
      <c r="B36" s="50">
        <v>0</v>
      </c>
      <c r="C36" s="38">
        <f t="shared" si="0"/>
        <v>35</v>
      </c>
      <c r="F36" s="1" t="str">
        <f t="shared" si="1"/>
        <v/>
      </c>
      <c r="G36" s="1" t="str">
        <f t="shared" si="2"/>
        <v/>
      </c>
      <c r="J36" s="64" t="str">
        <f t="shared" si="3"/>
        <v/>
      </c>
      <c r="K36" s="72" t="str">
        <f t="shared" si="4"/>
        <v/>
      </c>
      <c r="N36" s="64" t="str">
        <f t="shared" si="5"/>
        <v/>
      </c>
      <c r="O36" s="72" t="str">
        <f t="shared" si="6"/>
        <v/>
      </c>
      <c r="R36" s="64" t="str">
        <f t="shared" si="7"/>
        <v/>
      </c>
      <c r="S36" s="72" t="str">
        <f t="shared" si="8"/>
        <v/>
      </c>
      <c r="V36" s="64" t="str">
        <f t="shared" si="9"/>
        <v/>
      </c>
      <c r="W36" s="72" t="str">
        <f t="shared" si="10"/>
        <v/>
      </c>
      <c r="Z36" s="64" t="str">
        <f t="shared" si="11"/>
        <v/>
      </c>
      <c r="AA36" s="72" t="str">
        <f t="shared" si="12"/>
        <v/>
      </c>
      <c r="AD36" s="64" t="str">
        <f t="shared" si="13"/>
        <v/>
      </c>
      <c r="AE36" s="72" t="str">
        <f t="shared" si="14"/>
        <v/>
      </c>
      <c r="AH36" s="64" t="str">
        <f t="shared" si="15"/>
        <v/>
      </c>
      <c r="AI36" s="72" t="str">
        <f t="shared" si="16"/>
        <v/>
      </c>
      <c r="AL36" s="64" t="str">
        <f t="shared" si="17"/>
        <v/>
      </c>
      <c r="AM36" s="72" t="str">
        <f t="shared" si="18"/>
        <v/>
      </c>
      <c r="AP36" s="64" t="str">
        <f t="shared" si="19"/>
        <v/>
      </c>
      <c r="AQ36" s="72" t="str">
        <f t="shared" si="20"/>
        <v/>
      </c>
    </row>
    <row r="37" spans="1:43" x14ac:dyDescent="0.25">
      <c r="A37" s="49">
        <v>-30</v>
      </c>
      <c r="B37" s="50">
        <v>0</v>
      </c>
      <c r="C37" s="38">
        <f t="shared" si="0"/>
        <v>30</v>
      </c>
      <c r="F37" s="1" t="str">
        <f t="shared" si="1"/>
        <v/>
      </c>
      <c r="G37" s="1" t="str">
        <f t="shared" si="2"/>
        <v/>
      </c>
      <c r="J37" s="64" t="str">
        <f t="shared" si="3"/>
        <v/>
      </c>
      <c r="K37" s="72" t="str">
        <f t="shared" si="4"/>
        <v/>
      </c>
      <c r="N37" s="64" t="str">
        <f t="shared" si="5"/>
        <v/>
      </c>
      <c r="O37" s="72" t="str">
        <f t="shared" si="6"/>
        <v/>
      </c>
      <c r="R37" s="64" t="str">
        <f t="shared" si="7"/>
        <v/>
      </c>
      <c r="S37" s="72" t="str">
        <f t="shared" si="8"/>
        <v/>
      </c>
      <c r="V37" s="64" t="str">
        <f t="shared" si="9"/>
        <v/>
      </c>
      <c r="W37" s="72" t="str">
        <f t="shared" si="10"/>
        <v/>
      </c>
      <c r="Z37" s="64" t="str">
        <f t="shared" si="11"/>
        <v/>
      </c>
      <c r="AA37" s="72" t="str">
        <f t="shared" si="12"/>
        <v/>
      </c>
      <c r="AD37" s="64" t="str">
        <f t="shared" si="13"/>
        <v/>
      </c>
      <c r="AE37" s="72" t="str">
        <f t="shared" si="14"/>
        <v/>
      </c>
      <c r="AH37" s="64" t="str">
        <f t="shared" si="15"/>
        <v/>
      </c>
      <c r="AI37" s="72" t="str">
        <f t="shared" si="16"/>
        <v/>
      </c>
      <c r="AL37" s="64" t="str">
        <f t="shared" si="17"/>
        <v/>
      </c>
      <c r="AM37" s="72" t="str">
        <f t="shared" si="18"/>
        <v/>
      </c>
      <c r="AP37" s="64" t="str">
        <f t="shared" si="19"/>
        <v/>
      </c>
      <c r="AQ37" s="72" t="str">
        <f t="shared" si="20"/>
        <v/>
      </c>
    </row>
    <row r="38" spans="1:43" x14ac:dyDescent="0.25">
      <c r="A38" s="49">
        <v>-25</v>
      </c>
      <c r="B38" s="50">
        <v>0</v>
      </c>
      <c r="C38" s="38">
        <f t="shared" si="0"/>
        <v>25</v>
      </c>
      <c r="F38" s="1" t="str">
        <f t="shared" si="1"/>
        <v/>
      </c>
      <c r="G38" s="1" t="str">
        <f t="shared" si="2"/>
        <v/>
      </c>
      <c r="J38" s="64" t="str">
        <f t="shared" si="3"/>
        <v/>
      </c>
      <c r="K38" s="72" t="str">
        <f t="shared" si="4"/>
        <v/>
      </c>
      <c r="N38" s="64" t="str">
        <f t="shared" si="5"/>
        <v/>
      </c>
      <c r="O38" s="72" t="str">
        <f t="shared" si="6"/>
        <v/>
      </c>
      <c r="R38" s="64" t="str">
        <f t="shared" si="7"/>
        <v/>
      </c>
      <c r="S38" s="72" t="str">
        <f t="shared" si="8"/>
        <v/>
      </c>
      <c r="V38" s="64" t="str">
        <f t="shared" si="9"/>
        <v/>
      </c>
      <c r="W38" s="72" t="str">
        <f t="shared" si="10"/>
        <v/>
      </c>
      <c r="Z38" s="64" t="str">
        <f t="shared" si="11"/>
        <v/>
      </c>
      <c r="AA38" s="72" t="str">
        <f t="shared" si="12"/>
        <v/>
      </c>
      <c r="AD38" s="64" t="str">
        <f t="shared" si="13"/>
        <v/>
      </c>
      <c r="AE38" s="72" t="str">
        <f t="shared" si="14"/>
        <v/>
      </c>
      <c r="AH38" s="64" t="str">
        <f t="shared" si="15"/>
        <v/>
      </c>
      <c r="AI38" s="72" t="str">
        <f t="shared" si="16"/>
        <v/>
      </c>
      <c r="AL38" s="64" t="str">
        <f t="shared" si="17"/>
        <v/>
      </c>
      <c r="AM38" s="72" t="str">
        <f t="shared" si="18"/>
        <v/>
      </c>
      <c r="AP38" s="64" t="str">
        <f t="shared" si="19"/>
        <v/>
      </c>
      <c r="AQ38" s="72" t="str">
        <f t="shared" si="20"/>
        <v/>
      </c>
    </row>
    <row r="39" spans="1:43" x14ac:dyDescent="0.25">
      <c r="A39" s="49">
        <v>-20</v>
      </c>
      <c r="B39" s="50">
        <v>0</v>
      </c>
      <c r="C39" s="38">
        <f t="shared" si="0"/>
        <v>20</v>
      </c>
      <c r="F39" s="1" t="str">
        <f t="shared" si="1"/>
        <v/>
      </c>
      <c r="G39" s="1" t="str">
        <f t="shared" si="2"/>
        <v/>
      </c>
      <c r="J39" s="64" t="str">
        <f t="shared" si="3"/>
        <v/>
      </c>
      <c r="K39" s="72" t="str">
        <f t="shared" si="4"/>
        <v/>
      </c>
      <c r="N39" s="64" t="str">
        <f t="shared" si="5"/>
        <v/>
      </c>
      <c r="O39" s="72" t="str">
        <f t="shared" si="6"/>
        <v/>
      </c>
      <c r="R39" s="64" t="str">
        <f t="shared" si="7"/>
        <v/>
      </c>
      <c r="S39" s="72" t="str">
        <f t="shared" si="8"/>
        <v/>
      </c>
      <c r="V39" s="64" t="str">
        <f t="shared" si="9"/>
        <v/>
      </c>
      <c r="W39" s="72" t="str">
        <f t="shared" si="10"/>
        <v/>
      </c>
      <c r="Z39" s="64" t="str">
        <f t="shared" si="11"/>
        <v/>
      </c>
      <c r="AA39" s="72" t="str">
        <f t="shared" si="12"/>
        <v/>
      </c>
      <c r="AD39" s="64" t="str">
        <f t="shared" si="13"/>
        <v/>
      </c>
      <c r="AE39" s="72" t="str">
        <f t="shared" si="14"/>
        <v/>
      </c>
      <c r="AH39" s="64" t="str">
        <f t="shared" si="15"/>
        <v/>
      </c>
      <c r="AI39" s="72" t="str">
        <f t="shared" si="16"/>
        <v/>
      </c>
      <c r="AL39" s="64" t="str">
        <f t="shared" si="17"/>
        <v/>
      </c>
      <c r="AM39" s="72" t="str">
        <f t="shared" si="18"/>
        <v/>
      </c>
      <c r="AP39" s="64" t="str">
        <f t="shared" si="19"/>
        <v/>
      </c>
      <c r="AQ39" s="72" t="str">
        <f t="shared" si="20"/>
        <v/>
      </c>
    </row>
    <row r="40" spans="1:43" x14ac:dyDescent="0.25">
      <c r="A40" s="49">
        <v>-15</v>
      </c>
      <c r="B40" s="50">
        <v>0</v>
      </c>
      <c r="C40" s="38">
        <f t="shared" si="0"/>
        <v>15</v>
      </c>
      <c r="F40" s="1" t="str">
        <f t="shared" si="1"/>
        <v/>
      </c>
      <c r="G40" s="1" t="str">
        <f t="shared" si="2"/>
        <v/>
      </c>
      <c r="J40" s="64" t="str">
        <f t="shared" si="3"/>
        <v/>
      </c>
      <c r="K40" s="72" t="str">
        <f t="shared" si="4"/>
        <v/>
      </c>
      <c r="N40" s="64" t="str">
        <f t="shared" si="5"/>
        <v/>
      </c>
      <c r="O40" s="72" t="str">
        <f t="shared" si="6"/>
        <v/>
      </c>
      <c r="R40" s="64" t="str">
        <f t="shared" si="7"/>
        <v/>
      </c>
      <c r="S40" s="72" t="str">
        <f t="shared" si="8"/>
        <v/>
      </c>
      <c r="V40" s="64" t="str">
        <f t="shared" si="9"/>
        <v/>
      </c>
      <c r="W40" s="72" t="str">
        <f t="shared" si="10"/>
        <v/>
      </c>
      <c r="Z40" s="64" t="str">
        <f t="shared" si="11"/>
        <v/>
      </c>
      <c r="AA40" s="72" t="str">
        <f t="shared" si="12"/>
        <v/>
      </c>
      <c r="AD40" s="64" t="str">
        <f t="shared" si="13"/>
        <v/>
      </c>
      <c r="AE40" s="72" t="str">
        <f t="shared" si="14"/>
        <v/>
      </c>
      <c r="AH40" s="64" t="str">
        <f t="shared" si="15"/>
        <v/>
      </c>
      <c r="AI40" s="72" t="str">
        <f t="shared" si="16"/>
        <v/>
      </c>
      <c r="AL40" s="64" t="str">
        <f t="shared" si="17"/>
        <v/>
      </c>
      <c r="AM40" s="72" t="str">
        <f t="shared" si="18"/>
        <v/>
      </c>
      <c r="AP40" s="64" t="str">
        <f t="shared" si="19"/>
        <v/>
      </c>
      <c r="AQ40" s="72" t="str">
        <f t="shared" si="20"/>
        <v/>
      </c>
    </row>
    <row r="41" spans="1:43" x14ac:dyDescent="0.25">
      <c r="A41" s="49">
        <v>-10</v>
      </c>
      <c r="B41" s="50">
        <v>0</v>
      </c>
      <c r="C41" s="38">
        <f t="shared" si="0"/>
        <v>10</v>
      </c>
      <c r="F41" s="1" t="str">
        <f t="shared" si="1"/>
        <v/>
      </c>
      <c r="G41" s="1" t="str">
        <f t="shared" si="2"/>
        <v/>
      </c>
      <c r="J41" s="64" t="str">
        <f t="shared" si="3"/>
        <v/>
      </c>
      <c r="K41" s="72" t="str">
        <f t="shared" si="4"/>
        <v/>
      </c>
      <c r="N41" s="64" t="str">
        <f t="shared" si="5"/>
        <v/>
      </c>
      <c r="O41" s="72" t="str">
        <f t="shared" si="6"/>
        <v/>
      </c>
      <c r="R41" s="64" t="str">
        <f t="shared" si="7"/>
        <v/>
      </c>
      <c r="S41" s="72" t="str">
        <f t="shared" si="8"/>
        <v/>
      </c>
      <c r="V41" s="64" t="str">
        <f t="shared" si="9"/>
        <v/>
      </c>
      <c r="W41" s="72" t="str">
        <f t="shared" si="10"/>
        <v/>
      </c>
      <c r="Z41" s="64" t="str">
        <f t="shared" si="11"/>
        <v/>
      </c>
      <c r="AA41" s="72" t="str">
        <f t="shared" si="12"/>
        <v/>
      </c>
      <c r="AD41" s="64" t="str">
        <f t="shared" si="13"/>
        <v/>
      </c>
      <c r="AE41" s="72" t="str">
        <f t="shared" si="14"/>
        <v/>
      </c>
      <c r="AH41" s="64" t="str">
        <f t="shared" si="15"/>
        <v/>
      </c>
      <c r="AI41" s="72" t="str">
        <f t="shared" si="16"/>
        <v/>
      </c>
      <c r="AL41" s="64" t="str">
        <f t="shared" si="17"/>
        <v/>
      </c>
      <c r="AM41" s="72" t="str">
        <f t="shared" si="18"/>
        <v/>
      </c>
      <c r="AP41" s="64" t="str">
        <f t="shared" si="19"/>
        <v/>
      </c>
      <c r="AQ41" s="72" t="str">
        <f t="shared" si="20"/>
        <v/>
      </c>
    </row>
    <row r="42" spans="1:43" x14ac:dyDescent="0.25">
      <c r="A42" s="49">
        <v>-5</v>
      </c>
      <c r="B42" s="50">
        <v>0</v>
      </c>
      <c r="C42" s="38">
        <f t="shared" si="0"/>
        <v>5</v>
      </c>
      <c r="F42" s="1" t="str">
        <f t="shared" si="1"/>
        <v/>
      </c>
      <c r="G42" s="1" t="str">
        <f t="shared" si="2"/>
        <v/>
      </c>
      <c r="J42" s="64" t="str">
        <f t="shared" si="3"/>
        <v/>
      </c>
      <c r="K42" s="72" t="str">
        <f t="shared" si="4"/>
        <v/>
      </c>
      <c r="N42" s="64" t="str">
        <f t="shared" si="5"/>
        <v/>
      </c>
      <c r="O42" s="72" t="str">
        <f t="shared" si="6"/>
        <v/>
      </c>
      <c r="R42" s="64" t="str">
        <f t="shared" si="7"/>
        <v/>
      </c>
      <c r="S42" s="72" t="str">
        <f t="shared" si="8"/>
        <v/>
      </c>
      <c r="V42" s="64" t="str">
        <f t="shared" si="9"/>
        <v/>
      </c>
      <c r="W42" s="72" t="str">
        <f t="shared" si="10"/>
        <v/>
      </c>
      <c r="Z42" s="64" t="str">
        <f t="shared" si="11"/>
        <v/>
      </c>
      <c r="AA42" s="72" t="str">
        <f t="shared" si="12"/>
        <v/>
      </c>
      <c r="AD42" s="64" t="str">
        <f t="shared" si="13"/>
        <v/>
      </c>
      <c r="AE42" s="72" t="str">
        <f t="shared" si="14"/>
        <v/>
      </c>
      <c r="AH42" s="64" t="str">
        <f t="shared" si="15"/>
        <v/>
      </c>
      <c r="AI42" s="72" t="str">
        <f t="shared" si="16"/>
        <v/>
      </c>
      <c r="AL42" s="64" t="str">
        <f t="shared" si="17"/>
        <v/>
      </c>
      <c r="AM42" s="72" t="str">
        <f t="shared" si="18"/>
        <v/>
      </c>
      <c r="AP42" s="64" t="str">
        <f t="shared" si="19"/>
        <v/>
      </c>
      <c r="AQ42" s="72" t="str">
        <f t="shared" si="20"/>
        <v/>
      </c>
    </row>
    <row r="43" spans="1:43" x14ac:dyDescent="0.25">
      <c r="A43" s="49">
        <v>0</v>
      </c>
      <c r="B43" s="50">
        <v>0</v>
      </c>
      <c r="C43" s="38">
        <f t="shared" si="0"/>
        <v>0</v>
      </c>
      <c r="F43" s="1" t="str">
        <f t="shared" si="1"/>
        <v/>
      </c>
      <c r="G43" s="1" t="str">
        <f t="shared" si="2"/>
        <v/>
      </c>
      <c r="J43" s="64" t="str">
        <f t="shared" si="3"/>
        <v/>
      </c>
      <c r="K43" s="72" t="str">
        <f t="shared" si="4"/>
        <v/>
      </c>
      <c r="N43" s="64" t="str">
        <f t="shared" si="5"/>
        <v/>
      </c>
      <c r="O43" s="72" t="str">
        <f t="shared" si="6"/>
        <v/>
      </c>
      <c r="R43" s="64" t="str">
        <f t="shared" si="7"/>
        <v/>
      </c>
      <c r="S43" s="72" t="str">
        <f t="shared" si="8"/>
        <v/>
      </c>
      <c r="V43" s="64" t="str">
        <f t="shared" si="9"/>
        <v/>
      </c>
      <c r="W43" s="72" t="str">
        <f t="shared" si="10"/>
        <v/>
      </c>
      <c r="Z43" s="64" t="str">
        <f t="shared" si="11"/>
        <v/>
      </c>
      <c r="AA43" s="72" t="str">
        <f t="shared" si="12"/>
        <v/>
      </c>
      <c r="AD43" s="64" t="str">
        <f t="shared" si="13"/>
        <v/>
      </c>
      <c r="AE43" s="72" t="str">
        <f t="shared" si="14"/>
        <v/>
      </c>
      <c r="AH43" s="64" t="str">
        <f t="shared" si="15"/>
        <v/>
      </c>
      <c r="AI43" s="72" t="str">
        <f t="shared" si="16"/>
        <v/>
      </c>
      <c r="AL43" s="64" t="str">
        <f t="shared" si="17"/>
        <v/>
      </c>
      <c r="AM43" s="72" t="str">
        <f t="shared" si="18"/>
        <v/>
      </c>
      <c r="AP43" s="64" t="str">
        <f t="shared" si="19"/>
        <v/>
      </c>
      <c r="AQ43" s="72" t="str">
        <f t="shared" si="20"/>
        <v/>
      </c>
    </row>
    <row r="44" spans="1:43" x14ac:dyDescent="0.25">
      <c r="A44" s="49">
        <v>5</v>
      </c>
      <c r="B44" s="50">
        <v>0</v>
      </c>
      <c r="C44" s="38">
        <f t="shared" si="0"/>
        <v>5</v>
      </c>
      <c r="F44" s="1" t="str">
        <f t="shared" si="1"/>
        <v/>
      </c>
      <c r="G44" s="1" t="str">
        <f t="shared" si="2"/>
        <v/>
      </c>
      <c r="J44" s="64" t="str">
        <f t="shared" si="3"/>
        <v/>
      </c>
      <c r="K44" s="72" t="str">
        <f t="shared" si="4"/>
        <v/>
      </c>
      <c r="N44" s="64" t="str">
        <f t="shared" si="5"/>
        <v/>
      </c>
      <c r="O44" s="72" t="str">
        <f t="shared" si="6"/>
        <v/>
      </c>
      <c r="R44" s="64" t="str">
        <f t="shared" si="7"/>
        <v/>
      </c>
      <c r="S44" s="72" t="str">
        <f t="shared" si="8"/>
        <v/>
      </c>
      <c r="V44" s="64" t="str">
        <f t="shared" si="9"/>
        <v/>
      </c>
      <c r="W44" s="72" t="str">
        <f t="shared" si="10"/>
        <v/>
      </c>
      <c r="Z44" s="64" t="str">
        <f t="shared" si="11"/>
        <v/>
      </c>
      <c r="AA44" s="72" t="str">
        <f t="shared" si="12"/>
        <v/>
      </c>
      <c r="AD44" s="64" t="str">
        <f t="shared" si="13"/>
        <v/>
      </c>
      <c r="AE44" s="72" t="str">
        <f t="shared" si="14"/>
        <v/>
      </c>
      <c r="AH44" s="64" t="str">
        <f t="shared" si="15"/>
        <v/>
      </c>
      <c r="AI44" s="72" t="str">
        <f t="shared" si="16"/>
        <v/>
      </c>
      <c r="AL44" s="64" t="str">
        <f t="shared" si="17"/>
        <v/>
      </c>
      <c r="AM44" s="72" t="str">
        <f t="shared" si="18"/>
        <v/>
      </c>
      <c r="AP44" s="64" t="str">
        <f t="shared" si="19"/>
        <v/>
      </c>
      <c r="AQ44" s="72" t="str">
        <f t="shared" si="20"/>
        <v/>
      </c>
    </row>
    <row r="45" spans="1:43" x14ac:dyDescent="0.25">
      <c r="A45" s="49">
        <v>10</v>
      </c>
      <c r="B45" s="50">
        <v>0</v>
      </c>
      <c r="C45" s="38">
        <f t="shared" si="0"/>
        <v>10</v>
      </c>
      <c r="F45" s="1" t="str">
        <f t="shared" si="1"/>
        <v/>
      </c>
      <c r="G45" s="1" t="str">
        <f t="shared" si="2"/>
        <v/>
      </c>
      <c r="J45" s="64" t="str">
        <f t="shared" si="3"/>
        <v/>
      </c>
      <c r="K45" s="72" t="str">
        <f t="shared" si="4"/>
        <v/>
      </c>
      <c r="N45" s="64" t="str">
        <f t="shared" si="5"/>
        <v/>
      </c>
      <c r="O45" s="72" t="str">
        <f t="shared" si="6"/>
        <v/>
      </c>
      <c r="R45" s="64" t="str">
        <f t="shared" si="7"/>
        <v/>
      </c>
      <c r="S45" s="72" t="str">
        <f t="shared" si="8"/>
        <v/>
      </c>
      <c r="V45" s="64" t="str">
        <f t="shared" si="9"/>
        <v/>
      </c>
      <c r="W45" s="72" t="str">
        <f t="shared" si="10"/>
        <v/>
      </c>
      <c r="Z45" s="64" t="str">
        <f t="shared" si="11"/>
        <v/>
      </c>
      <c r="AA45" s="72" t="str">
        <f t="shared" si="12"/>
        <v/>
      </c>
      <c r="AD45" s="64" t="str">
        <f t="shared" si="13"/>
        <v/>
      </c>
      <c r="AE45" s="72" t="str">
        <f t="shared" si="14"/>
        <v/>
      </c>
      <c r="AH45" s="64" t="str">
        <f t="shared" si="15"/>
        <v/>
      </c>
      <c r="AI45" s="72" t="str">
        <f t="shared" si="16"/>
        <v/>
      </c>
      <c r="AL45" s="64" t="str">
        <f t="shared" si="17"/>
        <v/>
      </c>
      <c r="AM45" s="72" t="str">
        <f t="shared" si="18"/>
        <v/>
      </c>
      <c r="AP45" s="64" t="str">
        <f t="shared" si="19"/>
        <v/>
      </c>
      <c r="AQ45" s="72" t="str">
        <f t="shared" si="20"/>
        <v/>
      </c>
    </row>
    <row r="46" spans="1:43" x14ac:dyDescent="0.25">
      <c r="A46" s="49">
        <v>15</v>
      </c>
      <c r="B46" s="50">
        <v>0</v>
      </c>
      <c r="C46" s="38">
        <f t="shared" si="0"/>
        <v>15</v>
      </c>
      <c r="F46" s="1" t="str">
        <f t="shared" si="1"/>
        <v/>
      </c>
      <c r="G46" s="1" t="str">
        <f t="shared" si="2"/>
        <v/>
      </c>
      <c r="J46" s="64" t="str">
        <f t="shared" si="3"/>
        <v/>
      </c>
      <c r="K46" s="72" t="str">
        <f t="shared" si="4"/>
        <v/>
      </c>
      <c r="N46" s="64" t="str">
        <f t="shared" si="5"/>
        <v/>
      </c>
      <c r="O46" s="72" t="str">
        <f t="shared" si="6"/>
        <v/>
      </c>
      <c r="R46" s="64" t="str">
        <f t="shared" si="7"/>
        <v/>
      </c>
      <c r="S46" s="72" t="str">
        <f t="shared" si="8"/>
        <v/>
      </c>
      <c r="V46" s="64" t="str">
        <f t="shared" si="9"/>
        <v/>
      </c>
      <c r="W46" s="72" t="str">
        <f t="shared" si="10"/>
        <v/>
      </c>
      <c r="Z46" s="64" t="str">
        <f t="shared" si="11"/>
        <v/>
      </c>
      <c r="AA46" s="72" t="str">
        <f t="shared" si="12"/>
        <v/>
      </c>
      <c r="AD46" s="64" t="str">
        <f t="shared" si="13"/>
        <v/>
      </c>
      <c r="AE46" s="72" t="str">
        <f t="shared" si="14"/>
        <v/>
      </c>
      <c r="AH46" s="64" t="str">
        <f t="shared" si="15"/>
        <v/>
      </c>
      <c r="AI46" s="72" t="str">
        <f t="shared" si="16"/>
        <v/>
      </c>
      <c r="AL46" s="64" t="str">
        <f t="shared" si="17"/>
        <v/>
      </c>
      <c r="AM46" s="72" t="str">
        <f t="shared" si="18"/>
        <v/>
      </c>
      <c r="AP46" s="64" t="str">
        <f t="shared" si="19"/>
        <v/>
      </c>
      <c r="AQ46" s="72" t="str">
        <f t="shared" si="20"/>
        <v/>
      </c>
    </row>
    <row r="47" spans="1:43" x14ac:dyDescent="0.25">
      <c r="A47" s="49">
        <v>20</v>
      </c>
      <c r="B47" s="50">
        <v>0</v>
      </c>
      <c r="C47" s="38">
        <f t="shared" si="0"/>
        <v>20</v>
      </c>
      <c r="F47" s="1" t="str">
        <f t="shared" si="1"/>
        <v/>
      </c>
      <c r="G47" s="1" t="str">
        <f t="shared" si="2"/>
        <v/>
      </c>
      <c r="J47" s="64" t="str">
        <f t="shared" si="3"/>
        <v/>
      </c>
      <c r="K47" s="72" t="str">
        <f t="shared" si="4"/>
        <v/>
      </c>
      <c r="N47" s="64" t="str">
        <f t="shared" si="5"/>
        <v/>
      </c>
      <c r="O47" s="72" t="str">
        <f t="shared" si="6"/>
        <v/>
      </c>
      <c r="R47" s="64" t="str">
        <f t="shared" si="7"/>
        <v/>
      </c>
      <c r="S47" s="72" t="str">
        <f t="shared" si="8"/>
        <v/>
      </c>
      <c r="V47" s="64" t="str">
        <f t="shared" si="9"/>
        <v/>
      </c>
      <c r="W47" s="72" t="str">
        <f t="shared" si="10"/>
        <v/>
      </c>
      <c r="Z47" s="64" t="str">
        <f t="shared" si="11"/>
        <v/>
      </c>
      <c r="AA47" s="72" t="str">
        <f t="shared" si="12"/>
        <v/>
      </c>
      <c r="AD47" s="64" t="str">
        <f t="shared" si="13"/>
        <v/>
      </c>
      <c r="AE47" s="72" t="str">
        <f t="shared" si="14"/>
        <v/>
      </c>
      <c r="AH47" s="64" t="str">
        <f t="shared" si="15"/>
        <v/>
      </c>
      <c r="AI47" s="72" t="str">
        <f t="shared" si="16"/>
        <v/>
      </c>
      <c r="AL47" s="64" t="str">
        <f t="shared" si="17"/>
        <v/>
      </c>
      <c r="AM47" s="72" t="str">
        <f t="shared" si="18"/>
        <v/>
      </c>
      <c r="AP47" s="64" t="str">
        <f t="shared" si="19"/>
        <v/>
      </c>
      <c r="AQ47" s="72" t="str">
        <f t="shared" si="20"/>
        <v/>
      </c>
    </row>
    <row r="48" spans="1:43" x14ac:dyDescent="0.25">
      <c r="A48" s="49">
        <v>25</v>
      </c>
      <c r="B48" s="50">
        <v>0</v>
      </c>
      <c r="C48" s="38">
        <f t="shared" si="0"/>
        <v>25</v>
      </c>
      <c r="F48" s="1" t="str">
        <f t="shared" si="1"/>
        <v/>
      </c>
      <c r="G48" s="1" t="str">
        <f t="shared" si="2"/>
        <v/>
      </c>
      <c r="J48" s="64" t="str">
        <f t="shared" si="3"/>
        <v/>
      </c>
      <c r="K48" s="72" t="str">
        <f t="shared" si="4"/>
        <v/>
      </c>
      <c r="N48" s="64" t="str">
        <f t="shared" si="5"/>
        <v/>
      </c>
      <c r="O48" s="72" t="str">
        <f t="shared" si="6"/>
        <v/>
      </c>
      <c r="R48" s="64" t="str">
        <f t="shared" si="7"/>
        <v/>
      </c>
      <c r="S48" s="72" t="str">
        <f t="shared" si="8"/>
        <v/>
      </c>
      <c r="V48" s="64" t="str">
        <f t="shared" si="9"/>
        <v/>
      </c>
      <c r="W48" s="72" t="str">
        <f t="shared" si="10"/>
        <v/>
      </c>
      <c r="Z48" s="64" t="str">
        <f t="shared" si="11"/>
        <v/>
      </c>
      <c r="AA48" s="72" t="str">
        <f t="shared" si="12"/>
        <v/>
      </c>
      <c r="AD48" s="64" t="str">
        <f t="shared" si="13"/>
        <v/>
      </c>
      <c r="AE48" s="72" t="str">
        <f t="shared" si="14"/>
        <v/>
      </c>
      <c r="AH48" s="64" t="str">
        <f t="shared" si="15"/>
        <v/>
      </c>
      <c r="AI48" s="72" t="str">
        <f t="shared" si="16"/>
        <v/>
      </c>
      <c r="AL48" s="64" t="str">
        <f t="shared" si="17"/>
        <v/>
      </c>
      <c r="AM48" s="72" t="str">
        <f t="shared" si="18"/>
        <v/>
      </c>
      <c r="AP48" s="64" t="str">
        <f t="shared" si="19"/>
        <v/>
      </c>
      <c r="AQ48" s="72" t="str">
        <f t="shared" si="20"/>
        <v/>
      </c>
    </row>
    <row r="49" spans="1:43" x14ac:dyDescent="0.25">
      <c r="A49" s="49">
        <v>30</v>
      </c>
      <c r="B49" s="50">
        <v>0</v>
      </c>
      <c r="C49" s="38">
        <f t="shared" si="0"/>
        <v>30</v>
      </c>
      <c r="F49" s="1" t="str">
        <f t="shared" si="1"/>
        <v/>
      </c>
      <c r="G49" s="1" t="str">
        <f t="shared" si="2"/>
        <v/>
      </c>
      <c r="J49" s="64" t="str">
        <f t="shared" si="3"/>
        <v/>
      </c>
      <c r="K49" s="72" t="str">
        <f t="shared" si="4"/>
        <v/>
      </c>
      <c r="N49" s="64" t="str">
        <f t="shared" si="5"/>
        <v/>
      </c>
      <c r="O49" s="72" t="str">
        <f t="shared" si="6"/>
        <v/>
      </c>
      <c r="R49" s="64" t="str">
        <f t="shared" si="7"/>
        <v/>
      </c>
      <c r="S49" s="72" t="str">
        <f t="shared" si="8"/>
        <v/>
      </c>
      <c r="V49" s="64" t="str">
        <f t="shared" si="9"/>
        <v/>
      </c>
      <c r="W49" s="72" t="str">
        <f t="shared" si="10"/>
        <v/>
      </c>
      <c r="Z49" s="64" t="str">
        <f t="shared" si="11"/>
        <v/>
      </c>
      <c r="AA49" s="72" t="str">
        <f t="shared" si="12"/>
        <v/>
      </c>
      <c r="AD49" s="64" t="str">
        <f t="shared" si="13"/>
        <v/>
      </c>
      <c r="AE49" s="72" t="str">
        <f t="shared" si="14"/>
        <v/>
      </c>
      <c r="AH49" s="64" t="str">
        <f t="shared" si="15"/>
        <v/>
      </c>
      <c r="AI49" s="72" t="str">
        <f t="shared" si="16"/>
        <v/>
      </c>
      <c r="AL49" s="64" t="str">
        <f t="shared" si="17"/>
        <v/>
      </c>
      <c r="AM49" s="72" t="str">
        <f t="shared" si="18"/>
        <v/>
      </c>
      <c r="AP49" s="64" t="str">
        <f t="shared" si="19"/>
        <v/>
      </c>
      <c r="AQ49" s="72" t="str">
        <f t="shared" si="20"/>
        <v/>
      </c>
    </row>
    <row r="50" spans="1:43" x14ac:dyDescent="0.25">
      <c r="A50" s="49">
        <v>35</v>
      </c>
      <c r="B50" s="50">
        <v>0</v>
      </c>
      <c r="C50" s="38">
        <f t="shared" si="0"/>
        <v>35</v>
      </c>
      <c r="F50" s="1" t="str">
        <f t="shared" si="1"/>
        <v/>
      </c>
      <c r="G50" s="1" t="str">
        <f t="shared" si="2"/>
        <v/>
      </c>
      <c r="J50" s="64" t="str">
        <f t="shared" si="3"/>
        <v/>
      </c>
      <c r="K50" s="72" t="str">
        <f t="shared" si="4"/>
        <v/>
      </c>
      <c r="N50" s="64" t="str">
        <f t="shared" si="5"/>
        <v/>
      </c>
      <c r="O50" s="72" t="str">
        <f t="shared" si="6"/>
        <v/>
      </c>
      <c r="R50" s="64" t="str">
        <f t="shared" si="7"/>
        <v/>
      </c>
      <c r="S50" s="72" t="str">
        <f t="shared" si="8"/>
        <v/>
      </c>
      <c r="V50" s="64" t="str">
        <f t="shared" si="9"/>
        <v/>
      </c>
      <c r="W50" s="72" t="str">
        <f t="shared" si="10"/>
        <v/>
      </c>
      <c r="Z50" s="64" t="str">
        <f t="shared" si="11"/>
        <v/>
      </c>
      <c r="AA50" s="72" t="str">
        <f t="shared" si="12"/>
        <v/>
      </c>
      <c r="AD50" s="64" t="str">
        <f t="shared" si="13"/>
        <v/>
      </c>
      <c r="AE50" s="72" t="str">
        <f t="shared" si="14"/>
        <v/>
      </c>
      <c r="AH50" s="64" t="str">
        <f t="shared" si="15"/>
        <v/>
      </c>
      <c r="AI50" s="72" t="str">
        <f t="shared" si="16"/>
        <v/>
      </c>
      <c r="AL50" s="64" t="str">
        <f t="shared" si="17"/>
        <v/>
      </c>
      <c r="AM50" s="72" t="str">
        <f t="shared" si="18"/>
        <v/>
      </c>
      <c r="AP50" s="64" t="str">
        <f t="shared" si="19"/>
        <v/>
      </c>
      <c r="AQ50" s="72" t="str">
        <f t="shared" si="20"/>
        <v/>
      </c>
    </row>
    <row r="51" spans="1:43" x14ac:dyDescent="0.25">
      <c r="A51" s="49">
        <v>40</v>
      </c>
      <c r="B51" s="50">
        <v>0</v>
      </c>
      <c r="C51" s="38">
        <f t="shared" si="0"/>
        <v>40</v>
      </c>
      <c r="F51" s="1" t="str">
        <f t="shared" si="1"/>
        <v/>
      </c>
      <c r="G51" s="1" t="str">
        <f t="shared" si="2"/>
        <v/>
      </c>
      <c r="J51" s="64" t="str">
        <f t="shared" si="3"/>
        <v/>
      </c>
      <c r="K51" s="72" t="str">
        <f t="shared" si="4"/>
        <v/>
      </c>
      <c r="N51" s="64" t="str">
        <f t="shared" si="5"/>
        <v/>
      </c>
      <c r="O51" s="72" t="str">
        <f t="shared" si="6"/>
        <v/>
      </c>
      <c r="R51" s="64" t="str">
        <f t="shared" si="7"/>
        <v/>
      </c>
      <c r="S51" s="72" t="str">
        <f t="shared" si="8"/>
        <v/>
      </c>
      <c r="V51" s="64" t="str">
        <f t="shared" si="9"/>
        <v/>
      </c>
      <c r="W51" s="72" t="str">
        <f t="shared" si="10"/>
        <v/>
      </c>
      <c r="Z51" s="64" t="str">
        <f t="shared" si="11"/>
        <v/>
      </c>
      <c r="AA51" s="72" t="str">
        <f t="shared" si="12"/>
        <v/>
      </c>
      <c r="AD51" s="64" t="str">
        <f t="shared" si="13"/>
        <v/>
      </c>
      <c r="AE51" s="72" t="str">
        <f t="shared" si="14"/>
        <v/>
      </c>
      <c r="AH51" s="64" t="str">
        <f t="shared" si="15"/>
        <v/>
      </c>
      <c r="AI51" s="72" t="str">
        <f t="shared" si="16"/>
        <v/>
      </c>
      <c r="AL51" s="64" t="str">
        <f t="shared" si="17"/>
        <v/>
      </c>
      <c r="AM51" s="72" t="str">
        <f t="shared" si="18"/>
        <v/>
      </c>
      <c r="AP51" s="64" t="str">
        <f t="shared" si="19"/>
        <v/>
      </c>
      <c r="AQ51" s="72" t="str">
        <f t="shared" si="20"/>
        <v/>
      </c>
    </row>
    <row r="52" spans="1:43" x14ac:dyDescent="0.25">
      <c r="A52" s="49">
        <v>45</v>
      </c>
      <c r="B52" s="50">
        <v>0</v>
      </c>
      <c r="C52" s="38">
        <f t="shared" si="0"/>
        <v>45</v>
      </c>
      <c r="F52" s="1" t="str">
        <f t="shared" si="1"/>
        <v/>
      </c>
      <c r="G52" s="1" t="str">
        <f t="shared" si="2"/>
        <v/>
      </c>
      <c r="J52" s="64" t="str">
        <f t="shared" si="3"/>
        <v/>
      </c>
      <c r="K52" s="72" t="str">
        <f t="shared" si="4"/>
        <v/>
      </c>
      <c r="N52" s="64" t="str">
        <f t="shared" si="5"/>
        <v/>
      </c>
      <c r="O52" s="72" t="str">
        <f t="shared" si="6"/>
        <v/>
      </c>
      <c r="R52" s="64" t="str">
        <f t="shared" si="7"/>
        <v/>
      </c>
      <c r="S52" s="72" t="str">
        <f t="shared" si="8"/>
        <v/>
      </c>
      <c r="V52" s="64" t="str">
        <f t="shared" si="9"/>
        <v/>
      </c>
      <c r="W52" s="72" t="str">
        <f t="shared" si="10"/>
        <v/>
      </c>
      <c r="Z52" s="64" t="str">
        <f t="shared" si="11"/>
        <v/>
      </c>
      <c r="AA52" s="72" t="str">
        <f t="shared" si="12"/>
        <v/>
      </c>
      <c r="AD52" s="64" t="str">
        <f t="shared" si="13"/>
        <v/>
      </c>
      <c r="AE52" s="72" t="str">
        <f t="shared" si="14"/>
        <v/>
      </c>
      <c r="AH52" s="64" t="str">
        <f t="shared" si="15"/>
        <v/>
      </c>
      <c r="AI52" s="72" t="str">
        <f t="shared" si="16"/>
        <v/>
      </c>
      <c r="AL52" s="64" t="str">
        <f t="shared" si="17"/>
        <v/>
      </c>
      <c r="AM52" s="72" t="str">
        <f t="shared" si="18"/>
        <v/>
      </c>
      <c r="AP52" s="64" t="str">
        <f t="shared" si="19"/>
        <v/>
      </c>
      <c r="AQ52" s="72" t="str">
        <f t="shared" si="20"/>
        <v/>
      </c>
    </row>
    <row r="53" spans="1:43" x14ac:dyDescent="0.25">
      <c r="A53" s="49">
        <v>50</v>
      </c>
      <c r="B53" s="50">
        <v>0</v>
      </c>
      <c r="C53" s="38">
        <f t="shared" si="0"/>
        <v>50</v>
      </c>
      <c r="F53" s="1" t="str">
        <f t="shared" si="1"/>
        <v/>
      </c>
      <c r="G53" s="1" t="str">
        <f t="shared" si="2"/>
        <v/>
      </c>
      <c r="J53" s="64" t="str">
        <f t="shared" si="3"/>
        <v/>
      </c>
      <c r="K53" s="72" t="str">
        <f t="shared" si="4"/>
        <v/>
      </c>
      <c r="N53" s="64" t="str">
        <f t="shared" si="5"/>
        <v/>
      </c>
      <c r="O53" s="72" t="str">
        <f t="shared" si="6"/>
        <v/>
      </c>
      <c r="R53" s="64" t="str">
        <f t="shared" si="7"/>
        <v/>
      </c>
      <c r="S53" s="72" t="str">
        <f t="shared" si="8"/>
        <v/>
      </c>
      <c r="V53" s="64" t="str">
        <f t="shared" si="9"/>
        <v/>
      </c>
      <c r="W53" s="72" t="str">
        <f t="shared" si="10"/>
        <v/>
      </c>
      <c r="Z53" s="64" t="str">
        <f t="shared" si="11"/>
        <v/>
      </c>
      <c r="AA53" s="72" t="str">
        <f t="shared" si="12"/>
        <v/>
      </c>
      <c r="AD53" s="64" t="str">
        <f t="shared" si="13"/>
        <v/>
      </c>
      <c r="AE53" s="72" t="str">
        <f t="shared" si="14"/>
        <v/>
      </c>
      <c r="AH53" s="64" t="str">
        <f t="shared" si="15"/>
        <v/>
      </c>
      <c r="AI53" s="72" t="str">
        <f t="shared" si="16"/>
        <v/>
      </c>
      <c r="AL53" s="64" t="str">
        <f t="shared" si="17"/>
        <v/>
      </c>
      <c r="AM53" s="72" t="str">
        <f t="shared" si="18"/>
        <v/>
      </c>
      <c r="AP53" s="64" t="str">
        <f t="shared" si="19"/>
        <v/>
      </c>
      <c r="AQ53" s="72" t="str">
        <f t="shared" si="20"/>
        <v/>
      </c>
    </row>
    <row r="54" spans="1:43" x14ac:dyDescent="0.25">
      <c r="A54" s="49">
        <v>55</v>
      </c>
      <c r="B54" s="50">
        <v>0</v>
      </c>
      <c r="C54" s="38">
        <f t="shared" si="0"/>
        <v>55</v>
      </c>
      <c r="F54" s="1" t="str">
        <f t="shared" si="1"/>
        <v/>
      </c>
      <c r="G54" s="1" t="str">
        <f t="shared" si="2"/>
        <v/>
      </c>
      <c r="J54" s="64" t="str">
        <f t="shared" si="3"/>
        <v/>
      </c>
      <c r="K54" s="72" t="str">
        <f t="shared" si="4"/>
        <v/>
      </c>
      <c r="N54" s="64" t="str">
        <f t="shared" si="5"/>
        <v/>
      </c>
      <c r="O54" s="72" t="str">
        <f t="shared" si="6"/>
        <v/>
      </c>
      <c r="R54" s="64" t="str">
        <f t="shared" si="7"/>
        <v/>
      </c>
      <c r="S54" s="72" t="str">
        <f t="shared" si="8"/>
        <v/>
      </c>
      <c r="V54" s="64" t="str">
        <f t="shared" si="9"/>
        <v/>
      </c>
      <c r="W54" s="72" t="str">
        <f t="shared" si="10"/>
        <v/>
      </c>
      <c r="Z54" s="64" t="str">
        <f t="shared" si="11"/>
        <v/>
      </c>
      <c r="AA54" s="72" t="str">
        <f t="shared" si="12"/>
        <v/>
      </c>
      <c r="AD54" s="64" t="str">
        <f t="shared" si="13"/>
        <v/>
      </c>
      <c r="AE54" s="72" t="str">
        <f t="shared" si="14"/>
        <v/>
      </c>
      <c r="AH54" s="64" t="str">
        <f t="shared" si="15"/>
        <v/>
      </c>
      <c r="AI54" s="72" t="str">
        <f t="shared" si="16"/>
        <v/>
      </c>
      <c r="AL54" s="64" t="str">
        <f t="shared" si="17"/>
        <v/>
      </c>
      <c r="AM54" s="72" t="str">
        <f t="shared" si="18"/>
        <v/>
      </c>
      <c r="AP54" s="64" t="str">
        <f t="shared" si="19"/>
        <v/>
      </c>
      <c r="AQ54" s="72" t="str">
        <f t="shared" si="20"/>
        <v/>
      </c>
    </row>
    <row r="55" spans="1:43" x14ac:dyDescent="0.25">
      <c r="A55" s="49">
        <v>60</v>
      </c>
      <c r="B55" s="50">
        <v>0</v>
      </c>
      <c r="C55" s="38">
        <f t="shared" si="0"/>
        <v>60</v>
      </c>
      <c r="F55" s="1" t="str">
        <f t="shared" si="1"/>
        <v/>
      </c>
      <c r="G55" s="1" t="str">
        <f t="shared" si="2"/>
        <v/>
      </c>
      <c r="J55" s="64" t="str">
        <f t="shared" si="3"/>
        <v/>
      </c>
      <c r="K55" s="72" t="str">
        <f t="shared" si="4"/>
        <v/>
      </c>
      <c r="N55" s="64" t="str">
        <f t="shared" si="5"/>
        <v/>
      </c>
      <c r="O55" s="72" t="str">
        <f t="shared" si="6"/>
        <v/>
      </c>
      <c r="R55" s="64" t="str">
        <f t="shared" si="7"/>
        <v/>
      </c>
      <c r="S55" s="72" t="str">
        <f t="shared" si="8"/>
        <v/>
      </c>
      <c r="V55" s="64" t="str">
        <f t="shared" si="9"/>
        <v/>
      </c>
      <c r="W55" s="72" t="str">
        <f t="shared" si="10"/>
        <v/>
      </c>
      <c r="Z55" s="64" t="str">
        <f t="shared" si="11"/>
        <v/>
      </c>
      <c r="AA55" s="72" t="str">
        <f t="shared" si="12"/>
        <v/>
      </c>
      <c r="AD55" s="64" t="str">
        <f t="shared" si="13"/>
        <v/>
      </c>
      <c r="AE55" s="72" t="str">
        <f t="shared" si="14"/>
        <v/>
      </c>
      <c r="AH55" s="64" t="str">
        <f t="shared" si="15"/>
        <v/>
      </c>
      <c r="AI55" s="72" t="str">
        <f t="shared" si="16"/>
        <v/>
      </c>
      <c r="AL55" s="64" t="str">
        <f t="shared" si="17"/>
        <v/>
      </c>
      <c r="AM55" s="72" t="str">
        <f t="shared" si="18"/>
        <v/>
      </c>
      <c r="AP55" s="64" t="str">
        <f t="shared" si="19"/>
        <v/>
      </c>
      <c r="AQ55" s="72" t="str">
        <f t="shared" si="20"/>
        <v/>
      </c>
    </row>
    <row r="56" spans="1:43" x14ac:dyDescent="0.25">
      <c r="A56" s="49">
        <v>65</v>
      </c>
      <c r="B56" s="50">
        <v>0</v>
      </c>
      <c r="C56" s="38">
        <f t="shared" si="0"/>
        <v>65</v>
      </c>
      <c r="F56" s="1" t="str">
        <f t="shared" si="1"/>
        <v/>
      </c>
      <c r="G56" s="1" t="str">
        <f t="shared" si="2"/>
        <v/>
      </c>
      <c r="J56" s="64" t="str">
        <f t="shared" si="3"/>
        <v/>
      </c>
      <c r="K56" s="72" t="str">
        <f t="shared" si="4"/>
        <v/>
      </c>
      <c r="N56" s="64" t="str">
        <f t="shared" si="5"/>
        <v/>
      </c>
      <c r="O56" s="72" t="str">
        <f t="shared" si="6"/>
        <v/>
      </c>
      <c r="R56" s="64" t="str">
        <f t="shared" si="7"/>
        <v/>
      </c>
      <c r="S56" s="72" t="str">
        <f t="shared" si="8"/>
        <v/>
      </c>
      <c r="V56" s="64" t="str">
        <f t="shared" si="9"/>
        <v/>
      </c>
      <c r="W56" s="72" t="str">
        <f t="shared" si="10"/>
        <v/>
      </c>
      <c r="Z56" s="64" t="str">
        <f t="shared" si="11"/>
        <v/>
      </c>
      <c r="AA56" s="72" t="str">
        <f t="shared" si="12"/>
        <v/>
      </c>
      <c r="AD56" s="64" t="str">
        <f t="shared" si="13"/>
        <v/>
      </c>
      <c r="AE56" s="72" t="str">
        <f t="shared" si="14"/>
        <v/>
      </c>
      <c r="AH56" s="64" t="str">
        <f t="shared" si="15"/>
        <v/>
      </c>
      <c r="AI56" s="72" t="str">
        <f t="shared" si="16"/>
        <v/>
      </c>
      <c r="AL56" s="64" t="str">
        <f t="shared" si="17"/>
        <v/>
      </c>
      <c r="AM56" s="72" t="str">
        <f t="shared" si="18"/>
        <v/>
      </c>
      <c r="AP56" s="64" t="str">
        <f t="shared" si="19"/>
        <v/>
      </c>
      <c r="AQ56" s="72" t="str">
        <f t="shared" si="20"/>
        <v/>
      </c>
    </row>
    <row r="57" spans="1:43" x14ac:dyDescent="0.25">
      <c r="A57" s="49">
        <v>70</v>
      </c>
      <c r="B57" s="50">
        <v>0</v>
      </c>
      <c r="C57" s="38">
        <f t="shared" si="0"/>
        <v>70</v>
      </c>
      <c r="F57" s="1" t="str">
        <f t="shared" si="1"/>
        <v/>
      </c>
      <c r="G57" s="1" t="str">
        <f t="shared" si="2"/>
        <v/>
      </c>
      <c r="J57" s="64" t="str">
        <f t="shared" si="3"/>
        <v/>
      </c>
      <c r="K57" s="72" t="str">
        <f t="shared" si="4"/>
        <v/>
      </c>
      <c r="N57" s="64" t="str">
        <f t="shared" si="5"/>
        <v/>
      </c>
      <c r="O57" s="72" t="str">
        <f t="shared" si="6"/>
        <v/>
      </c>
      <c r="R57" s="64" t="str">
        <f t="shared" si="7"/>
        <v/>
      </c>
      <c r="S57" s="72" t="str">
        <f t="shared" si="8"/>
        <v/>
      </c>
      <c r="V57" s="64" t="str">
        <f t="shared" si="9"/>
        <v/>
      </c>
      <c r="W57" s="72" t="str">
        <f t="shared" si="10"/>
        <v/>
      </c>
      <c r="Z57" s="64" t="str">
        <f t="shared" si="11"/>
        <v/>
      </c>
      <c r="AA57" s="72" t="str">
        <f t="shared" si="12"/>
        <v/>
      </c>
      <c r="AD57" s="64" t="str">
        <f t="shared" si="13"/>
        <v/>
      </c>
      <c r="AE57" s="72" t="str">
        <f t="shared" si="14"/>
        <v/>
      </c>
      <c r="AH57" s="64" t="str">
        <f t="shared" si="15"/>
        <v/>
      </c>
      <c r="AI57" s="72" t="str">
        <f t="shared" si="16"/>
        <v/>
      </c>
      <c r="AL57" s="64" t="str">
        <f t="shared" si="17"/>
        <v/>
      </c>
      <c r="AM57" s="72" t="str">
        <f t="shared" si="18"/>
        <v/>
      </c>
      <c r="AP57" s="64" t="str">
        <f t="shared" si="19"/>
        <v/>
      </c>
      <c r="AQ57" s="72" t="str">
        <f t="shared" si="20"/>
        <v/>
      </c>
    </row>
    <row r="58" spans="1:43" x14ac:dyDescent="0.25">
      <c r="A58" s="49">
        <v>75</v>
      </c>
      <c r="B58" s="50">
        <v>0</v>
      </c>
      <c r="C58" s="38">
        <f t="shared" si="0"/>
        <v>75</v>
      </c>
      <c r="F58" s="1" t="str">
        <f t="shared" si="1"/>
        <v/>
      </c>
      <c r="G58" s="1" t="str">
        <f t="shared" si="2"/>
        <v/>
      </c>
      <c r="J58" s="64" t="str">
        <f t="shared" si="3"/>
        <v/>
      </c>
      <c r="K58" s="72" t="str">
        <f t="shared" si="4"/>
        <v/>
      </c>
      <c r="N58" s="64" t="str">
        <f t="shared" si="5"/>
        <v/>
      </c>
      <c r="O58" s="72" t="str">
        <f t="shared" si="6"/>
        <v/>
      </c>
      <c r="R58" s="64" t="str">
        <f t="shared" si="7"/>
        <v/>
      </c>
      <c r="S58" s="72" t="str">
        <f t="shared" si="8"/>
        <v/>
      </c>
      <c r="V58" s="64" t="str">
        <f t="shared" si="9"/>
        <v/>
      </c>
      <c r="W58" s="72" t="str">
        <f t="shared" si="10"/>
        <v/>
      </c>
      <c r="Z58" s="64" t="str">
        <f t="shared" si="11"/>
        <v/>
      </c>
      <c r="AA58" s="72" t="str">
        <f t="shared" si="12"/>
        <v/>
      </c>
      <c r="AD58" s="64" t="str">
        <f t="shared" si="13"/>
        <v/>
      </c>
      <c r="AE58" s="72" t="str">
        <f t="shared" si="14"/>
        <v/>
      </c>
      <c r="AH58" s="64" t="str">
        <f t="shared" si="15"/>
        <v/>
      </c>
      <c r="AI58" s="72" t="str">
        <f t="shared" si="16"/>
        <v/>
      </c>
      <c r="AL58" s="64" t="str">
        <f t="shared" si="17"/>
        <v/>
      </c>
      <c r="AM58" s="72" t="str">
        <f t="shared" si="18"/>
        <v/>
      </c>
      <c r="AP58" s="64" t="str">
        <f t="shared" si="19"/>
        <v/>
      </c>
      <c r="AQ58" s="72" t="str">
        <f t="shared" si="20"/>
        <v/>
      </c>
    </row>
    <row r="59" spans="1:43" x14ac:dyDescent="0.25">
      <c r="A59" s="49">
        <v>80</v>
      </c>
      <c r="B59" s="50">
        <v>0</v>
      </c>
      <c r="C59" s="38">
        <f t="shared" si="0"/>
        <v>80</v>
      </c>
      <c r="F59" s="1" t="str">
        <f t="shared" si="1"/>
        <v/>
      </c>
      <c r="G59" s="1" t="str">
        <f t="shared" si="2"/>
        <v/>
      </c>
      <c r="J59" s="64" t="str">
        <f t="shared" si="3"/>
        <v/>
      </c>
      <c r="K59" s="72" t="str">
        <f t="shared" si="4"/>
        <v/>
      </c>
      <c r="N59" s="64" t="str">
        <f t="shared" si="5"/>
        <v/>
      </c>
      <c r="O59" s="72" t="str">
        <f t="shared" si="6"/>
        <v/>
      </c>
      <c r="R59" s="64" t="str">
        <f t="shared" si="7"/>
        <v/>
      </c>
      <c r="S59" s="72" t="str">
        <f t="shared" si="8"/>
        <v/>
      </c>
      <c r="V59" s="64" t="str">
        <f t="shared" si="9"/>
        <v/>
      </c>
      <c r="W59" s="72" t="str">
        <f t="shared" si="10"/>
        <v/>
      </c>
      <c r="Z59" s="64" t="str">
        <f t="shared" si="11"/>
        <v/>
      </c>
      <c r="AA59" s="72" t="str">
        <f t="shared" si="12"/>
        <v/>
      </c>
      <c r="AD59" s="64" t="str">
        <f t="shared" si="13"/>
        <v/>
      </c>
      <c r="AE59" s="72" t="str">
        <f t="shared" si="14"/>
        <v/>
      </c>
      <c r="AH59" s="64" t="str">
        <f t="shared" si="15"/>
        <v/>
      </c>
      <c r="AI59" s="72" t="str">
        <f t="shared" si="16"/>
        <v/>
      </c>
      <c r="AL59" s="64" t="str">
        <f t="shared" si="17"/>
        <v/>
      </c>
      <c r="AM59" s="72" t="str">
        <f t="shared" si="18"/>
        <v/>
      </c>
      <c r="AP59" s="64" t="str">
        <f t="shared" si="19"/>
        <v/>
      </c>
      <c r="AQ59" s="72" t="str">
        <f t="shared" si="20"/>
        <v/>
      </c>
    </row>
    <row r="60" spans="1:43" x14ac:dyDescent="0.25">
      <c r="A60" s="49">
        <v>85</v>
      </c>
      <c r="B60" s="50">
        <v>0</v>
      </c>
      <c r="C60" s="38">
        <f t="shared" si="0"/>
        <v>85</v>
      </c>
      <c r="F60" s="1" t="str">
        <f t="shared" si="1"/>
        <v/>
      </c>
      <c r="G60" s="1" t="str">
        <f t="shared" si="2"/>
        <v/>
      </c>
      <c r="J60" s="64" t="str">
        <f t="shared" si="3"/>
        <v/>
      </c>
      <c r="K60" s="72" t="str">
        <f t="shared" si="4"/>
        <v/>
      </c>
      <c r="N60" s="64" t="str">
        <f t="shared" si="5"/>
        <v/>
      </c>
      <c r="O60" s="72" t="str">
        <f t="shared" si="6"/>
        <v/>
      </c>
      <c r="R60" s="64" t="str">
        <f t="shared" si="7"/>
        <v/>
      </c>
      <c r="S60" s="72" t="str">
        <f t="shared" si="8"/>
        <v/>
      </c>
      <c r="V60" s="64" t="str">
        <f t="shared" si="9"/>
        <v/>
      </c>
      <c r="W60" s="72" t="str">
        <f t="shared" si="10"/>
        <v/>
      </c>
      <c r="Z60" s="64" t="str">
        <f t="shared" si="11"/>
        <v/>
      </c>
      <c r="AA60" s="72" t="str">
        <f t="shared" si="12"/>
        <v/>
      </c>
      <c r="AD60" s="64" t="str">
        <f t="shared" si="13"/>
        <v/>
      </c>
      <c r="AE60" s="72" t="str">
        <f t="shared" si="14"/>
        <v/>
      </c>
      <c r="AH60" s="64" t="str">
        <f t="shared" si="15"/>
        <v/>
      </c>
      <c r="AI60" s="72" t="str">
        <f t="shared" si="16"/>
        <v/>
      </c>
      <c r="AL60" s="64" t="str">
        <f t="shared" si="17"/>
        <v/>
      </c>
      <c r="AM60" s="72" t="str">
        <f t="shared" si="18"/>
        <v/>
      </c>
      <c r="AP60" s="64" t="str">
        <f t="shared" si="19"/>
        <v/>
      </c>
      <c r="AQ60" s="72" t="str">
        <f t="shared" si="20"/>
        <v/>
      </c>
    </row>
    <row r="61" spans="1:43" x14ac:dyDescent="0.25">
      <c r="A61" s="49">
        <v>90</v>
      </c>
      <c r="B61" s="50">
        <v>0</v>
      </c>
      <c r="C61" s="38">
        <f t="shared" si="0"/>
        <v>90</v>
      </c>
      <c r="F61" s="1" t="str">
        <f t="shared" si="1"/>
        <v/>
      </c>
      <c r="G61" s="1" t="str">
        <f t="shared" si="2"/>
        <v/>
      </c>
      <c r="J61" s="64" t="str">
        <f t="shared" si="3"/>
        <v/>
      </c>
      <c r="K61" s="72" t="str">
        <f t="shared" si="4"/>
        <v/>
      </c>
      <c r="N61" s="64" t="str">
        <f t="shared" si="5"/>
        <v/>
      </c>
      <c r="O61" s="72" t="str">
        <f t="shared" si="6"/>
        <v/>
      </c>
      <c r="R61" s="64" t="str">
        <f t="shared" si="7"/>
        <v/>
      </c>
      <c r="S61" s="72" t="str">
        <f t="shared" si="8"/>
        <v/>
      </c>
      <c r="V61" s="64" t="str">
        <f t="shared" si="9"/>
        <v/>
      </c>
      <c r="W61" s="72" t="str">
        <f t="shared" si="10"/>
        <v/>
      </c>
      <c r="Z61" s="64" t="str">
        <f t="shared" si="11"/>
        <v/>
      </c>
      <c r="AA61" s="72" t="str">
        <f t="shared" si="12"/>
        <v/>
      </c>
      <c r="AD61" s="64" t="str">
        <f t="shared" si="13"/>
        <v/>
      </c>
      <c r="AE61" s="72" t="str">
        <f t="shared" si="14"/>
        <v/>
      </c>
      <c r="AH61" s="64" t="str">
        <f t="shared" si="15"/>
        <v/>
      </c>
      <c r="AI61" s="72" t="str">
        <f t="shared" si="16"/>
        <v/>
      </c>
      <c r="AL61" s="64" t="str">
        <f t="shared" si="17"/>
        <v/>
      </c>
      <c r="AM61" s="72" t="str">
        <f t="shared" si="18"/>
        <v/>
      </c>
      <c r="AP61" s="64" t="str">
        <f t="shared" si="19"/>
        <v/>
      </c>
      <c r="AQ61" s="72" t="str">
        <f t="shared" si="20"/>
        <v/>
      </c>
    </row>
    <row r="62" spans="1:43" x14ac:dyDescent="0.25">
      <c r="A62" s="49">
        <v>92</v>
      </c>
      <c r="B62" s="50">
        <v>0</v>
      </c>
      <c r="C62" s="38">
        <f t="shared" si="0"/>
        <v>92</v>
      </c>
      <c r="F62" s="1" t="str">
        <f t="shared" si="1"/>
        <v/>
      </c>
      <c r="G62" s="1" t="str">
        <f t="shared" si="2"/>
        <v/>
      </c>
      <c r="J62" s="64" t="str">
        <f t="shared" si="3"/>
        <v/>
      </c>
      <c r="K62" s="72" t="str">
        <f t="shared" si="4"/>
        <v/>
      </c>
      <c r="N62" s="64" t="str">
        <f t="shared" si="5"/>
        <v/>
      </c>
      <c r="O62" s="72" t="str">
        <f t="shared" si="6"/>
        <v/>
      </c>
      <c r="R62" s="64" t="str">
        <f t="shared" si="7"/>
        <v/>
      </c>
      <c r="S62" s="72" t="str">
        <f t="shared" si="8"/>
        <v/>
      </c>
      <c r="V62" s="64" t="str">
        <f t="shared" si="9"/>
        <v/>
      </c>
      <c r="W62" s="72" t="str">
        <f t="shared" si="10"/>
        <v/>
      </c>
      <c r="Z62" s="64" t="str">
        <f t="shared" si="11"/>
        <v/>
      </c>
      <c r="AA62" s="72" t="str">
        <f t="shared" si="12"/>
        <v/>
      </c>
      <c r="AD62" s="64" t="str">
        <f t="shared" si="13"/>
        <v/>
      </c>
      <c r="AE62" s="72" t="str">
        <f t="shared" si="14"/>
        <v/>
      </c>
      <c r="AH62" s="64" t="str">
        <f t="shared" si="15"/>
        <v/>
      </c>
      <c r="AI62" s="72" t="str">
        <f t="shared" si="16"/>
        <v/>
      </c>
      <c r="AL62" s="64" t="str">
        <f t="shared" si="17"/>
        <v/>
      </c>
      <c r="AM62" s="72" t="str">
        <f t="shared" si="18"/>
        <v/>
      </c>
      <c r="AP62" s="64" t="str">
        <f t="shared" si="19"/>
        <v/>
      </c>
      <c r="AQ62" s="72" t="str">
        <f t="shared" si="20"/>
        <v/>
      </c>
    </row>
    <row r="63" spans="1:43" x14ac:dyDescent="0.25">
      <c r="A63" s="49">
        <v>94</v>
      </c>
      <c r="B63" s="50">
        <v>0</v>
      </c>
      <c r="C63" s="38">
        <f t="shared" si="0"/>
        <v>94</v>
      </c>
      <c r="F63" s="1" t="str">
        <f t="shared" si="1"/>
        <v/>
      </c>
      <c r="G63" s="1" t="str">
        <f t="shared" si="2"/>
        <v/>
      </c>
      <c r="J63" s="64" t="str">
        <f t="shared" si="3"/>
        <v/>
      </c>
      <c r="K63" s="72" t="str">
        <f t="shared" si="4"/>
        <v/>
      </c>
      <c r="N63" s="64" t="str">
        <f t="shared" si="5"/>
        <v/>
      </c>
      <c r="O63" s="72" t="str">
        <f t="shared" si="6"/>
        <v/>
      </c>
      <c r="R63" s="64" t="str">
        <f t="shared" si="7"/>
        <v/>
      </c>
      <c r="S63" s="72" t="str">
        <f t="shared" si="8"/>
        <v/>
      </c>
      <c r="V63" s="64" t="str">
        <f t="shared" si="9"/>
        <v/>
      </c>
      <c r="W63" s="72" t="str">
        <f t="shared" si="10"/>
        <v/>
      </c>
      <c r="Z63" s="64" t="str">
        <f t="shared" si="11"/>
        <v/>
      </c>
      <c r="AA63" s="72" t="str">
        <f t="shared" si="12"/>
        <v/>
      </c>
      <c r="AD63" s="64" t="str">
        <f t="shared" si="13"/>
        <v/>
      </c>
      <c r="AE63" s="72" t="str">
        <f t="shared" si="14"/>
        <v/>
      </c>
      <c r="AH63" s="64" t="str">
        <f t="shared" si="15"/>
        <v/>
      </c>
      <c r="AI63" s="72" t="str">
        <f t="shared" si="16"/>
        <v/>
      </c>
      <c r="AL63" s="64" t="str">
        <f t="shared" si="17"/>
        <v/>
      </c>
      <c r="AM63" s="72" t="str">
        <f t="shared" si="18"/>
        <v/>
      </c>
      <c r="AP63" s="64" t="str">
        <f t="shared" si="19"/>
        <v/>
      </c>
      <c r="AQ63" s="72" t="str">
        <f t="shared" si="20"/>
        <v/>
      </c>
    </row>
    <row r="64" spans="1:43" x14ac:dyDescent="0.25">
      <c r="A64" s="49">
        <v>95</v>
      </c>
      <c r="B64" s="50">
        <v>0</v>
      </c>
      <c r="C64" s="38">
        <f t="shared" si="0"/>
        <v>95</v>
      </c>
      <c r="F64" s="1" t="str">
        <f t="shared" si="1"/>
        <v/>
      </c>
      <c r="G64" s="1" t="str">
        <f t="shared" si="2"/>
        <v/>
      </c>
      <c r="J64" s="64" t="str">
        <f t="shared" si="3"/>
        <v/>
      </c>
      <c r="K64" s="72" t="str">
        <f t="shared" si="4"/>
        <v/>
      </c>
      <c r="N64" s="64" t="str">
        <f t="shared" si="5"/>
        <v/>
      </c>
      <c r="O64" s="72" t="str">
        <f t="shared" si="6"/>
        <v/>
      </c>
      <c r="R64" s="64" t="str">
        <f t="shared" si="7"/>
        <v/>
      </c>
      <c r="S64" s="72" t="str">
        <f t="shared" si="8"/>
        <v/>
      </c>
      <c r="V64" s="64" t="str">
        <f t="shared" si="9"/>
        <v/>
      </c>
      <c r="W64" s="72" t="str">
        <f t="shared" si="10"/>
        <v/>
      </c>
      <c r="Z64" s="64" t="str">
        <f t="shared" si="11"/>
        <v/>
      </c>
      <c r="AA64" s="72" t="str">
        <f t="shared" si="12"/>
        <v/>
      </c>
      <c r="AD64" s="64" t="str">
        <f t="shared" si="13"/>
        <v/>
      </c>
      <c r="AE64" s="72" t="str">
        <f t="shared" si="14"/>
        <v/>
      </c>
      <c r="AH64" s="64" t="str">
        <f t="shared" si="15"/>
        <v/>
      </c>
      <c r="AI64" s="72" t="str">
        <f t="shared" si="16"/>
        <v/>
      </c>
      <c r="AL64" s="64" t="str">
        <f t="shared" si="17"/>
        <v/>
      </c>
      <c r="AM64" s="72" t="str">
        <f t="shared" si="18"/>
        <v/>
      </c>
      <c r="AP64" s="64" t="str">
        <f t="shared" si="19"/>
        <v/>
      </c>
      <c r="AQ64" s="72" t="str">
        <f t="shared" si="20"/>
        <v/>
      </c>
    </row>
    <row r="65" spans="1:43" x14ac:dyDescent="0.25">
      <c r="A65" s="49">
        <v>96</v>
      </c>
      <c r="B65" s="50">
        <v>0</v>
      </c>
      <c r="C65" s="38">
        <f t="shared" si="0"/>
        <v>96</v>
      </c>
      <c r="F65" s="1" t="str">
        <f t="shared" si="1"/>
        <v/>
      </c>
      <c r="G65" s="1" t="str">
        <f t="shared" si="2"/>
        <v/>
      </c>
      <c r="J65" s="64" t="str">
        <f t="shared" si="3"/>
        <v/>
      </c>
      <c r="K65" s="72" t="str">
        <f t="shared" si="4"/>
        <v/>
      </c>
      <c r="N65" s="64" t="str">
        <f t="shared" si="5"/>
        <v/>
      </c>
      <c r="O65" s="72" t="str">
        <f t="shared" si="6"/>
        <v/>
      </c>
      <c r="R65" s="64" t="str">
        <f t="shared" si="7"/>
        <v/>
      </c>
      <c r="S65" s="72" t="str">
        <f t="shared" si="8"/>
        <v/>
      </c>
      <c r="V65" s="64" t="str">
        <f t="shared" si="9"/>
        <v/>
      </c>
      <c r="W65" s="72" t="str">
        <f t="shared" si="10"/>
        <v/>
      </c>
      <c r="Z65" s="64" t="str">
        <f t="shared" si="11"/>
        <v/>
      </c>
      <c r="AA65" s="72" t="str">
        <f t="shared" si="12"/>
        <v/>
      </c>
      <c r="AD65" s="64" t="str">
        <f t="shared" si="13"/>
        <v/>
      </c>
      <c r="AE65" s="72" t="str">
        <f t="shared" si="14"/>
        <v/>
      </c>
      <c r="AH65" s="64" t="str">
        <f t="shared" si="15"/>
        <v/>
      </c>
      <c r="AI65" s="72" t="str">
        <f t="shared" si="16"/>
        <v/>
      </c>
      <c r="AL65" s="64" t="str">
        <f t="shared" si="17"/>
        <v/>
      </c>
      <c r="AM65" s="72" t="str">
        <f t="shared" si="18"/>
        <v/>
      </c>
      <c r="AP65" s="64" t="str">
        <f t="shared" si="19"/>
        <v/>
      </c>
      <c r="AQ65" s="72" t="str">
        <f t="shared" si="20"/>
        <v/>
      </c>
    </row>
    <row r="66" spans="1:43" x14ac:dyDescent="0.25">
      <c r="A66" s="49">
        <v>97</v>
      </c>
      <c r="B66" s="50">
        <v>0</v>
      </c>
      <c r="C66" s="38">
        <f t="shared" si="0"/>
        <v>97</v>
      </c>
      <c r="F66" s="1" t="str">
        <f t="shared" si="1"/>
        <v/>
      </c>
      <c r="G66" s="1" t="str">
        <f t="shared" si="2"/>
        <v/>
      </c>
      <c r="J66" s="64" t="str">
        <f t="shared" si="3"/>
        <v/>
      </c>
      <c r="K66" s="72" t="str">
        <f t="shared" si="4"/>
        <v/>
      </c>
      <c r="N66" s="64" t="str">
        <f t="shared" si="5"/>
        <v/>
      </c>
      <c r="O66" s="72" t="str">
        <f t="shared" si="6"/>
        <v/>
      </c>
      <c r="R66" s="64" t="str">
        <f t="shared" si="7"/>
        <v/>
      </c>
      <c r="S66" s="72" t="str">
        <f t="shared" si="8"/>
        <v/>
      </c>
      <c r="V66" s="64" t="str">
        <f t="shared" si="9"/>
        <v/>
      </c>
      <c r="W66" s="72" t="str">
        <f t="shared" si="10"/>
        <v/>
      </c>
      <c r="Z66" s="64" t="str">
        <f t="shared" si="11"/>
        <v/>
      </c>
      <c r="AA66" s="72" t="str">
        <f t="shared" si="12"/>
        <v/>
      </c>
      <c r="AD66" s="64" t="str">
        <f t="shared" si="13"/>
        <v/>
      </c>
      <c r="AE66" s="72" t="str">
        <f t="shared" si="14"/>
        <v/>
      </c>
      <c r="AH66" s="64" t="str">
        <f t="shared" si="15"/>
        <v/>
      </c>
      <c r="AI66" s="72" t="str">
        <f t="shared" si="16"/>
        <v/>
      </c>
      <c r="AL66" s="64" t="str">
        <f t="shared" si="17"/>
        <v/>
      </c>
      <c r="AM66" s="72" t="str">
        <f t="shared" si="18"/>
        <v/>
      </c>
      <c r="AP66" s="64" t="str">
        <f t="shared" si="19"/>
        <v/>
      </c>
      <c r="AQ66" s="72" t="str">
        <f t="shared" si="20"/>
        <v/>
      </c>
    </row>
    <row r="67" spans="1:43" x14ac:dyDescent="0.25">
      <c r="A67" s="49">
        <v>98</v>
      </c>
      <c r="B67" s="50">
        <v>0</v>
      </c>
      <c r="C67" s="38">
        <f t="shared" si="0"/>
        <v>98</v>
      </c>
      <c r="F67" s="1" t="str">
        <f t="shared" si="1"/>
        <v/>
      </c>
      <c r="G67" s="1" t="str">
        <f t="shared" si="2"/>
        <v/>
      </c>
      <c r="J67" s="64" t="str">
        <f t="shared" si="3"/>
        <v/>
      </c>
      <c r="K67" s="72" t="str">
        <f t="shared" si="4"/>
        <v/>
      </c>
      <c r="N67" s="64" t="str">
        <f t="shared" si="5"/>
        <v/>
      </c>
      <c r="O67" s="72" t="str">
        <f t="shared" si="6"/>
        <v/>
      </c>
      <c r="R67" s="64" t="str">
        <f t="shared" si="7"/>
        <v/>
      </c>
      <c r="S67" s="72" t="str">
        <f t="shared" si="8"/>
        <v/>
      </c>
      <c r="V67" s="64" t="str">
        <f t="shared" si="9"/>
        <v/>
      </c>
      <c r="W67" s="72" t="str">
        <f t="shared" si="10"/>
        <v/>
      </c>
      <c r="Z67" s="64" t="str">
        <f t="shared" si="11"/>
        <v/>
      </c>
      <c r="AA67" s="72" t="str">
        <f t="shared" si="12"/>
        <v/>
      </c>
      <c r="AD67" s="64" t="str">
        <f t="shared" si="13"/>
        <v/>
      </c>
      <c r="AE67" s="72" t="str">
        <f t="shared" si="14"/>
        <v/>
      </c>
      <c r="AH67" s="64" t="str">
        <f t="shared" si="15"/>
        <v/>
      </c>
      <c r="AI67" s="72" t="str">
        <f t="shared" si="16"/>
        <v/>
      </c>
      <c r="AL67" s="64" t="str">
        <f t="shared" si="17"/>
        <v/>
      </c>
      <c r="AM67" s="72" t="str">
        <f t="shared" si="18"/>
        <v/>
      </c>
      <c r="AP67" s="64" t="str">
        <f t="shared" si="19"/>
        <v/>
      </c>
      <c r="AQ67" s="72" t="str">
        <f t="shared" si="20"/>
        <v/>
      </c>
    </row>
    <row r="68" spans="1:43" x14ac:dyDescent="0.25">
      <c r="A68" s="49">
        <v>0</v>
      </c>
      <c r="B68" s="50">
        <v>-97</v>
      </c>
      <c r="C68" s="38">
        <f t="shared" si="0"/>
        <v>97</v>
      </c>
      <c r="F68" s="1" t="str">
        <f t="shared" si="1"/>
        <v/>
      </c>
      <c r="G68" s="1" t="str">
        <f t="shared" si="2"/>
        <v/>
      </c>
      <c r="J68" s="64" t="str">
        <f t="shared" si="3"/>
        <v/>
      </c>
      <c r="K68" s="72" t="str">
        <f t="shared" si="4"/>
        <v/>
      </c>
      <c r="N68" s="64" t="str">
        <f t="shared" si="5"/>
        <v/>
      </c>
      <c r="O68" s="72" t="str">
        <f t="shared" si="6"/>
        <v/>
      </c>
      <c r="R68" s="64" t="str">
        <f t="shared" si="7"/>
        <v/>
      </c>
      <c r="S68" s="72" t="str">
        <f t="shared" si="8"/>
        <v/>
      </c>
      <c r="V68" s="64" t="str">
        <f t="shared" si="9"/>
        <v/>
      </c>
      <c r="W68" s="72" t="str">
        <f t="shared" si="10"/>
        <v/>
      </c>
      <c r="Z68" s="64" t="str">
        <f t="shared" si="11"/>
        <v/>
      </c>
      <c r="AA68" s="72" t="str">
        <f t="shared" si="12"/>
        <v/>
      </c>
      <c r="AD68" s="64" t="str">
        <f t="shared" si="13"/>
        <v/>
      </c>
      <c r="AE68" s="72" t="str">
        <f t="shared" si="14"/>
        <v/>
      </c>
      <c r="AH68" s="64" t="str">
        <f t="shared" si="15"/>
        <v/>
      </c>
      <c r="AI68" s="72" t="str">
        <f t="shared" si="16"/>
        <v/>
      </c>
      <c r="AL68" s="64" t="str">
        <f t="shared" si="17"/>
        <v/>
      </c>
      <c r="AM68" s="72" t="str">
        <f t="shared" si="18"/>
        <v/>
      </c>
      <c r="AP68" s="64" t="str">
        <f t="shared" si="19"/>
        <v/>
      </c>
      <c r="AQ68" s="72" t="str">
        <f t="shared" si="20"/>
        <v/>
      </c>
    </row>
    <row r="69" spans="1:43" x14ac:dyDescent="0.25">
      <c r="A69" s="49">
        <v>0</v>
      </c>
      <c r="B69" s="50">
        <v>-96</v>
      </c>
      <c r="C69" s="38">
        <f t="shared" si="0"/>
        <v>96</v>
      </c>
      <c r="F69" s="1" t="str">
        <f t="shared" si="1"/>
        <v/>
      </c>
      <c r="G69" s="1" t="str">
        <f t="shared" si="2"/>
        <v/>
      </c>
      <c r="J69" s="64" t="str">
        <f t="shared" si="3"/>
        <v/>
      </c>
      <c r="K69" s="72" t="str">
        <f t="shared" si="4"/>
        <v/>
      </c>
      <c r="N69" s="64" t="str">
        <f t="shared" si="5"/>
        <v/>
      </c>
      <c r="O69" s="72" t="str">
        <f t="shared" si="6"/>
        <v/>
      </c>
      <c r="R69" s="64" t="str">
        <f t="shared" si="7"/>
        <v/>
      </c>
      <c r="S69" s="72" t="str">
        <f t="shared" si="8"/>
        <v/>
      </c>
      <c r="V69" s="64" t="str">
        <f t="shared" si="9"/>
        <v/>
      </c>
      <c r="W69" s="72" t="str">
        <f t="shared" si="10"/>
        <v/>
      </c>
      <c r="Z69" s="64" t="str">
        <f t="shared" si="11"/>
        <v/>
      </c>
      <c r="AA69" s="72" t="str">
        <f t="shared" si="12"/>
        <v/>
      </c>
      <c r="AD69" s="64" t="str">
        <f t="shared" si="13"/>
        <v/>
      </c>
      <c r="AE69" s="72" t="str">
        <f t="shared" si="14"/>
        <v/>
      </c>
      <c r="AH69" s="64" t="str">
        <f t="shared" si="15"/>
        <v/>
      </c>
      <c r="AI69" s="72" t="str">
        <f t="shared" si="16"/>
        <v/>
      </c>
      <c r="AL69" s="64" t="str">
        <f t="shared" si="17"/>
        <v/>
      </c>
      <c r="AM69" s="72" t="str">
        <f t="shared" si="18"/>
        <v/>
      </c>
      <c r="AP69" s="64" t="str">
        <f t="shared" si="19"/>
        <v/>
      </c>
      <c r="AQ69" s="72" t="str">
        <f t="shared" si="20"/>
        <v/>
      </c>
    </row>
    <row r="70" spans="1:43" x14ac:dyDescent="0.25">
      <c r="A70" s="49">
        <v>0</v>
      </c>
      <c r="B70" s="50">
        <v>-95</v>
      </c>
      <c r="C70" s="38">
        <f t="shared" si="0"/>
        <v>95</v>
      </c>
      <c r="F70" s="1" t="str">
        <f t="shared" si="1"/>
        <v/>
      </c>
      <c r="G70" s="1" t="str">
        <f t="shared" si="2"/>
        <v/>
      </c>
      <c r="J70" s="64" t="str">
        <f t="shared" si="3"/>
        <v/>
      </c>
      <c r="K70" s="72" t="str">
        <f t="shared" si="4"/>
        <v/>
      </c>
      <c r="N70" s="64" t="str">
        <f t="shared" si="5"/>
        <v/>
      </c>
      <c r="O70" s="72" t="str">
        <f t="shared" si="6"/>
        <v/>
      </c>
      <c r="R70" s="64" t="str">
        <f t="shared" si="7"/>
        <v/>
      </c>
      <c r="S70" s="72" t="str">
        <f t="shared" si="8"/>
        <v/>
      </c>
      <c r="V70" s="64" t="str">
        <f t="shared" si="9"/>
        <v/>
      </c>
      <c r="W70" s="72" t="str">
        <f t="shared" si="10"/>
        <v/>
      </c>
      <c r="Z70" s="64" t="str">
        <f t="shared" si="11"/>
        <v/>
      </c>
      <c r="AA70" s="72" t="str">
        <f t="shared" si="12"/>
        <v/>
      </c>
      <c r="AD70" s="64" t="str">
        <f t="shared" si="13"/>
        <v/>
      </c>
      <c r="AE70" s="72" t="str">
        <f t="shared" si="14"/>
        <v/>
      </c>
      <c r="AH70" s="64" t="str">
        <f t="shared" si="15"/>
        <v/>
      </c>
      <c r="AI70" s="72" t="str">
        <f t="shared" si="16"/>
        <v/>
      </c>
      <c r="AL70" s="64" t="str">
        <f t="shared" si="17"/>
        <v/>
      </c>
      <c r="AM70" s="72" t="str">
        <f t="shared" si="18"/>
        <v/>
      </c>
      <c r="AP70" s="64" t="str">
        <f t="shared" si="19"/>
        <v/>
      </c>
      <c r="AQ70" s="72" t="str">
        <f t="shared" si="20"/>
        <v/>
      </c>
    </row>
    <row r="71" spans="1:43" x14ac:dyDescent="0.25">
      <c r="A71" s="49">
        <v>0</v>
      </c>
      <c r="B71" s="50">
        <v>-94</v>
      </c>
      <c r="C71" s="38">
        <f t="shared" si="0"/>
        <v>94</v>
      </c>
      <c r="F71" s="1" t="str">
        <f t="shared" si="1"/>
        <v/>
      </c>
      <c r="G71" s="1" t="str">
        <f t="shared" si="2"/>
        <v/>
      </c>
      <c r="J71" s="64" t="str">
        <f t="shared" si="3"/>
        <v/>
      </c>
      <c r="K71" s="72" t="str">
        <f t="shared" si="4"/>
        <v/>
      </c>
      <c r="N71" s="64" t="str">
        <f t="shared" si="5"/>
        <v/>
      </c>
      <c r="O71" s="72" t="str">
        <f t="shared" si="6"/>
        <v/>
      </c>
      <c r="R71" s="64" t="str">
        <f t="shared" si="7"/>
        <v/>
      </c>
      <c r="S71" s="72" t="str">
        <f t="shared" si="8"/>
        <v/>
      </c>
      <c r="V71" s="64" t="str">
        <f t="shared" si="9"/>
        <v/>
      </c>
      <c r="W71" s="72" t="str">
        <f t="shared" si="10"/>
        <v/>
      </c>
      <c r="Z71" s="64" t="str">
        <f t="shared" si="11"/>
        <v/>
      </c>
      <c r="AA71" s="72" t="str">
        <f t="shared" si="12"/>
        <v/>
      </c>
      <c r="AD71" s="64" t="str">
        <f t="shared" si="13"/>
        <v/>
      </c>
      <c r="AE71" s="72" t="str">
        <f t="shared" si="14"/>
        <v/>
      </c>
      <c r="AH71" s="64" t="str">
        <f t="shared" si="15"/>
        <v/>
      </c>
      <c r="AI71" s="72" t="str">
        <f t="shared" si="16"/>
        <v/>
      </c>
      <c r="AL71" s="64" t="str">
        <f t="shared" si="17"/>
        <v/>
      </c>
      <c r="AM71" s="72" t="str">
        <f t="shared" si="18"/>
        <v/>
      </c>
      <c r="AP71" s="64" t="str">
        <f t="shared" si="19"/>
        <v/>
      </c>
      <c r="AQ71" s="72" t="str">
        <f t="shared" si="20"/>
        <v/>
      </c>
    </row>
    <row r="72" spans="1:43" x14ac:dyDescent="0.25">
      <c r="A72" s="49">
        <v>0</v>
      </c>
      <c r="B72" s="50">
        <v>-92</v>
      </c>
      <c r="C72" s="38">
        <f t="shared" si="0"/>
        <v>92</v>
      </c>
      <c r="F72" s="1" t="str">
        <f t="shared" si="1"/>
        <v/>
      </c>
      <c r="G72" s="1" t="str">
        <f t="shared" si="2"/>
        <v/>
      </c>
      <c r="J72" s="64" t="str">
        <f t="shared" si="3"/>
        <v/>
      </c>
      <c r="K72" s="72" t="str">
        <f t="shared" si="4"/>
        <v/>
      </c>
      <c r="N72" s="64" t="str">
        <f t="shared" si="5"/>
        <v/>
      </c>
      <c r="O72" s="72" t="str">
        <f t="shared" si="6"/>
        <v/>
      </c>
      <c r="R72" s="64" t="str">
        <f t="shared" si="7"/>
        <v/>
      </c>
      <c r="S72" s="72" t="str">
        <f t="shared" si="8"/>
        <v/>
      </c>
      <c r="V72" s="64" t="str">
        <f t="shared" si="9"/>
        <v/>
      </c>
      <c r="W72" s="72" t="str">
        <f t="shared" si="10"/>
        <v/>
      </c>
      <c r="Z72" s="64" t="str">
        <f t="shared" si="11"/>
        <v/>
      </c>
      <c r="AA72" s="72" t="str">
        <f t="shared" si="12"/>
        <v/>
      </c>
      <c r="AD72" s="64" t="str">
        <f t="shared" si="13"/>
        <v/>
      </c>
      <c r="AE72" s="72" t="str">
        <f t="shared" si="14"/>
        <v/>
      </c>
      <c r="AH72" s="64" t="str">
        <f t="shared" si="15"/>
        <v/>
      </c>
      <c r="AI72" s="72" t="str">
        <f t="shared" si="16"/>
        <v/>
      </c>
      <c r="AL72" s="64" t="str">
        <f t="shared" si="17"/>
        <v/>
      </c>
      <c r="AM72" s="72" t="str">
        <f t="shared" si="18"/>
        <v/>
      </c>
      <c r="AP72" s="64" t="str">
        <f t="shared" si="19"/>
        <v/>
      </c>
      <c r="AQ72" s="72" t="str">
        <f t="shared" si="20"/>
        <v/>
      </c>
    </row>
    <row r="73" spans="1:43" x14ac:dyDescent="0.25">
      <c r="A73" s="49">
        <v>0</v>
      </c>
      <c r="B73" s="50">
        <v>-90</v>
      </c>
      <c r="C73" s="38">
        <f t="shared" si="0"/>
        <v>90</v>
      </c>
      <c r="F73" s="1" t="str">
        <f t="shared" si="1"/>
        <v/>
      </c>
      <c r="G73" s="1" t="str">
        <f t="shared" si="2"/>
        <v/>
      </c>
      <c r="J73" s="64" t="str">
        <f t="shared" si="3"/>
        <v/>
      </c>
      <c r="K73" s="72" t="str">
        <f t="shared" si="4"/>
        <v/>
      </c>
      <c r="N73" s="64" t="str">
        <f t="shared" si="5"/>
        <v/>
      </c>
      <c r="O73" s="72" t="str">
        <f t="shared" si="6"/>
        <v/>
      </c>
      <c r="R73" s="64" t="str">
        <f t="shared" si="7"/>
        <v/>
      </c>
      <c r="S73" s="72" t="str">
        <f t="shared" si="8"/>
        <v/>
      </c>
      <c r="V73" s="64" t="str">
        <f t="shared" si="9"/>
        <v/>
      </c>
      <c r="W73" s="72" t="str">
        <f t="shared" si="10"/>
        <v/>
      </c>
      <c r="Z73" s="64" t="str">
        <f t="shared" si="11"/>
        <v/>
      </c>
      <c r="AA73" s="72" t="str">
        <f t="shared" si="12"/>
        <v/>
      </c>
      <c r="AD73" s="64" t="str">
        <f t="shared" si="13"/>
        <v/>
      </c>
      <c r="AE73" s="72" t="str">
        <f t="shared" si="14"/>
        <v/>
      </c>
      <c r="AH73" s="64" t="str">
        <f t="shared" si="15"/>
        <v/>
      </c>
      <c r="AI73" s="72" t="str">
        <f t="shared" si="16"/>
        <v/>
      </c>
      <c r="AL73" s="64" t="str">
        <f t="shared" si="17"/>
        <v/>
      </c>
      <c r="AM73" s="72" t="str">
        <f t="shared" si="18"/>
        <v/>
      </c>
      <c r="AP73" s="64" t="str">
        <f t="shared" si="19"/>
        <v/>
      </c>
      <c r="AQ73" s="72" t="str">
        <f t="shared" si="20"/>
        <v/>
      </c>
    </row>
    <row r="74" spans="1:43" x14ac:dyDescent="0.25">
      <c r="A74" s="49">
        <v>0</v>
      </c>
      <c r="B74" s="50">
        <v>-85</v>
      </c>
      <c r="C74" s="38">
        <f t="shared" si="0"/>
        <v>85</v>
      </c>
      <c r="F74" s="1" t="str">
        <f t="shared" si="1"/>
        <v/>
      </c>
      <c r="G74" s="1" t="str">
        <f t="shared" si="2"/>
        <v/>
      </c>
      <c r="J74" s="64" t="str">
        <f t="shared" si="3"/>
        <v/>
      </c>
      <c r="K74" s="72" t="str">
        <f t="shared" si="4"/>
        <v/>
      </c>
      <c r="N74" s="64" t="str">
        <f t="shared" si="5"/>
        <v/>
      </c>
      <c r="O74" s="72" t="str">
        <f t="shared" si="6"/>
        <v/>
      </c>
      <c r="R74" s="64" t="str">
        <f t="shared" si="7"/>
        <v/>
      </c>
      <c r="S74" s="72" t="str">
        <f t="shared" si="8"/>
        <v/>
      </c>
      <c r="V74" s="64" t="str">
        <f t="shared" si="9"/>
        <v/>
      </c>
      <c r="W74" s="72" t="str">
        <f t="shared" si="10"/>
        <v/>
      </c>
      <c r="Z74" s="64" t="str">
        <f t="shared" si="11"/>
        <v/>
      </c>
      <c r="AA74" s="72" t="str">
        <f t="shared" si="12"/>
        <v/>
      </c>
      <c r="AD74" s="64" t="str">
        <f t="shared" si="13"/>
        <v/>
      </c>
      <c r="AE74" s="72" t="str">
        <f t="shared" si="14"/>
        <v/>
      </c>
      <c r="AH74" s="64" t="str">
        <f t="shared" si="15"/>
        <v/>
      </c>
      <c r="AI74" s="72" t="str">
        <f t="shared" si="16"/>
        <v/>
      </c>
      <c r="AL74" s="64" t="str">
        <f t="shared" si="17"/>
        <v/>
      </c>
      <c r="AM74" s="72" t="str">
        <f t="shared" si="18"/>
        <v/>
      </c>
      <c r="AP74" s="64" t="str">
        <f t="shared" si="19"/>
        <v/>
      </c>
      <c r="AQ74" s="72" t="str">
        <f t="shared" si="20"/>
        <v/>
      </c>
    </row>
    <row r="75" spans="1:43" x14ac:dyDescent="0.25">
      <c r="A75" s="49">
        <v>0</v>
      </c>
      <c r="B75" s="50">
        <v>-80</v>
      </c>
      <c r="C75" s="38">
        <f t="shared" si="0"/>
        <v>80</v>
      </c>
      <c r="F75" s="1" t="str">
        <f t="shared" si="1"/>
        <v/>
      </c>
      <c r="G75" s="1" t="str">
        <f t="shared" si="2"/>
        <v/>
      </c>
      <c r="J75" s="64" t="str">
        <f t="shared" si="3"/>
        <v/>
      </c>
      <c r="K75" s="72" t="str">
        <f t="shared" si="4"/>
        <v/>
      </c>
      <c r="N75" s="64" t="str">
        <f t="shared" si="5"/>
        <v/>
      </c>
      <c r="O75" s="72" t="str">
        <f t="shared" si="6"/>
        <v/>
      </c>
      <c r="R75" s="64" t="str">
        <f t="shared" si="7"/>
        <v/>
      </c>
      <c r="S75" s="72" t="str">
        <f t="shared" si="8"/>
        <v/>
      </c>
      <c r="V75" s="64" t="str">
        <f t="shared" si="9"/>
        <v/>
      </c>
      <c r="W75" s="72" t="str">
        <f t="shared" si="10"/>
        <v/>
      </c>
      <c r="Z75" s="64" t="str">
        <f t="shared" si="11"/>
        <v/>
      </c>
      <c r="AA75" s="72" t="str">
        <f t="shared" si="12"/>
        <v/>
      </c>
      <c r="AD75" s="64" t="str">
        <f t="shared" si="13"/>
        <v/>
      </c>
      <c r="AE75" s="72" t="str">
        <f t="shared" si="14"/>
        <v/>
      </c>
      <c r="AH75" s="64" t="str">
        <f t="shared" si="15"/>
        <v/>
      </c>
      <c r="AI75" s="72" t="str">
        <f t="shared" si="16"/>
        <v/>
      </c>
      <c r="AL75" s="64" t="str">
        <f t="shared" si="17"/>
        <v/>
      </c>
      <c r="AM75" s="72" t="str">
        <f t="shared" si="18"/>
        <v/>
      </c>
      <c r="AP75" s="64" t="str">
        <f t="shared" si="19"/>
        <v/>
      </c>
      <c r="AQ75" s="72" t="str">
        <f t="shared" si="20"/>
        <v/>
      </c>
    </row>
    <row r="76" spans="1:43" x14ac:dyDescent="0.25">
      <c r="A76" s="49">
        <v>0</v>
      </c>
      <c r="B76" s="50">
        <v>-75</v>
      </c>
      <c r="C76" s="38">
        <f t="shared" si="0"/>
        <v>75</v>
      </c>
      <c r="F76" s="1" t="str">
        <f t="shared" si="1"/>
        <v/>
      </c>
      <c r="G76" s="1" t="str">
        <f t="shared" si="2"/>
        <v/>
      </c>
      <c r="J76" s="64" t="str">
        <f t="shared" si="3"/>
        <v/>
      </c>
      <c r="K76" s="72" t="str">
        <f t="shared" si="4"/>
        <v/>
      </c>
      <c r="N76" s="64" t="str">
        <f t="shared" si="5"/>
        <v/>
      </c>
      <c r="O76" s="72" t="str">
        <f t="shared" si="6"/>
        <v/>
      </c>
      <c r="R76" s="64" t="str">
        <f t="shared" si="7"/>
        <v/>
      </c>
      <c r="S76" s="72" t="str">
        <f t="shared" si="8"/>
        <v/>
      </c>
      <c r="V76" s="64" t="str">
        <f t="shared" si="9"/>
        <v/>
      </c>
      <c r="W76" s="72" t="str">
        <f t="shared" si="10"/>
        <v/>
      </c>
      <c r="Z76" s="64" t="str">
        <f t="shared" si="11"/>
        <v/>
      </c>
      <c r="AA76" s="72" t="str">
        <f t="shared" si="12"/>
        <v/>
      </c>
      <c r="AD76" s="64" t="str">
        <f t="shared" si="13"/>
        <v/>
      </c>
      <c r="AE76" s="72" t="str">
        <f t="shared" si="14"/>
        <v/>
      </c>
      <c r="AH76" s="64" t="str">
        <f t="shared" si="15"/>
        <v/>
      </c>
      <c r="AI76" s="72" t="str">
        <f t="shared" si="16"/>
        <v/>
      </c>
      <c r="AL76" s="64" t="str">
        <f t="shared" si="17"/>
        <v/>
      </c>
      <c r="AM76" s="72" t="str">
        <f t="shared" si="18"/>
        <v/>
      </c>
      <c r="AP76" s="64" t="str">
        <f t="shared" si="19"/>
        <v/>
      </c>
      <c r="AQ76" s="72" t="str">
        <f t="shared" si="20"/>
        <v/>
      </c>
    </row>
    <row r="77" spans="1:43" x14ac:dyDescent="0.25">
      <c r="A77" s="49">
        <v>0</v>
      </c>
      <c r="B77" s="50">
        <v>-70</v>
      </c>
      <c r="C77" s="38">
        <f t="shared" si="0"/>
        <v>70</v>
      </c>
      <c r="F77" s="1" t="str">
        <f t="shared" si="1"/>
        <v/>
      </c>
      <c r="G77" s="1" t="str">
        <f t="shared" si="2"/>
        <v/>
      </c>
      <c r="J77" s="64" t="str">
        <f t="shared" si="3"/>
        <v/>
      </c>
      <c r="K77" s="72" t="str">
        <f t="shared" si="4"/>
        <v/>
      </c>
      <c r="N77" s="64" t="str">
        <f t="shared" si="5"/>
        <v/>
      </c>
      <c r="O77" s="72" t="str">
        <f t="shared" si="6"/>
        <v/>
      </c>
      <c r="R77" s="64" t="str">
        <f t="shared" si="7"/>
        <v/>
      </c>
      <c r="S77" s="72" t="str">
        <f t="shared" si="8"/>
        <v/>
      </c>
      <c r="V77" s="64" t="str">
        <f t="shared" si="9"/>
        <v/>
      </c>
      <c r="W77" s="72" t="str">
        <f t="shared" si="10"/>
        <v/>
      </c>
      <c r="Z77" s="64" t="str">
        <f t="shared" si="11"/>
        <v/>
      </c>
      <c r="AA77" s="72" t="str">
        <f t="shared" si="12"/>
        <v/>
      </c>
      <c r="AD77" s="64" t="str">
        <f t="shared" si="13"/>
        <v/>
      </c>
      <c r="AE77" s="72" t="str">
        <f t="shared" si="14"/>
        <v/>
      </c>
      <c r="AH77" s="64" t="str">
        <f t="shared" si="15"/>
        <v/>
      </c>
      <c r="AI77" s="72" t="str">
        <f t="shared" si="16"/>
        <v/>
      </c>
      <c r="AL77" s="64" t="str">
        <f t="shared" si="17"/>
        <v/>
      </c>
      <c r="AM77" s="72" t="str">
        <f t="shared" si="18"/>
        <v/>
      </c>
      <c r="AP77" s="64" t="str">
        <f t="shared" si="19"/>
        <v/>
      </c>
      <c r="AQ77" s="72" t="str">
        <f t="shared" si="20"/>
        <v/>
      </c>
    </row>
    <row r="78" spans="1:43" x14ac:dyDescent="0.25">
      <c r="A78" s="49">
        <v>0</v>
      </c>
      <c r="B78" s="50">
        <v>-65</v>
      </c>
      <c r="C78" s="38">
        <f t="shared" si="0"/>
        <v>65</v>
      </c>
      <c r="F78" s="1" t="str">
        <f t="shared" si="1"/>
        <v/>
      </c>
      <c r="G78" s="1" t="str">
        <f t="shared" si="2"/>
        <v/>
      </c>
      <c r="J78" s="64" t="str">
        <f t="shared" si="3"/>
        <v/>
      </c>
      <c r="K78" s="72" t="str">
        <f t="shared" si="4"/>
        <v/>
      </c>
      <c r="N78" s="64" t="str">
        <f t="shared" si="5"/>
        <v/>
      </c>
      <c r="O78" s="72" t="str">
        <f t="shared" si="6"/>
        <v/>
      </c>
      <c r="R78" s="64" t="str">
        <f t="shared" si="7"/>
        <v/>
      </c>
      <c r="S78" s="72" t="str">
        <f t="shared" si="8"/>
        <v/>
      </c>
      <c r="V78" s="64" t="str">
        <f t="shared" si="9"/>
        <v/>
      </c>
      <c r="W78" s="72" t="str">
        <f t="shared" si="10"/>
        <v/>
      </c>
      <c r="Z78" s="64" t="str">
        <f t="shared" si="11"/>
        <v/>
      </c>
      <c r="AA78" s="72" t="str">
        <f t="shared" si="12"/>
        <v/>
      </c>
      <c r="AD78" s="64" t="str">
        <f t="shared" si="13"/>
        <v/>
      </c>
      <c r="AE78" s="72" t="str">
        <f t="shared" si="14"/>
        <v/>
      </c>
      <c r="AH78" s="64" t="str">
        <f t="shared" si="15"/>
        <v/>
      </c>
      <c r="AI78" s="72" t="str">
        <f t="shared" si="16"/>
        <v/>
      </c>
      <c r="AL78" s="64" t="str">
        <f t="shared" si="17"/>
        <v/>
      </c>
      <c r="AM78" s="72" t="str">
        <f t="shared" si="18"/>
        <v/>
      </c>
      <c r="AP78" s="64" t="str">
        <f t="shared" si="19"/>
        <v/>
      </c>
      <c r="AQ78" s="72" t="str">
        <f t="shared" si="20"/>
        <v/>
      </c>
    </row>
    <row r="79" spans="1:43" x14ac:dyDescent="0.25">
      <c r="A79" s="49">
        <v>0</v>
      </c>
      <c r="B79" s="50">
        <v>-60</v>
      </c>
      <c r="C79" s="38">
        <f t="shared" si="0"/>
        <v>60</v>
      </c>
      <c r="F79" s="1" t="str">
        <f t="shared" si="1"/>
        <v/>
      </c>
      <c r="G79" s="1" t="str">
        <f t="shared" si="2"/>
        <v/>
      </c>
      <c r="J79" s="64" t="str">
        <f t="shared" si="3"/>
        <v/>
      </c>
      <c r="K79" s="72" t="str">
        <f t="shared" si="4"/>
        <v/>
      </c>
      <c r="N79" s="64" t="str">
        <f t="shared" si="5"/>
        <v/>
      </c>
      <c r="O79" s="72" t="str">
        <f t="shared" si="6"/>
        <v/>
      </c>
      <c r="R79" s="64" t="str">
        <f t="shared" si="7"/>
        <v/>
      </c>
      <c r="S79" s="72" t="str">
        <f t="shared" si="8"/>
        <v/>
      </c>
      <c r="V79" s="64" t="str">
        <f t="shared" si="9"/>
        <v/>
      </c>
      <c r="W79" s="72" t="str">
        <f t="shared" si="10"/>
        <v/>
      </c>
      <c r="Z79" s="64" t="str">
        <f t="shared" si="11"/>
        <v/>
      </c>
      <c r="AA79" s="72" t="str">
        <f t="shared" si="12"/>
        <v/>
      </c>
      <c r="AD79" s="64" t="str">
        <f t="shared" si="13"/>
        <v/>
      </c>
      <c r="AE79" s="72" t="str">
        <f t="shared" si="14"/>
        <v/>
      </c>
      <c r="AH79" s="64" t="str">
        <f t="shared" si="15"/>
        <v/>
      </c>
      <c r="AI79" s="72" t="str">
        <f t="shared" si="16"/>
        <v/>
      </c>
      <c r="AL79" s="64" t="str">
        <f t="shared" si="17"/>
        <v/>
      </c>
      <c r="AM79" s="72" t="str">
        <f t="shared" si="18"/>
        <v/>
      </c>
      <c r="AP79" s="64" t="str">
        <f t="shared" si="19"/>
        <v/>
      </c>
      <c r="AQ79" s="72" t="str">
        <f t="shared" si="20"/>
        <v/>
      </c>
    </row>
    <row r="80" spans="1:43" x14ac:dyDescent="0.25">
      <c r="A80" s="49">
        <v>0</v>
      </c>
      <c r="B80" s="50">
        <v>-55</v>
      </c>
      <c r="C80" s="38">
        <f t="shared" si="0"/>
        <v>55</v>
      </c>
      <c r="F80" s="1" t="str">
        <f t="shared" si="1"/>
        <v/>
      </c>
      <c r="G80" s="1" t="str">
        <f t="shared" si="2"/>
        <v/>
      </c>
      <c r="J80" s="64" t="str">
        <f t="shared" si="3"/>
        <v/>
      </c>
      <c r="K80" s="72" t="str">
        <f t="shared" si="4"/>
        <v/>
      </c>
      <c r="N80" s="64" t="str">
        <f t="shared" si="5"/>
        <v/>
      </c>
      <c r="O80" s="72" t="str">
        <f t="shared" si="6"/>
        <v/>
      </c>
      <c r="R80" s="64" t="str">
        <f t="shared" si="7"/>
        <v/>
      </c>
      <c r="S80" s="72" t="str">
        <f t="shared" si="8"/>
        <v/>
      </c>
      <c r="V80" s="64" t="str">
        <f t="shared" si="9"/>
        <v/>
      </c>
      <c r="W80" s="72" t="str">
        <f t="shared" si="10"/>
        <v/>
      </c>
      <c r="Z80" s="64" t="str">
        <f t="shared" si="11"/>
        <v/>
      </c>
      <c r="AA80" s="72" t="str">
        <f t="shared" si="12"/>
        <v/>
      </c>
      <c r="AD80" s="64" t="str">
        <f t="shared" si="13"/>
        <v/>
      </c>
      <c r="AE80" s="72" t="str">
        <f t="shared" si="14"/>
        <v/>
      </c>
      <c r="AH80" s="64" t="str">
        <f t="shared" si="15"/>
        <v/>
      </c>
      <c r="AI80" s="72" t="str">
        <f t="shared" si="16"/>
        <v/>
      </c>
      <c r="AL80" s="64" t="str">
        <f t="shared" si="17"/>
        <v/>
      </c>
      <c r="AM80" s="72" t="str">
        <f t="shared" si="18"/>
        <v/>
      </c>
      <c r="AP80" s="64" t="str">
        <f t="shared" si="19"/>
        <v/>
      </c>
      <c r="AQ80" s="72" t="str">
        <f t="shared" si="20"/>
        <v/>
      </c>
    </row>
    <row r="81" spans="1:43" x14ac:dyDescent="0.25">
      <c r="A81" s="49">
        <v>0</v>
      </c>
      <c r="B81" s="50">
        <v>-50</v>
      </c>
      <c r="C81" s="38">
        <f t="shared" si="0"/>
        <v>50</v>
      </c>
      <c r="F81" s="1" t="str">
        <f t="shared" si="1"/>
        <v/>
      </c>
      <c r="G81" s="1" t="str">
        <f t="shared" si="2"/>
        <v/>
      </c>
      <c r="J81" s="64" t="str">
        <f t="shared" si="3"/>
        <v/>
      </c>
      <c r="K81" s="72" t="str">
        <f t="shared" si="4"/>
        <v/>
      </c>
      <c r="N81" s="64" t="str">
        <f t="shared" si="5"/>
        <v/>
      </c>
      <c r="O81" s="72" t="str">
        <f t="shared" si="6"/>
        <v/>
      </c>
      <c r="R81" s="64" t="str">
        <f t="shared" si="7"/>
        <v/>
      </c>
      <c r="S81" s="72" t="str">
        <f t="shared" si="8"/>
        <v/>
      </c>
      <c r="V81" s="64" t="str">
        <f t="shared" si="9"/>
        <v/>
      </c>
      <c r="W81" s="72" t="str">
        <f t="shared" si="10"/>
        <v/>
      </c>
      <c r="Z81" s="64" t="str">
        <f t="shared" si="11"/>
        <v/>
      </c>
      <c r="AA81" s="72" t="str">
        <f t="shared" si="12"/>
        <v/>
      </c>
      <c r="AD81" s="64" t="str">
        <f t="shared" si="13"/>
        <v/>
      </c>
      <c r="AE81" s="72" t="str">
        <f t="shared" si="14"/>
        <v/>
      </c>
      <c r="AH81" s="64" t="str">
        <f t="shared" si="15"/>
        <v/>
      </c>
      <c r="AI81" s="72" t="str">
        <f t="shared" si="16"/>
        <v/>
      </c>
      <c r="AL81" s="64" t="str">
        <f t="shared" si="17"/>
        <v/>
      </c>
      <c r="AM81" s="72" t="str">
        <f t="shared" si="18"/>
        <v/>
      </c>
      <c r="AP81" s="64" t="str">
        <f t="shared" si="19"/>
        <v/>
      </c>
      <c r="AQ81" s="72" t="str">
        <f t="shared" si="20"/>
        <v/>
      </c>
    </row>
    <row r="82" spans="1:43" x14ac:dyDescent="0.25">
      <c r="A82" s="49">
        <v>0</v>
      </c>
      <c r="B82" s="50">
        <v>-45</v>
      </c>
      <c r="C82" s="38">
        <f t="shared" si="0"/>
        <v>45</v>
      </c>
      <c r="F82" s="1" t="str">
        <f t="shared" si="1"/>
        <v/>
      </c>
      <c r="G82" s="1" t="str">
        <f t="shared" si="2"/>
        <v/>
      </c>
      <c r="J82" s="64" t="str">
        <f t="shared" si="3"/>
        <v/>
      </c>
      <c r="K82" s="72" t="str">
        <f t="shared" si="4"/>
        <v/>
      </c>
      <c r="N82" s="64" t="str">
        <f t="shared" si="5"/>
        <v/>
      </c>
      <c r="O82" s="72" t="str">
        <f t="shared" si="6"/>
        <v/>
      </c>
      <c r="R82" s="64" t="str">
        <f t="shared" si="7"/>
        <v/>
      </c>
      <c r="S82" s="72" t="str">
        <f t="shared" si="8"/>
        <v/>
      </c>
      <c r="V82" s="64" t="str">
        <f t="shared" si="9"/>
        <v/>
      </c>
      <c r="W82" s="72" t="str">
        <f t="shared" si="10"/>
        <v/>
      </c>
      <c r="Z82" s="64" t="str">
        <f t="shared" si="11"/>
        <v/>
      </c>
      <c r="AA82" s="72" t="str">
        <f t="shared" si="12"/>
        <v/>
      </c>
      <c r="AD82" s="64" t="str">
        <f t="shared" si="13"/>
        <v/>
      </c>
      <c r="AE82" s="72" t="str">
        <f t="shared" si="14"/>
        <v/>
      </c>
      <c r="AH82" s="64" t="str">
        <f t="shared" si="15"/>
        <v/>
      </c>
      <c r="AI82" s="72" t="str">
        <f t="shared" si="16"/>
        <v/>
      </c>
      <c r="AL82" s="64" t="str">
        <f t="shared" si="17"/>
        <v/>
      </c>
      <c r="AM82" s="72" t="str">
        <f t="shared" si="18"/>
        <v/>
      </c>
      <c r="AP82" s="64" t="str">
        <f t="shared" si="19"/>
        <v/>
      </c>
      <c r="AQ82" s="72" t="str">
        <f t="shared" si="20"/>
        <v/>
      </c>
    </row>
    <row r="83" spans="1:43" x14ac:dyDescent="0.25">
      <c r="A83" s="49">
        <v>0</v>
      </c>
      <c r="B83" s="50">
        <v>-40</v>
      </c>
      <c r="C83" s="38">
        <f t="shared" si="0"/>
        <v>40</v>
      </c>
      <c r="F83" s="1" t="str">
        <f t="shared" si="1"/>
        <v/>
      </c>
      <c r="G83" s="1" t="str">
        <f t="shared" si="2"/>
        <v/>
      </c>
      <c r="J83" s="64" t="str">
        <f t="shared" si="3"/>
        <v/>
      </c>
      <c r="K83" s="72" t="str">
        <f t="shared" si="4"/>
        <v/>
      </c>
      <c r="N83" s="64" t="str">
        <f t="shared" si="5"/>
        <v/>
      </c>
      <c r="O83" s="72" t="str">
        <f t="shared" si="6"/>
        <v/>
      </c>
      <c r="R83" s="64" t="str">
        <f t="shared" si="7"/>
        <v/>
      </c>
      <c r="S83" s="72" t="str">
        <f t="shared" si="8"/>
        <v/>
      </c>
      <c r="V83" s="64" t="str">
        <f t="shared" si="9"/>
        <v/>
      </c>
      <c r="W83" s="72" t="str">
        <f t="shared" si="10"/>
        <v/>
      </c>
      <c r="Z83" s="64" t="str">
        <f t="shared" si="11"/>
        <v/>
      </c>
      <c r="AA83" s="72" t="str">
        <f t="shared" si="12"/>
        <v/>
      </c>
      <c r="AD83" s="64" t="str">
        <f t="shared" si="13"/>
        <v/>
      </c>
      <c r="AE83" s="72" t="str">
        <f t="shared" si="14"/>
        <v/>
      </c>
      <c r="AH83" s="64" t="str">
        <f t="shared" si="15"/>
        <v/>
      </c>
      <c r="AI83" s="72" t="str">
        <f t="shared" si="16"/>
        <v/>
      </c>
      <c r="AL83" s="64" t="str">
        <f t="shared" si="17"/>
        <v/>
      </c>
      <c r="AM83" s="72" t="str">
        <f t="shared" si="18"/>
        <v/>
      </c>
      <c r="AP83" s="64" t="str">
        <f t="shared" si="19"/>
        <v/>
      </c>
      <c r="AQ83" s="72" t="str">
        <f t="shared" si="20"/>
        <v/>
      </c>
    </row>
    <row r="84" spans="1:43" x14ac:dyDescent="0.25">
      <c r="A84" s="49">
        <v>0</v>
      </c>
      <c r="B84" s="50">
        <v>-35</v>
      </c>
      <c r="C84" s="38">
        <f t="shared" ref="C84:C100" si="21">(A84^2+B84^2)^(1/2)</f>
        <v>35</v>
      </c>
      <c r="F84" s="1" t="str">
        <f t="shared" ref="F84:F100" si="22">IF(D84="","",(D84-E84)/10)</f>
        <v/>
      </c>
      <c r="G84" s="1" t="str">
        <f t="shared" ref="G84:G115" si="23">IFERROR(IF(G$16="","",F84/(G$16/60)),"")</f>
        <v/>
      </c>
      <c r="J84" s="64" t="str">
        <f t="shared" ref="J84:J100" si="24">IF(H84="","",(H84-I84)/10)</f>
        <v/>
      </c>
      <c r="K84" s="72" t="str">
        <f t="shared" ref="K84:K115" si="25">IFERROR(IF(K$16="","",J84/(K$16/60)),"")</f>
        <v/>
      </c>
      <c r="N84" s="64" t="str">
        <f t="shared" ref="N84:N100" si="26">IF(L84="","",(L84-M84)/10)</f>
        <v/>
      </c>
      <c r="O84" s="72" t="str">
        <f t="shared" ref="O84:O115" si="27">IFERROR(IF(O$16="","",N84/(O$16/60)),"")</f>
        <v/>
      </c>
      <c r="R84" s="64" t="str">
        <f t="shared" ref="R84:R100" si="28">IF(P84="","",(P84-Q84)/10)</f>
        <v/>
      </c>
      <c r="S84" s="72" t="str">
        <f t="shared" ref="S84:S115" si="29">IFERROR(IF(S$16="","",R84/(S$16/60)),"")</f>
        <v/>
      </c>
      <c r="V84" s="64" t="str">
        <f t="shared" ref="V84:V100" si="30">IF(T84="","",(T84-U84)/10)</f>
        <v/>
      </c>
      <c r="W84" s="72" t="str">
        <f t="shared" ref="W84:W115" si="31">IFERROR(IF(W$16="","",V84/(W$16/60)),"")</f>
        <v/>
      </c>
      <c r="Z84" s="64" t="str">
        <f t="shared" ref="Z84:Z100" si="32">IF(X84="","",(X84-Y84)/10)</f>
        <v/>
      </c>
      <c r="AA84" s="72" t="str">
        <f t="shared" ref="AA84:AA115" si="33">IFERROR(IF(AA$16="","",Z84/(AA$16/60)),"")</f>
        <v/>
      </c>
      <c r="AD84" s="64" t="str">
        <f t="shared" ref="AD84:AD100" si="34">IF(AB84="","",(AB84-AC84)/10)</f>
        <v/>
      </c>
      <c r="AE84" s="72" t="str">
        <f t="shared" ref="AE84:AE115" si="35">IFERROR(IF(AE$16="","",AD84/(AE$16/60)),"")</f>
        <v/>
      </c>
      <c r="AH84" s="64" t="str">
        <f t="shared" ref="AH84:AH100" si="36">IF(AF84="","",(AF84-AG84)/10)</f>
        <v/>
      </c>
      <c r="AI84" s="72" t="str">
        <f t="shared" ref="AI84:AI115" si="37">IFERROR(IF(AI$16="","",AH84/(AI$16/60)),"")</f>
        <v/>
      </c>
      <c r="AL84" s="64" t="str">
        <f t="shared" ref="AL84:AL100" si="38">IF(AJ84="","",(AJ84-AK84)/10)</f>
        <v/>
      </c>
      <c r="AM84" s="72" t="str">
        <f t="shared" ref="AM84:AM115" si="39">IFERROR(IF(AM$16="","",AL84/(AM$16/60)),"")</f>
        <v/>
      </c>
      <c r="AP84" s="64" t="str">
        <f t="shared" ref="AP84:AP100" si="40">IF(AN84="","",(AN84-AO84)/10)</f>
        <v/>
      </c>
      <c r="AQ84" s="72" t="str">
        <f t="shared" ref="AQ84:AQ115" si="41">IFERROR(IF(AQ$16="","",AP84/(AQ$16/60)),"")</f>
        <v/>
      </c>
    </row>
    <row r="85" spans="1:43" x14ac:dyDescent="0.25">
      <c r="A85" s="49">
        <v>0</v>
      </c>
      <c r="B85" s="50">
        <v>-30</v>
      </c>
      <c r="C85" s="38">
        <f t="shared" si="21"/>
        <v>30</v>
      </c>
      <c r="F85" s="1" t="str">
        <f t="shared" si="22"/>
        <v/>
      </c>
      <c r="G85" s="1" t="str">
        <f t="shared" si="23"/>
        <v/>
      </c>
      <c r="J85" s="64" t="str">
        <f t="shared" si="24"/>
        <v/>
      </c>
      <c r="K85" s="72" t="str">
        <f t="shared" si="25"/>
        <v/>
      </c>
      <c r="N85" s="64" t="str">
        <f t="shared" si="26"/>
        <v/>
      </c>
      <c r="O85" s="72" t="str">
        <f t="shared" si="27"/>
        <v/>
      </c>
      <c r="R85" s="64" t="str">
        <f t="shared" si="28"/>
        <v/>
      </c>
      <c r="S85" s="72" t="str">
        <f t="shared" si="29"/>
        <v/>
      </c>
      <c r="V85" s="64" t="str">
        <f t="shared" si="30"/>
        <v/>
      </c>
      <c r="W85" s="72" t="str">
        <f t="shared" si="31"/>
        <v/>
      </c>
      <c r="Z85" s="64" t="str">
        <f t="shared" si="32"/>
        <v/>
      </c>
      <c r="AA85" s="72" t="str">
        <f t="shared" si="33"/>
        <v/>
      </c>
      <c r="AD85" s="64" t="str">
        <f t="shared" si="34"/>
        <v/>
      </c>
      <c r="AE85" s="72" t="str">
        <f t="shared" si="35"/>
        <v/>
      </c>
      <c r="AH85" s="64" t="str">
        <f t="shared" si="36"/>
        <v/>
      </c>
      <c r="AI85" s="72" t="str">
        <f t="shared" si="37"/>
        <v/>
      </c>
      <c r="AL85" s="64" t="str">
        <f t="shared" si="38"/>
        <v/>
      </c>
      <c r="AM85" s="72" t="str">
        <f t="shared" si="39"/>
        <v/>
      </c>
      <c r="AP85" s="64" t="str">
        <f t="shared" si="40"/>
        <v/>
      </c>
      <c r="AQ85" s="72" t="str">
        <f t="shared" si="41"/>
        <v/>
      </c>
    </row>
    <row r="86" spans="1:43" x14ac:dyDescent="0.25">
      <c r="A86" s="49">
        <v>0</v>
      </c>
      <c r="B86" s="50">
        <v>-25</v>
      </c>
      <c r="C86" s="38">
        <f t="shared" si="21"/>
        <v>25</v>
      </c>
      <c r="F86" s="1" t="str">
        <f t="shared" si="22"/>
        <v/>
      </c>
      <c r="G86" s="1" t="str">
        <f t="shared" si="23"/>
        <v/>
      </c>
      <c r="J86" s="64" t="str">
        <f t="shared" si="24"/>
        <v/>
      </c>
      <c r="K86" s="72" t="str">
        <f t="shared" si="25"/>
        <v/>
      </c>
      <c r="N86" s="64" t="str">
        <f t="shared" si="26"/>
        <v/>
      </c>
      <c r="O86" s="72" t="str">
        <f t="shared" si="27"/>
        <v/>
      </c>
      <c r="R86" s="64" t="str">
        <f t="shared" si="28"/>
        <v/>
      </c>
      <c r="S86" s="72" t="str">
        <f t="shared" si="29"/>
        <v/>
      </c>
      <c r="V86" s="64" t="str">
        <f t="shared" si="30"/>
        <v/>
      </c>
      <c r="W86" s="72" t="str">
        <f t="shared" si="31"/>
        <v/>
      </c>
      <c r="Z86" s="64" t="str">
        <f t="shared" si="32"/>
        <v/>
      </c>
      <c r="AA86" s="72" t="str">
        <f t="shared" si="33"/>
        <v/>
      </c>
      <c r="AD86" s="64" t="str">
        <f t="shared" si="34"/>
        <v/>
      </c>
      <c r="AE86" s="72" t="str">
        <f t="shared" si="35"/>
        <v/>
      </c>
      <c r="AH86" s="64" t="str">
        <f t="shared" si="36"/>
        <v/>
      </c>
      <c r="AI86" s="72" t="str">
        <f t="shared" si="37"/>
        <v/>
      </c>
      <c r="AL86" s="64" t="str">
        <f t="shared" si="38"/>
        <v/>
      </c>
      <c r="AM86" s="72" t="str">
        <f t="shared" si="39"/>
        <v/>
      </c>
      <c r="AP86" s="64" t="str">
        <f t="shared" si="40"/>
        <v/>
      </c>
      <c r="AQ86" s="72" t="str">
        <f t="shared" si="41"/>
        <v/>
      </c>
    </row>
    <row r="87" spans="1:43" x14ac:dyDescent="0.25">
      <c r="A87" s="49">
        <v>0</v>
      </c>
      <c r="B87" s="50">
        <v>-20</v>
      </c>
      <c r="C87" s="38">
        <f t="shared" si="21"/>
        <v>20</v>
      </c>
      <c r="F87" s="1" t="str">
        <f t="shared" si="22"/>
        <v/>
      </c>
      <c r="G87" s="1" t="str">
        <f t="shared" si="23"/>
        <v/>
      </c>
      <c r="J87" s="64" t="str">
        <f t="shared" si="24"/>
        <v/>
      </c>
      <c r="K87" s="72" t="str">
        <f t="shared" si="25"/>
        <v/>
      </c>
      <c r="N87" s="64" t="str">
        <f t="shared" si="26"/>
        <v/>
      </c>
      <c r="O87" s="72" t="str">
        <f t="shared" si="27"/>
        <v/>
      </c>
      <c r="R87" s="64" t="str">
        <f t="shared" si="28"/>
        <v/>
      </c>
      <c r="S87" s="72" t="str">
        <f t="shared" si="29"/>
        <v/>
      </c>
      <c r="V87" s="64" t="str">
        <f t="shared" si="30"/>
        <v/>
      </c>
      <c r="W87" s="72" t="str">
        <f t="shared" si="31"/>
        <v/>
      </c>
      <c r="Z87" s="64" t="str">
        <f t="shared" si="32"/>
        <v/>
      </c>
      <c r="AA87" s="72" t="str">
        <f t="shared" si="33"/>
        <v/>
      </c>
      <c r="AD87" s="64" t="str">
        <f t="shared" si="34"/>
        <v/>
      </c>
      <c r="AE87" s="72" t="str">
        <f t="shared" si="35"/>
        <v/>
      </c>
      <c r="AH87" s="64" t="str">
        <f t="shared" si="36"/>
        <v/>
      </c>
      <c r="AI87" s="72" t="str">
        <f t="shared" si="37"/>
        <v/>
      </c>
      <c r="AL87" s="64" t="str">
        <f t="shared" si="38"/>
        <v/>
      </c>
      <c r="AM87" s="72" t="str">
        <f t="shared" si="39"/>
        <v/>
      </c>
      <c r="AP87" s="64" t="str">
        <f t="shared" si="40"/>
        <v/>
      </c>
      <c r="AQ87" s="72" t="str">
        <f t="shared" si="41"/>
        <v/>
      </c>
    </row>
    <row r="88" spans="1:43" x14ac:dyDescent="0.25">
      <c r="A88" s="49">
        <v>0</v>
      </c>
      <c r="B88" s="50">
        <v>-15</v>
      </c>
      <c r="C88" s="38">
        <f t="shared" si="21"/>
        <v>15</v>
      </c>
      <c r="F88" s="1" t="str">
        <f t="shared" si="22"/>
        <v/>
      </c>
      <c r="G88" s="1" t="str">
        <f t="shared" si="23"/>
        <v/>
      </c>
      <c r="J88" s="64" t="str">
        <f t="shared" si="24"/>
        <v/>
      </c>
      <c r="K88" s="72" t="str">
        <f t="shared" si="25"/>
        <v/>
      </c>
      <c r="N88" s="64" t="str">
        <f t="shared" si="26"/>
        <v/>
      </c>
      <c r="O88" s="72" t="str">
        <f t="shared" si="27"/>
        <v/>
      </c>
      <c r="R88" s="64" t="str">
        <f t="shared" si="28"/>
        <v/>
      </c>
      <c r="S88" s="72" t="str">
        <f t="shared" si="29"/>
        <v/>
      </c>
      <c r="V88" s="64" t="str">
        <f t="shared" si="30"/>
        <v/>
      </c>
      <c r="W88" s="72" t="str">
        <f t="shared" si="31"/>
        <v/>
      </c>
      <c r="Z88" s="64" t="str">
        <f t="shared" si="32"/>
        <v/>
      </c>
      <c r="AA88" s="72" t="str">
        <f t="shared" si="33"/>
        <v/>
      </c>
      <c r="AD88" s="64" t="str">
        <f t="shared" si="34"/>
        <v/>
      </c>
      <c r="AE88" s="72" t="str">
        <f t="shared" si="35"/>
        <v/>
      </c>
      <c r="AH88" s="64" t="str">
        <f t="shared" si="36"/>
        <v/>
      </c>
      <c r="AI88" s="72" t="str">
        <f t="shared" si="37"/>
        <v/>
      </c>
      <c r="AL88" s="64" t="str">
        <f t="shared" si="38"/>
        <v/>
      </c>
      <c r="AM88" s="72" t="str">
        <f t="shared" si="39"/>
        <v/>
      </c>
      <c r="AP88" s="64" t="str">
        <f t="shared" si="40"/>
        <v/>
      </c>
      <c r="AQ88" s="72" t="str">
        <f t="shared" si="41"/>
        <v/>
      </c>
    </row>
    <row r="89" spans="1:43" x14ac:dyDescent="0.25">
      <c r="A89" s="49">
        <v>0</v>
      </c>
      <c r="B89" s="50">
        <v>-10</v>
      </c>
      <c r="C89" s="38">
        <f t="shared" si="21"/>
        <v>10</v>
      </c>
      <c r="F89" s="1" t="str">
        <f t="shared" si="22"/>
        <v/>
      </c>
      <c r="G89" s="1" t="str">
        <f t="shared" si="23"/>
        <v/>
      </c>
      <c r="J89" s="64" t="str">
        <f t="shared" si="24"/>
        <v/>
      </c>
      <c r="K89" s="72" t="str">
        <f t="shared" si="25"/>
        <v/>
      </c>
      <c r="N89" s="64" t="str">
        <f t="shared" si="26"/>
        <v/>
      </c>
      <c r="O89" s="72" t="str">
        <f t="shared" si="27"/>
        <v/>
      </c>
      <c r="R89" s="64" t="str">
        <f t="shared" si="28"/>
        <v/>
      </c>
      <c r="S89" s="72" t="str">
        <f t="shared" si="29"/>
        <v/>
      </c>
      <c r="V89" s="64" t="str">
        <f t="shared" si="30"/>
        <v/>
      </c>
      <c r="W89" s="72" t="str">
        <f t="shared" si="31"/>
        <v/>
      </c>
      <c r="Z89" s="64" t="str">
        <f t="shared" si="32"/>
        <v/>
      </c>
      <c r="AA89" s="72" t="str">
        <f t="shared" si="33"/>
        <v/>
      </c>
      <c r="AD89" s="64" t="str">
        <f t="shared" si="34"/>
        <v/>
      </c>
      <c r="AE89" s="72" t="str">
        <f t="shared" si="35"/>
        <v/>
      </c>
      <c r="AH89" s="64" t="str">
        <f t="shared" si="36"/>
        <v/>
      </c>
      <c r="AI89" s="72" t="str">
        <f t="shared" si="37"/>
        <v/>
      </c>
      <c r="AL89" s="64" t="str">
        <f t="shared" si="38"/>
        <v/>
      </c>
      <c r="AM89" s="72" t="str">
        <f t="shared" si="39"/>
        <v/>
      </c>
      <c r="AP89" s="64" t="str">
        <f t="shared" si="40"/>
        <v/>
      </c>
      <c r="AQ89" s="72" t="str">
        <f t="shared" si="41"/>
        <v/>
      </c>
    </row>
    <row r="90" spans="1:43" x14ac:dyDescent="0.25">
      <c r="A90" s="49">
        <v>0</v>
      </c>
      <c r="B90" s="50">
        <v>-5</v>
      </c>
      <c r="C90" s="38">
        <f t="shared" si="21"/>
        <v>5</v>
      </c>
      <c r="F90" s="1" t="str">
        <f t="shared" si="22"/>
        <v/>
      </c>
      <c r="G90" s="1" t="str">
        <f t="shared" si="23"/>
        <v/>
      </c>
      <c r="J90" s="64" t="str">
        <f t="shared" si="24"/>
        <v/>
      </c>
      <c r="K90" s="72" t="str">
        <f t="shared" si="25"/>
        <v/>
      </c>
      <c r="N90" s="64" t="str">
        <f t="shared" si="26"/>
        <v/>
      </c>
      <c r="O90" s="72" t="str">
        <f t="shared" si="27"/>
        <v/>
      </c>
      <c r="R90" s="64" t="str">
        <f t="shared" si="28"/>
        <v/>
      </c>
      <c r="S90" s="72" t="str">
        <f t="shared" si="29"/>
        <v/>
      </c>
      <c r="V90" s="64" t="str">
        <f t="shared" si="30"/>
        <v/>
      </c>
      <c r="W90" s="72" t="str">
        <f t="shared" si="31"/>
        <v/>
      </c>
      <c r="Z90" s="64" t="str">
        <f t="shared" si="32"/>
        <v/>
      </c>
      <c r="AA90" s="72" t="str">
        <f t="shared" si="33"/>
        <v/>
      </c>
      <c r="AD90" s="64" t="str">
        <f t="shared" si="34"/>
        <v/>
      </c>
      <c r="AE90" s="72" t="str">
        <f t="shared" si="35"/>
        <v/>
      </c>
      <c r="AH90" s="64" t="str">
        <f t="shared" si="36"/>
        <v/>
      </c>
      <c r="AI90" s="72" t="str">
        <f t="shared" si="37"/>
        <v/>
      </c>
      <c r="AL90" s="64" t="str">
        <f t="shared" si="38"/>
        <v/>
      </c>
      <c r="AM90" s="72" t="str">
        <f t="shared" si="39"/>
        <v/>
      </c>
      <c r="AP90" s="64" t="str">
        <f t="shared" si="40"/>
        <v/>
      </c>
      <c r="AQ90" s="72" t="str">
        <f t="shared" si="41"/>
        <v/>
      </c>
    </row>
    <row r="91" spans="1:43" x14ac:dyDescent="0.25">
      <c r="A91" s="49">
        <v>0</v>
      </c>
      <c r="B91" s="50">
        <v>0</v>
      </c>
      <c r="C91" s="38">
        <f t="shared" si="21"/>
        <v>0</v>
      </c>
      <c r="F91" s="1" t="str">
        <f t="shared" si="22"/>
        <v/>
      </c>
      <c r="G91" s="1" t="str">
        <f t="shared" si="23"/>
        <v/>
      </c>
      <c r="J91" s="64" t="str">
        <f t="shared" si="24"/>
        <v/>
      </c>
      <c r="K91" s="72" t="str">
        <f t="shared" si="25"/>
        <v/>
      </c>
      <c r="N91" s="64" t="str">
        <f t="shared" si="26"/>
        <v/>
      </c>
      <c r="O91" s="72" t="str">
        <f t="shared" si="27"/>
        <v/>
      </c>
      <c r="R91" s="64" t="str">
        <f t="shared" si="28"/>
        <v/>
      </c>
      <c r="S91" s="72" t="str">
        <f t="shared" si="29"/>
        <v/>
      </c>
      <c r="V91" s="64" t="str">
        <f t="shared" si="30"/>
        <v/>
      </c>
      <c r="W91" s="72" t="str">
        <f t="shared" si="31"/>
        <v/>
      </c>
      <c r="Z91" s="64" t="str">
        <f t="shared" si="32"/>
        <v/>
      </c>
      <c r="AA91" s="72" t="str">
        <f t="shared" si="33"/>
        <v/>
      </c>
      <c r="AD91" s="64" t="str">
        <f t="shared" si="34"/>
        <v/>
      </c>
      <c r="AE91" s="72" t="str">
        <f t="shared" si="35"/>
        <v/>
      </c>
      <c r="AH91" s="64" t="str">
        <f t="shared" si="36"/>
        <v/>
      </c>
      <c r="AI91" s="72" t="str">
        <f t="shared" si="37"/>
        <v/>
      </c>
      <c r="AL91" s="64" t="str">
        <f t="shared" si="38"/>
        <v/>
      </c>
      <c r="AM91" s="72" t="str">
        <f t="shared" si="39"/>
        <v/>
      </c>
      <c r="AP91" s="64" t="str">
        <f t="shared" si="40"/>
        <v/>
      </c>
      <c r="AQ91" s="72" t="str">
        <f t="shared" si="41"/>
        <v/>
      </c>
    </row>
    <row r="92" spans="1:43" x14ac:dyDescent="0.25">
      <c r="A92" s="49">
        <v>0</v>
      </c>
      <c r="B92" s="50">
        <v>5</v>
      </c>
      <c r="C92" s="38">
        <f t="shared" si="21"/>
        <v>5</v>
      </c>
      <c r="F92" s="1" t="str">
        <f t="shared" si="22"/>
        <v/>
      </c>
      <c r="G92" s="1" t="str">
        <f t="shared" si="23"/>
        <v/>
      </c>
      <c r="J92" s="64" t="str">
        <f t="shared" si="24"/>
        <v/>
      </c>
      <c r="K92" s="72" t="str">
        <f t="shared" si="25"/>
        <v/>
      </c>
      <c r="N92" s="64" t="str">
        <f t="shared" si="26"/>
        <v/>
      </c>
      <c r="O92" s="72" t="str">
        <f t="shared" si="27"/>
        <v/>
      </c>
      <c r="R92" s="64" t="str">
        <f t="shared" si="28"/>
        <v/>
      </c>
      <c r="S92" s="72" t="str">
        <f t="shared" si="29"/>
        <v/>
      </c>
      <c r="V92" s="64" t="str">
        <f t="shared" si="30"/>
        <v/>
      </c>
      <c r="W92" s="72" t="str">
        <f t="shared" si="31"/>
        <v/>
      </c>
      <c r="Z92" s="64" t="str">
        <f t="shared" si="32"/>
        <v/>
      </c>
      <c r="AA92" s="72" t="str">
        <f t="shared" si="33"/>
        <v/>
      </c>
      <c r="AD92" s="64" t="str">
        <f t="shared" si="34"/>
        <v/>
      </c>
      <c r="AE92" s="72" t="str">
        <f t="shared" si="35"/>
        <v/>
      </c>
      <c r="AH92" s="64" t="str">
        <f t="shared" si="36"/>
        <v/>
      </c>
      <c r="AI92" s="72" t="str">
        <f t="shared" si="37"/>
        <v/>
      </c>
      <c r="AL92" s="64" t="str">
        <f t="shared" si="38"/>
        <v/>
      </c>
      <c r="AM92" s="72" t="str">
        <f t="shared" si="39"/>
        <v/>
      </c>
      <c r="AP92" s="64" t="str">
        <f t="shared" si="40"/>
        <v/>
      </c>
      <c r="AQ92" s="72" t="str">
        <f t="shared" si="41"/>
        <v/>
      </c>
    </row>
    <row r="93" spans="1:43" x14ac:dyDescent="0.25">
      <c r="A93" s="49">
        <v>0</v>
      </c>
      <c r="B93" s="50">
        <v>10</v>
      </c>
      <c r="C93" s="38">
        <f t="shared" si="21"/>
        <v>10</v>
      </c>
      <c r="F93" s="1" t="str">
        <f t="shared" si="22"/>
        <v/>
      </c>
      <c r="G93" s="1" t="str">
        <f t="shared" si="23"/>
        <v/>
      </c>
      <c r="J93" s="64" t="str">
        <f t="shared" si="24"/>
        <v/>
      </c>
      <c r="K93" s="72" t="str">
        <f t="shared" si="25"/>
        <v/>
      </c>
      <c r="N93" s="64" t="str">
        <f t="shared" si="26"/>
        <v/>
      </c>
      <c r="O93" s="72" t="str">
        <f t="shared" si="27"/>
        <v/>
      </c>
      <c r="R93" s="64" t="str">
        <f t="shared" si="28"/>
        <v/>
      </c>
      <c r="S93" s="72" t="str">
        <f t="shared" si="29"/>
        <v/>
      </c>
      <c r="V93" s="64" t="str">
        <f t="shared" si="30"/>
        <v/>
      </c>
      <c r="W93" s="72" t="str">
        <f t="shared" si="31"/>
        <v/>
      </c>
      <c r="Z93" s="64" t="str">
        <f t="shared" si="32"/>
        <v/>
      </c>
      <c r="AA93" s="72" t="str">
        <f t="shared" si="33"/>
        <v/>
      </c>
      <c r="AD93" s="64" t="str">
        <f t="shared" si="34"/>
        <v/>
      </c>
      <c r="AE93" s="72" t="str">
        <f t="shared" si="35"/>
        <v/>
      </c>
      <c r="AH93" s="64" t="str">
        <f t="shared" si="36"/>
        <v/>
      </c>
      <c r="AI93" s="72" t="str">
        <f t="shared" si="37"/>
        <v/>
      </c>
      <c r="AL93" s="64" t="str">
        <f t="shared" si="38"/>
        <v/>
      </c>
      <c r="AM93" s="72" t="str">
        <f t="shared" si="39"/>
        <v/>
      </c>
      <c r="AP93" s="64" t="str">
        <f t="shared" si="40"/>
        <v/>
      </c>
      <c r="AQ93" s="72" t="str">
        <f t="shared" si="41"/>
        <v/>
      </c>
    </row>
    <row r="94" spans="1:43" x14ac:dyDescent="0.25">
      <c r="A94" s="49">
        <v>0</v>
      </c>
      <c r="B94" s="50">
        <v>15</v>
      </c>
      <c r="C94" s="38">
        <f t="shared" si="21"/>
        <v>15</v>
      </c>
      <c r="F94" s="1" t="str">
        <f t="shared" si="22"/>
        <v/>
      </c>
      <c r="G94" s="1" t="str">
        <f t="shared" si="23"/>
        <v/>
      </c>
      <c r="J94" s="64" t="str">
        <f t="shared" si="24"/>
        <v/>
      </c>
      <c r="K94" s="72" t="str">
        <f t="shared" si="25"/>
        <v/>
      </c>
      <c r="N94" s="64" t="str">
        <f t="shared" si="26"/>
        <v/>
      </c>
      <c r="O94" s="72" t="str">
        <f t="shared" si="27"/>
        <v/>
      </c>
      <c r="R94" s="64" t="str">
        <f t="shared" si="28"/>
        <v/>
      </c>
      <c r="S94" s="72" t="str">
        <f t="shared" si="29"/>
        <v/>
      </c>
      <c r="V94" s="64" t="str">
        <f t="shared" si="30"/>
        <v/>
      </c>
      <c r="W94" s="72" t="str">
        <f t="shared" si="31"/>
        <v/>
      </c>
      <c r="Z94" s="64" t="str">
        <f t="shared" si="32"/>
        <v/>
      </c>
      <c r="AA94" s="72" t="str">
        <f t="shared" si="33"/>
        <v/>
      </c>
      <c r="AD94" s="64" t="str">
        <f t="shared" si="34"/>
        <v/>
      </c>
      <c r="AE94" s="72" t="str">
        <f t="shared" si="35"/>
        <v/>
      </c>
      <c r="AH94" s="64" t="str">
        <f t="shared" si="36"/>
        <v/>
      </c>
      <c r="AI94" s="72" t="str">
        <f t="shared" si="37"/>
        <v/>
      </c>
      <c r="AL94" s="64" t="str">
        <f t="shared" si="38"/>
        <v/>
      </c>
      <c r="AM94" s="72" t="str">
        <f t="shared" si="39"/>
        <v/>
      </c>
      <c r="AP94" s="64" t="str">
        <f t="shared" si="40"/>
        <v/>
      </c>
      <c r="AQ94" s="72" t="str">
        <f t="shared" si="41"/>
        <v/>
      </c>
    </row>
    <row r="95" spans="1:43" x14ac:dyDescent="0.25">
      <c r="A95" s="49">
        <v>0</v>
      </c>
      <c r="B95" s="50">
        <v>20</v>
      </c>
      <c r="C95" s="38">
        <f t="shared" si="21"/>
        <v>20</v>
      </c>
      <c r="F95" s="1" t="str">
        <f t="shared" si="22"/>
        <v/>
      </c>
      <c r="G95" s="1" t="str">
        <f t="shared" si="23"/>
        <v/>
      </c>
      <c r="J95" s="64" t="str">
        <f t="shared" si="24"/>
        <v/>
      </c>
      <c r="K95" s="72" t="str">
        <f t="shared" si="25"/>
        <v/>
      </c>
      <c r="N95" s="64" t="str">
        <f t="shared" si="26"/>
        <v/>
      </c>
      <c r="O95" s="72" t="str">
        <f t="shared" si="27"/>
        <v/>
      </c>
      <c r="R95" s="64" t="str">
        <f t="shared" si="28"/>
        <v/>
      </c>
      <c r="S95" s="72" t="str">
        <f t="shared" si="29"/>
        <v/>
      </c>
      <c r="V95" s="64" t="str">
        <f t="shared" si="30"/>
        <v/>
      </c>
      <c r="W95" s="72" t="str">
        <f t="shared" si="31"/>
        <v/>
      </c>
      <c r="Z95" s="64" t="str">
        <f t="shared" si="32"/>
        <v/>
      </c>
      <c r="AA95" s="72" t="str">
        <f t="shared" si="33"/>
        <v/>
      </c>
      <c r="AD95" s="64" t="str">
        <f t="shared" si="34"/>
        <v/>
      </c>
      <c r="AE95" s="72" t="str">
        <f t="shared" si="35"/>
        <v/>
      </c>
      <c r="AH95" s="64" t="str">
        <f t="shared" si="36"/>
        <v/>
      </c>
      <c r="AI95" s="72" t="str">
        <f t="shared" si="37"/>
        <v/>
      </c>
      <c r="AL95" s="64" t="str">
        <f t="shared" si="38"/>
        <v/>
      </c>
      <c r="AM95" s="72" t="str">
        <f t="shared" si="39"/>
        <v/>
      </c>
      <c r="AP95" s="64" t="str">
        <f t="shared" si="40"/>
        <v/>
      </c>
      <c r="AQ95" s="72" t="str">
        <f t="shared" si="41"/>
        <v/>
      </c>
    </row>
    <row r="96" spans="1:43" x14ac:dyDescent="0.25">
      <c r="A96" s="49">
        <v>0</v>
      </c>
      <c r="B96" s="50">
        <v>25</v>
      </c>
      <c r="C96" s="38">
        <f t="shared" si="21"/>
        <v>25</v>
      </c>
      <c r="F96" s="1" t="str">
        <f t="shared" si="22"/>
        <v/>
      </c>
      <c r="G96" s="1" t="str">
        <f t="shared" si="23"/>
        <v/>
      </c>
      <c r="J96" s="64" t="str">
        <f t="shared" si="24"/>
        <v/>
      </c>
      <c r="K96" s="72" t="str">
        <f t="shared" si="25"/>
        <v/>
      </c>
      <c r="N96" s="64" t="str">
        <f t="shared" si="26"/>
        <v/>
      </c>
      <c r="O96" s="72" t="str">
        <f t="shared" si="27"/>
        <v/>
      </c>
      <c r="R96" s="64" t="str">
        <f t="shared" si="28"/>
        <v/>
      </c>
      <c r="S96" s="72" t="str">
        <f t="shared" si="29"/>
        <v/>
      </c>
      <c r="V96" s="64" t="str">
        <f t="shared" si="30"/>
        <v/>
      </c>
      <c r="W96" s="72" t="str">
        <f t="shared" si="31"/>
        <v/>
      </c>
      <c r="Z96" s="64" t="str">
        <f t="shared" si="32"/>
        <v/>
      </c>
      <c r="AA96" s="72" t="str">
        <f t="shared" si="33"/>
        <v/>
      </c>
      <c r="AD96" s="64" t="str">
        <f t="shared" si="34"/>
        <v/>
      </c>
      <c r="AE96" s="72" t="str">
        <f t="shared" si="35"/>
        <v/>
      </c>
      <c r="AH96" s="64" t="str">
        <f t="shared" si="36"/>
        <v/>
      </c>
      <c r="AI96" s="72" t="str">
        <f t="shared" si="37"/>
        <v/>
      </c>
      <c r="AL96" s="64" t="str">
        <f t="shared" si="38"/>
        <v/>
      </c>
      <c r="AM96" s="72" t="str">
        <f t="shared" si="39"/>
        <v/>
      </c>
      <c r="AP96" s="64" t="str">
        <f t="shared" si="40"/>
        <v/>
      </c>
      <c r="AQ96" s="72" t="str">
        <f t="shared" si="41"/>
        <v/>
      </c>
    </row>
    <row r="97" spans="1:43" x14ac:dyDescent="0.25">
      <c r="A97" s="49">
        <v>0</v>
      </c>
      <c r="B97" s="50">
        <v>30</v>
      </c>
      <c r="C97" s="38">
        <f t="shared" si="21"/>
        <v>30</v>
      </c>
      <c r="F97" s="1" t="str">
        <f t="shared" si="22"/>
        <v/>
      </c>
      <c r="G97" s="1" t="str">
        <f t="shared" si="23"/>
        <v/>
      </c>
      <c r="J97" s="64" t="str">
        <f t="shared" si="24"/>
        <v/>
      </c>
      <c r="K97" s="72" t="str">
        <f t="shared" si="25"/>
        <v/>
      </c>
      <c r="N97" s="64" t="str">
        <f t="shared" si="26"/>
        <v/>
      </c>
      <c r="O97" s="72" t="str">
        <f t="shared" si="27"/>
        <v/>
      </c>
      <c r="R97" s="64" t="str">
        <f t="shared" si="28"/>
        <v/>
      </c>
      <c r="S97" s="72" t="str">
        <f t="shared" si="29"/>
        <v/>
      </c>
      <c r="V97" s="64" t="str">
        <f t="shared" si="30"/>
        <v/>
      </c>
      <c r="W97" s="72" t="str">
        <f t="shared" si="31"/>
        <v/>
      </c>
      <c r="Z97" s="64" t="str">
        <f t="shared" si="32"/>
        <v/>
      </c>
      <c r="AA97" s="72" t="str">
        <f t="shared" si="33"/>
        <v/>
      </c>
      <c r="AD97" s="64" t="str">
        <f t="shared" si="34"/>
        <v/>
      </c>
      <c r="AE97" s="72" t="str">
        <f t="shared" si="35"/>
        <v/>
      </c>
      <c r="AH97" s="64" t="str">
        <f t="shared" si="36"/>
        <v/>
      </c>
      <c r="AI97" s="72" t="str">
        <f t="shared" si="37"/>
        <v/>
      </c>
      <c r="AL97" s="64" t="str">
        <f t="shared" si="38"/>
        <v/>
      </c>
      <c r="AM97" s="72" t="str">
        <f t="shared" si="39"/>
        <v/>
      </c>
      <c r="AP97" s="64" t="str">
        <f t="shared" si="40"/>
        <v/>
      </c>
      <c r="AQ97" s="72" t="str">
        <f t="shared" si="41"/>
        <v/>
      </c>
    </row>
    <row r="98" spans="1:43" x14ac:dyDescent="0.25">
      <c r="A98" s="49">
        <v>0</v>
      </c>
      <c r="B98" s="50">
        <v>35</v>
      </c>
      <c r="C98" s="38">
        <f t="shared" si="21"/>
        <v>35</v>
      </c>
      <c r="F98" s="1" t="str">
        <f t="shared" si="22"/>
        <v/>
      </c>
      <c r="G98" s="1" t="str">
        <f t="shared" si="23"/>
        <v/>
      </c>
      <c r="J98" s="64" t="str">
        <f t="shared" si="24"/>
        <v/>
      </c>
      <c r="K98" s="72" t="str">
        <f t="shared" si="25"/>
        <v/>
      </c>
      <c r="N98" s="64" t="str">
        <f t="shared" si="26"/>
        <v/>
      </c>
      <c r="O98" s="72" t="str">
        <f t="shared" si="27"/>
        <v/>
      </c>
      <c r="R98" s="64" t="str">
        <f t="shared" si="28"/>
        <v/>
      </c>
      <c r="S98" s="72" t="str">
        <f t="shared" si="29"/>
        <v/>
      </c>
      <c r="V98" s="64" t="str">
        <f t="shared" si="30"/>
        <v/>
      </c>
      <c r="W98" s="72" t="str">
        <f t="shared" si="31"/>
        <v/>
      </c>
      <c r="Z98" s="64" t="str">
        <f t="shared" si="32"/>
        <v/>
      </c>
      <c r="AA98" s="72" t="str">
        <f t="shared" si="33"/>
        <v/>
      </c>
      <c r="AD98" s="64" t="str">
        <f t="shared" si="34"/>
        <v/>
      </c>
      <c r="AE98" s="72" t="str">
        <f t="shared" si="35"/>
        <v/>
      </c>
      <c r="AH98" s="64" t="str">
        <f t="shared" si="36"/>
        <v/>
      </c>
      <c r="AI98" s="72" t="str">
        <f t="shared" si="37"/>
        <v/>
      </c>
      <c r="AL98" s="64" t="str">
        <f t="shared" si="38"/>
        <v/>
      </c>
      <c r="AM98" s="72" t="str">
        <f t="shared" si="39"/>
        <v/>
      </c>
      <c r="AP98" s="64" t="str">
        <f t="shared" si="40"/>
        <v/>
      </c>
      <c r="AQ98" s="72" t="str">
        <f t="shared" si="41"/>
        <v/>
      </c>
    </row>
    <row r="99" spans="1:43" x14ac:dyDescent="0.25">
      <c r="A99" s="49">
        <v>0</v>
      </c>
      <c r="B99" s="50">
        <v>40</v>
      </c>
      <c r="C99" s="38">
        <f t="shared" si="21"/>
        <v>40</v>
      </c>
      <c r="F99" s="1" t="str">
        <f t="shared" si="22"/>
        <v/>
      </c>
      <c r="G99" s="1" t="str">
        <f t="shared" si="23"/>
        <v/>
      </c>
      <c r="J99" s="64" t="str">
        <f t="shared" si="24"/>
        <v/>
      </c>
      <c r="K99" s="72" t="str">
        <f t="shared" si="25"/>
        <v/>
      </c>
      <c r="N99" s="64" t="str">
        <f t="shared" si="26"/>
        <v/>
      </c>
      <c r="O99" s="72" t="str">
        <f t="shared" si="27"/>
        <v/>
      </c>
      <c r="R99" s="64" t="str">
        <f t="shared" si="28"/>
        <v/>
      </c>
      <c r="S99" s="72" t="str">
        <f t="shared" si="29"/>
        <v/>
      </c>
      <c r="V99" s="64" t="str">
        <f t="shared" si="30"/>
        <v/>
      </c>
      <c r="W99" s="72" t="str">
        <f t="shared" si="31"/>
        <v/>
      </c>
      <c r="Z99" s="64" t="str">
        <f t="shared" si="32"/>
        <v/>
      </c>
      <c r="AA99" s="72" t="str">
        <f t="shared" si="33"/>
        <v/>
      </c>
      <c r="AD99" s="64" t="str">
        <f t="shared" si="34"/>
        <v/>
      </c>
      <c r="AE99" s="72" t="str">
        <f t="shared" si="35"/>
        <v/>
      </c>
      <c r="AH99" s="64" t="str">
        <f t="shared" si="36"/>
        <v/>
      </c>
      <c r="AI99" s="72" t="str">
        <f t="shared" si="37"/>
        <v/>
      </c>
      <c r="AL99" s="64" t="str">
        <f t="shared" si="38"/>
        <v/>
      </c>
      <c r="AM99" s="72" t="str">
        <f t="shared" si="39"/>
        <v/>
      </c>
      <c r="AP99" s="64" t="str">
        <f t="shared" si="40"/>
        <v/>
      </c>
      <c r="AQ99" s="72" t="str">
        <f t="shared" si="41"/>
        <v/>
      </c>
    </row>
    <row r="100" spans="1:43" x14ac:dyDescent="0.25">
      <c r="A100" s="49">
        <v>0</v>
      </c>
      <c r="B100" s="50">
        <v>45</v>
      </c>
      <c r="C100" s="38">
        <f t="shared" si="21"/>
        <v>45</v>
      </c>
      <c r="F100" s="1" t="str">
        <f t="shared" si="22"/>
        <v/>
      </c>
      <c r="G100" s="1" t="str">
        <f t="shared" si="23"/>
        <v/>
      </c>
      <c r="J100" s="64" t="str">
        <f t="shared" si="24"/>
        <v/>
      </c>
      <c r="K100" s="72" t="str">
        <f t="shared" si="25"/>
        <v/>
      </c>
      <c r="N100" s="64" t="str">
        <f t="shared" si="26"/>
        <v/>
      </c>
      <c r="O100" s="72" t="str">
        <f t="shared" si="27"/>
        <v/>
      </c>
      <c r="R100" s="64" t="str">
        <f t="shared" si="28"/>
        <v/>
      </c>
      <c r="S100" s="72" t="str">
        <f t="shared" si="29"/>
        <v/>
      </c>
      <c r="V100" s="64" t="str">
        <f t="shared" si="30"/>
        <v/>
      </c>
      <c r="W100" s="72" t="str">
        <f t="shared" si="31"/>
        <v/>
      </c>
      <c r="Z100" s="64" t="str">
        <f t="shared" si="32"/>
        <v/>
      </c>
      <c r="AA100" s="72" t="str">
        <f t="shared" si="33"/>
        <v/>
      </c>
      <c r="AD100" s="64" t="str">
        <f t="shared" si="34"/>
        <v/>
      </c>
      <c r="AE100" s="72" t="str">
        <f t="shared" si="35"/>
        <v/>
      </c>
      <c r="AH100" s="64" t="str">
        <f t="shared" si="36"/>
        <v/>
      </c>
      <c r="AI100" s="72" t="str">
        <f t="shared" si="37"/>
        <v/>
      </c>
      <c r="AL100" s="64" t="str">
        <f t="shared" si="38"/>
        <v/>
      </c>
      <c r="AM100" s="72" t="str">
        <f t="shared" si="39"/>
        <v/>
      </c>
      <c r="AP100" s="64" t="str">
        <f t="shared" si="40"/>
        <v/>
      </c>
      <c r="AQ100" s="72" t="str">
        <f t="shared" si="41"/>
        <v/>
      </c>
    </row>
    <row r="101" spans="1:43" x14ac:dyDescent="0.25">
      <c r="A101" s="61">
        <v>0</v>
      </c>
      <c r="B101" s="60">
        <v>50</v>
      </c>
      <c r="C101" s="62">
        <f>(A101^2+B101^2)^(1/2)</f>
        <v>50</v>
      </c>
      <c r="F101" s="1" t="str">
        <f>IF(D101="","",(D101-E101)/10)</f>
        <v/>
      </c>
      <c r="G101" s="1" t="str">
        <f t="shared" si="23"/>
        <v/>
      </c>
      <c r="J101" s="64" t="str">
        <f>IF(H101="","",(H101-I101)/10)</f>
        <v/>
      </c>
      <c r="K101" s="72" t="str">
        <f t="shared" si="25"/>
        <v/>
      </c>
      <c r="N101" s="64" t="str">
        <f>IF(L101="","",(L101-M101)/10)</f>
        <v/>
      </c>
      <c r="O101" s="72" t="str">
        <f t="shared" si="27"/>
        <v/>
      </c>
      <c r="R101" s="64" t="str">
        <f>IF(P101="","",(P101-Q101)/10)</f>
        <v/>
      </c>
      <c r="S101" s="72" t="str">
        <f t="shared" si="29"/>
        <v/>
      </c>
      <c r="V101" s="64" t="str">
        <f>IF(T101="","",(T101-U101)/10)</f>
        <v/>
      </c>
      <c r="W101" s="72" t="str">
        <f t="shared" si="31"/>
        <v/>
      </c>
      <c r="Z101" s="64" t="str">
        <f>IF(X101="","",(X101-Y101)/10)</f>
        <v/>
      </c>
      <c r="AA101" s="72" t="str">
        <f t="shared" si="33"/>
        <v/>
      </c>
      <c r="AD101" s="64" t="str">
        <f>IF(AB101="","",(AB101-AC101)/10)</f>
        <v/>
      </c>
      <c r="AE101" s="72" t="str">
        <f t="shared" si="35"/>
        <v/>
      </c>
      <c r="AH101" s="64" t="str">
        <f>IF(AF101="","",(AF101-AG101)/10)</f>
        <v/>
      </c>
      <c r="AI101" s="72" t="str">
        <f t="shared" si="37"/>
        <v/>
      </c>
      <c r="AL101" s="64" t="str">
        <f>IF(AJ101="","",(AJ101-AK101)/10)</f>
        <v/>
      </c>
      <c r="AM101" s="72" t="str">
        <f t="shared" si="39"/>
        <v/>
      </c>
      <c r="AP101" s="64" t="str">
        <f>IF(AN101="","",(AN101-AO101)/10)</f>
        <v/>
      </c>
      <c r="AQ101" s="72" t="str">
        <f t="shared" si="41"/>
        <v/>
      </c>
    </row>
    <row r="102" spans="1:43" x14ac:dyDescent="0.25">
      <c r="A102" s="61">
        <v>0</v>
      </c>
      <c r="B102" s="60">
        <v>55</v>
      </c>
      <c r="C102" s="62">
        <f t="shared" ref="C102:C115" si="42">(A102^2+B102^2)^(1/2)</f>
        <v>55</v>
      </c>
      <c r="F102" s="1" t="str">
        <f t="shared" ref="F102:F115" si="43">IF(D102="","",(D102-E102)/10)</f>
        <v/>
      </c>
      <c r="G102" s="1" t="str">
        <f t="shared" si="23"/>
        <v/>
      </c>
      <c r="J102" s="64" t="str">
        <f t="shared" ref="J102:J115" si="44">IF(H102="","",(H102-I102)/10)</f>
        <v/>
      </c>
      <c r="K102" s="72" t="str">
        <f t="shared" si="25"/>
        <v/>
      </c>
      <c r="N102" s="64" t="str">
        <f t="shared" ref="N102:N115" si="45">IF(L102="","",(L102-M102)/10)</f>
        <v/>
      </c>
      <c r="O102" s="72" t="str">
        <f t="shared" si="27"/>
        <v/>
      </c>
      <c r="R102" s="64" t="str">
        <f t="shared" ref="R102:R115" si="46">IF(P102="","",(P102-Q102)/10)</f>
        <v/>
      </c>
      <c r="S102" s="72" t="str">
        <f t="shared" si="29"/>
        <v/>
      </c>
      <c r="V102" s="64" t="str">
        <f t="shared" ref="V102:V115" si="47">IF(T102="","",(T102-U102)/10)</f>
        <v/>
      </c>
      <c r="W102" s="72" t="str">
        <f t="shared" si="31"/>
        <v/>
      </c>
      <c r="Z102" s="64" t="str">
        <f t="shared" ref="Z102:Z115" si="48">IF(X102="","",(X102-Y102)/10)</f>
        <v/>
      </c>
      <c r="AA102" s="72" t="str">
        <f t="shared" si="33"/>
        <v/>
      </c>
      <c r="AD102" s="64" t="str">
        <f t="shared" ref="AD102:AD115" si="49">IF(AB102="","",(AB102-AC102)/10)</f>
        <v/>
      </c>
      <c r="AE102" s="72" t="str">
        <f t="shared" si="35"/>
        <v/>
      </c>
      <c r="AH102" s="64" t="str">
        <f t="shared" ref="AH102:AH115" si="50">IF(AF102="","",(AF102-AG102)/10)</f>
        <v/>
      </c>
      <c r="AI102" s="72" t="str">
        <f t="shared" si="37"/>
        <v/>
      </c>
      <c r="AL102" s="64" t="str">
        <f t="shared" ref="AL102:AL115" si="51">IF(AJ102="","",(AJ102-AK102)/10)</f>
        <v/>
      </c>
      <c r="AM102" s="72" t="str">
        <f t="shared" si="39"/>
        <v/>
      </c>
      <c r="AP102" s="64" t="str">
        <f t="shared" ref="AP102:AP115" si="52">IF(AN102="","",(AN102-AO102)/10)</f>
        <v/>
      </c>
      <c r="AQ102" s="72" t="str">
        <f t="shared" si="41"/>
        <v/>
      </c>
    </row>
    <row r="103" spans="1:43" x14ac:dyDescent="0.25">
      <c r="A103" s="61">
        <v>0</v>
      </c>
      <c r="B103" s="60">
        <v>60</v>
      </c>
      <c r="C103" s="62">
        <f t="shared" si="42"/>
        <v>60</v>
      </c>
      <c r="F103" s="1" t="str">
        <f t="shared" si="43"/>
        <v/>
      </c>
      <c r="G103" s="1" t="str">
        <f t="shared" si="23"/>
        <v/>
      </c>
      <c r="J103" s="64" t="str">
        <f t="shared" si="44"/>
        <v/>
      </c>
      <c r="K103" s="72" t="str">
        <f t="shared" si="25"/>
        <v/>
      </c>
      <c r="N103" s="64" t="str">
        <f t="shared" si="45"/>
        <v/>
      </c>
      <c r="O103" s="72" t="str">
        <f t="shared" si="27"/>
        <v/>
      </c>
      <c r="R103" s="64" t="str">
        <f t="shared" si="46"/>
        <v/>
      </c>
      <c r="S103" s="72" t="str">
        <f t="shared" si="29"/>
        <v/>
      </c>
      <c r="V103" s="64" t="str">
        <f t="shared" si="47"/>
        <v/>
      </c>
      <c r="W103" s="72" t="str">
        <f t="shared" si="31"/>
        <v/>
      </c>
      <c r="Z103" s="64" t="str">
        <f t="shared" si="48"/>
        <v/>
      </c>
      <c r="AA103" s="72" t="str">
        <f t="shared" si="33"/>
        <v/>
      </c>
      <c r="AD103" s="64" t="str">
        <f t="shared" si="49"/>
        <v/>
      </c>
      <c r="AE103" s="72" t="str">
        <f t="shared" si="35"/>
        <v/>
      </c>
      <c r="AH103" s="64" t="str">
        <f t="shared" si="50"/>
        <v/>
      </c>
      <c r="AI103" s="72" t="str">
        <f t="shared" si="37"/>
        <v/>
      </c>
      <c r="AL103" s="64" t="str">
        <f t="shared" si="51"/>
        <v/>
      </c>
      <c r="AM103" s="72" t="str">
        <f t="shared" si="39"/>
        <v/>
      </c>
      <c r="AP103" s="64" t="str">
        <f t="shared" si="52"/>
        <v/>
      </c>
      <c r="AQ103" s="72" t="str">
        <f t="shared" si="41"/>
        <v/>
      </c>
    </row>
    <row r="104" spans="1:43" x14ac:dyDescent="0.25">
      <c r="A104" s="61">
        <v>0</v>
      </c>
      <c r="B104" s="60">
        <v>65</v>
      </c>
      <c r="C104" s="62">
        <f t="shared" si="42"/>
        <v>65</v>
      </c>
      <c r="F104" s="1" t="str">
        <f t="shared" si="43"/>
        <v/>
      </c>
      <c r="G104" s="1" t="str">
        <f t="shared" si="23"/>
        <v/>
      </c>
      <c r="J104" s="64" t="str">
        <f t="shared" si="44"/>
        <v/>
      </c>
      <c r="K104" s="72" t="str">
        <f t="shared" si="25"/>
        <v/>
      </c>
      <c r="N104" s="64" t="str">
        <f t="shared" si="45"/>
        <v/>
      </c>
      <c r="O104" s="72" t="str">
        <f t="shared" si="27"/>
        <v/>
      </c>
      <c r="R104" s="64" t="str">
        <f t="shared" si="46"/>
        <v/>
      </c>
      <c r="S104" s="72" t="str">
        <f t="shared" si="29"/>
        <v/>
      </c>
      <c r="V104" s="64" t="str">
        <f t="shared" si="47"/>
        <v/>
      </c>
      <c r="W104" s="72" t="str">
        <f t="shared" si="31"/>
        <v/>
      </c>
      <c r="Z104" s="64" t="str">
        <f t="shared" si="48"/>
        <v/>
      </c>
      <c r="AA104" s="72" t="str">
        <f t="shared" si="33"/>
        <v/>
      </c>
      <c r="AD104" s="64" t="str">
        <f t="shared" si="49"/>
        <v/>
      </c>
      <c r="AE104" s="72" t="str">
        <f t="shared" si="35"/>
        <v/>
      </c>
      <c r="AH104" s="64" t="str">
        <f t="shared" si="50"/>
        <v/>
      </c>
      <c r="AI104" s="72" t="str">
        <f t="shared" si="37"/>
        <v/>
      </c>
      <c r="AL104" s="64" t="str">
        <f t="shared" si="51"/>
        <v/>
      </c>
      <c r="AM104" s="72" t="str">
        <f t="shared" si="39"/>
        <v/>
      </c>
      <c r="AP104" s="64" t="str">
        <f t="shared" si="52"/>
        <v/>
      </c>
      <c r="AQ104" s="72" t="str">
        <f t="shared" si="41"/>
        <v/>
      </c>
    </row>
    <row r="105" spans="1:43" x14ac:dyDescent="0.25">
      <c r="A105" s="61">
        <v>0</v>
      </c>
      <c r="B105" s="60">
        <v>70</v>
      </c>
      <c r="C105" s="62">
        <f t="shared" si="42"/>
        <v>70</v>
      </c>
      <c r="F105" s="1" t="str">
        <f t="shared" si="43"/>
        <v/>
      </c>
      <c r="G105" s="1" t="str">
        <f t="shared" si="23"/>
        <v/>
      </c>
      <c r="J105" s="64" t="str">
        <f t="shared" si="44"/>
        <v/>
      </c>
      <c r="K105" s="72" t="str">
        <f t="shared" si="25"/>
        <v/>
      </c>
      <c r="N105" s="64" t="str">
        <f t="shared" si="45"/>
        <v/>
      </c>
      <c r="O105" s="72" t="str">
        <f t="shared" si="27"/>
        <v/>
      </c>
      <c r="R105" s="64" t="str">
        <f t="shared" si="46"/>
        <v/>
      </c>
      <c r="S105" s="72" t="str">
        <f t="shared" si="29"/>
        <v/>
      </c>
      <c r="V105" s="64" t="str">
        <f t="shared" si="47"/>
        <v/>
      </c>
      <c r="W105" s="72" t="str">
        <f t="shared" si="31"/>
        <v/>
      </c>
      <c r="Z105" s="64" t="str">
        <f t="shared" si="48"/>
        <v/>
      </c>
      <c r="AA105" s="72" t="str">
        <f t="shared" si="33"/>
        <v/>
      </c>
      <c r="AD105" s="64" t="str">
        <f t="shared" si="49"/>
        <v/>
      </c>
      <c r="AE105" s="72" t="str">
        <f t="shared" si="35"/>
        <v/>
      </c>
      <c r="AH105" s="64" t="str">
        <f t="shared" si="50"/>
        <v/>
      </c>
      <c r="AI105" s="72" t="str">
        <f t="shared" si="37"/>
        <v/>
      </c>
      <c r="AL105" s="64" t="str">
        <f t="shared" si="51"/>
        <v/>
      </c>
      <c r="AM105" s="72" t="str">
        <f t="shared" si="39"/>
        <v/>
      </c>
      <c r="AP105" s="64" t="str">
        <f t="shared" si="52"/>
        <v/>
      </c>
      <c r="AQ105" s="72" t="str">
        <f t="shared" si="41"/>
        <v/>
      </c>
    </row>
    <row r="106" spans="1:43" x14ac:dyDescent="0.25">
      <c r="A106" s="61">
        <v>0</v>
      </c>
      <c r="B106" s="60">
        <v>75</v>
      </c>
      <c r="C106" s="62">
        <f t="shared" si="42"/>
        <v>75</v>
      </c>
      <c r="F106" s="1" t="str">
        <f t="shared" si="43"/>
        <v/>
      </c>
      <c r="G106" s="1" t="str">
        <f t="shared" si="23"/>
        <v/>
      </c>
      <c r="J106" s="64" t="str">
        <f t="shared" si="44"/>
        <v/>
      </c>
      <c r="K106" s="72" t="str">
        <f t="shared" si="25"/>
        <v/>
      </c>
      <c r="N106" s="64" t="str">
        <f t="shared" si="45"/>
        <v/>
      </c>
      <c r="O106" s="72" t="str">
        <f t="shared" si="27"/>
        <v/>
      </c>
      <c r="R106" s="64" t="str">
        <f t="shared" si="46"/>
        <v/>
      </c>
      <c r="S106" s="72" t="str">
        <f t="shared" si="29"/>
        <v/>
      </c>
      <c r="V106" s="64" t="str">
        <f t="shared" si="47"/>
        <v/>
      </c>
      <c r="W106" s="72" t="str">
        <f t="shared" si="31"/>
        <v/>
      </c>
      <c r="Z106" s="64" t="str">
        <f t="shared" si="48"/>
        <v/>
      </c>
      <c r="AA106" s="72" t="str">
        <f t="shared" si="33"/>
        <v/>
      </c>
      <c r="AD106" s="64" t="str">
        <f t="shared" si="49"/>
        <v/>
      </c>
      <c r="AE106" s="72" t="str">
        <f t="shared" si="35"/>
        <v/>
      </c>
      <c r="AH106" s="64" t="str">
        <f t="shared" si="50"/>
        <v/>
      </c>
      <c r="AI106" s="72" t="str">
        <f t="shared" si="37"/>
        <v/>
      </c>
      <c r="AL106" s="64" t="str">
        <f t="shared" si="51"/>
        <v/>
      </c>
      <c r="AM106" s="72" t="str">
        <f t="shared" si="39"/>
        <v/>
      </c>
      <c r="AP106" s="64" t="str">
        <f t="shared" si="52"/>
        <v/>
      </c>
      <c r="AQ106" s="72" t="str">
        <f t="shared" si="41"/>
        <v/>
      </c>
    </row>
    <row r="107" spans="1:43" x14ac:dyDescent="0.25">
      <c r="A107" s="61">
        <v>0</v>
      </c>
      <c r="B107" s="60">
        <v>80</v>
      </c>
      <c r="C107" s="62">
        <f t="shared" si="42"/>
        <v>80</v>
      </c>
      <c r="F107" s="1" t="str">
        <f t="shared" si="43"/>
        <v/>
      </c>
      <c r="G107" s="1" t="str">
        <f t="shared" si="23"/>
        <v/>
      </c>
      <c r="J107" s="64" t="str">
        <f t="shared" si="44"/>
        <v/>
      </c>
      <c r="K107" s="72" t="str">
        <f t="shared" si="25"/>
        <v/>
      </c>
      <c r="N107" s="64" t="str">
        <f t="shared" si="45"/>
        <v/>
      </c>
      <c r="O107" s="72" t="str">
        <f t="shared" si="27"/>
        <v/>
      </c>
      <c r="R107" s="64" t="str">
        <f t="shared" si="46"/>
        <v/>
      </c>
      <c r="S107" s="72" t="str">
        <f t="shared" si="29"/>
        <v/>
      </c>
      <c r="V107" s="64" t="str">
        <f t="shared" si="47"/>
        <v/>
      </c>
      <c r="W107" s="72" t="str">
        <f t="shared" si="31"/>
        <v/>
      </c>
      <c r="Z107" s="64" t="str">
        <f t="shared" si="48"/>
        <v/>
      </c>
      <c r="AA107" s="72" t="str">
        <f t="shared" si="33"/>
        <v/>
      </c>
      <c r="AD107" s="64" t="str">
        <f t="shared" si="49"/>
        <v/>
      </c>
      <c r="AE107" s="72" t="str">
        <f t="shared" si="35"/>
        <v/>
      </c>
      <c r="AH107" s="64" t="str">
        <f t="shared" si="50"/>
        <v/>
      </c>
      <c r="AI107" s="72" t="str">
        <f t="shared" si="37"/>
        <v/>
      </c>
      <c r="AL107" s="64" t="str">
        <f t="shared" si="51"/>
        <v/>
      </c>
      <c r="AM107" s="72" t="str">
        <f t="shared" si="39"/>
        <v/>
      </c>
      <c r="AP107" s="64" t="str">
        <f t="shared" si="52"/>
        <v/>
      </c>
      <c r="AQ107" s="72" t="str">
        <f t="shared" si="41"/>
        <v/>
      </c>
    </row>
    <row r="108" spans="1:43" x14ac:dyDescent="0.25">
      <c r="A108" s="61">
        <v>0</v>
      </c>
      <c r="B108" s="60">
        <v>85</v>
      </c>
      <c r="C108" s="62">
        <f t="shared" si="42"/>
        <v>85</v>
      </c>
      <c r="F108" s="1" t="str">
        <f t="shared" si="43"/>
        <v/>
      </c>
      <c r="G108" s="1" t="str">
        <f t="shared" si="23"/>
        <v/>
      </c>
      <c r="J108" s="64" t="str">
        <f t="shared" si="44"/>
        <v/>
      </c>
      <c r="K108" s="72" t="str">
        <f t="shared" si="25"/>
        <v/>
      </c>
      <c r="N108" s="64" t="str">
        <f t="shared" si="45"/>
        <v/>
      </c>
      <c r="O108" s="72" t="str">
        <f t="shared" si="27"/>
        <v/>
      </c>
      <c r="R108" s="64" t="str">
        <f t="shared" si="46"/>
        <v/>
      </c>
      <c r="S108" s="72" t="str">
        <f t="shared" si="29"/>
        <v/>
      </c>
      <c r="V108" s="64" t="str">
        <f t="shared" si="47"/>
        <v/>
      </c>
      <c r="W108" s="72" t="str">
        <f t="shared" si="31"/>
        <v/>
      </c>
      <c r="Z108" s="64" t="str">
        <f t="shared" si="48"/>
        <v/>
      </c>
      <c r="AA108" s="72" t="str">
        <f t="shared" si="33"/>
        <v/>
      </c>
      <c r="AD108" s="64" t="str">
        <f t="shared" si="49"/>
        <v/>
      </c>
      <c r="AE108" s="72" t="str">
        <f t="shared" si="35"/>
        <v/>
      </c>
      <c r="AH108" s="64" t="str">
        <f t="shared" si="50"/>
        <v/>
      </c>
      <c r="AI108" s="72" t="str">
        <f t="shared" si="37"/>
        <v/>
      </c>
      <c r="AL108" s="64" t="str">
        <f t="shared" si="51"/>
        <v/>
      </c>
      <c r="AM108" s="72" t="str">
        <f t="shared" si="39"/>
        <v/>
      </c>
      <c r="AP108" s="64" t="str">
        <f t="shared" si="52"/>
        <v/>
      </c>
      <c r="AQ108" s="72" t="str">
        <f t="shared" si="41"/>
        <v/>
      </c>
    </row>
    <row r="109" spans="1:43" x14ac:dyDescent="0.25">
      <c r="A109" s="61">
        <v>0</v>
      </c>
      <c r="B109" s="60">
        <v>90</v>
      </c>
      <c r="C109" s="62">
        <f t="shared" si="42"/>
        <v>90</v>
      </c>
      <c r="F109" s="1" t="str">
        <f t="shared" si="43"/>
        <v/>
      </c>
      <c r="G109" s="1" t="str">
        <f t="shared" si="23"/>
        <v/>
      </c>
      <c r="J109" s="64" t="str">
        <f t="shared" si="44"/>
        <v/>
      </c>
      <c r="K109" s="72" t="str">
        <f t="shared" si="25"/>
        <v/>
      </c>
      <c r="N109" s="64" t="str">
        <f t="shared" si="45"/>
        <v/>
      </c>
      <c r="O109" s="72" t="str">
        <f t="shared" si="27"/>
        <v/>
      </c>
      <c r="R109" s="64" t="str">
        <f t="shared" si="46"/>
        <v/>
      </c>
      <c r="S109" s="72" t="str">
        <f t="shared" si="29"/>
        <v/>
      </c>
      <c r="V109" s="64" t="str">
        <f t="shared" si="47"/>
        <v/>
      </c>
      <c r="W109" s="72" t="str">
        <f t="shared" si="31"/>
        <v/>
      </c>
      <c r="Z109" s="64" t="str">
        <f t="shared" si="48"/>
        <v/>
      </c>
      <c r="AA109" s="72" t="str">
        <f t="shared" si="33"/>
        <v/>
      </c>
      <c r="AD109" s="64" t="str">
        <f t="shared" si="49"/>
        <v/>
      </c>
      <c r="AE109" s="72" t="str">
        <f t="shared" si="35"/>
        <v/>
      </c>
      <c r="AH109" s="64" t="str">
        <f t="shared" si="50"/>
        <v/>
      </c>
      <c r="AI109" s="72" t="str">
        <f t="shared" si="37"/>
        <v/>
      </c>
      <c r="AL109" s="64" t="str">
        <f t="shared" si="51"/>
        <v/>
      </c>
      <c r="AM109" s="72" t="str">
        <f t="shared" si="39"/>
        <v/>
      </c>
      <c r="AP109" s="64" t="str">
        <f t="shared" si="52"/>
        <v/>
      </c>
      <c r="AQ109" s="72" t="str">
        <f t="shared" si="41"/>
        <v/>
      </c>
    </row>
    <row r="110" spans="1:43" x14ac:dyDescent="0.25">
      <c r="A110" s="61">
        <v>0</v>
      </c>
      <c r="B110" s="60">
        <v>92</v>
      </c>
      <c r="C110" s="62">
        <f t="shared" si="42"/>
        <v>92</v>
      </c>
      <c r="F110" s="1" t="str">
        <f t="shared" si="43"/>
        <v/>
      </c>
      <c r="G110" s="1" t="str">
        <f t="shared" si="23"/>
        <v/>
      </c>
      <c r="J110" s="64" t="str">
        <f t="shared" si="44"/>
        <v/>
      </c>
      <c r="K110" s="72" t="str">
        <f t="shared" si="25"/>
        <v/>
      </c>
      <c r="N110" s="64" t="str">
        <f t="shared" si="45"/>
        <v/>
      </c>
      <c r="O110" s="72" t="str">
        <f t="shared" si="27"/>
        <v/>
      </c>
      <c r="R110" s="64" t="str">
        <f t="shared" si="46"/>
        <v/>
      </c>
      <c r="S110" s="72" t="str">
        <f t="shared" si="29"/>
        <v/>
      </c>
      <c r="V110" s="64" t="str">
        <f t="shared" si="47"/>
        <v/>
      </c>
      <c r="W110" s="72" t="str">
        <f t="shared" si="31"/>
        <v/>
      </c>
      <c r="Z110" s="64" t="str">
        <f t="shared" si="48"/>
        <v/>
      </c>
      <c r="AA110" s="72" t="str">
        <f t="shared" si="33"/>
        <v/>
      </c>
      <c r="AD110" s="64" t="str">
        <f t="shared" si="49"/>
        <v/>
      </c>
      <c r="AE110" s="72" t="str">
        <f t="shared" si="35"/>
        <v/>
      </c>
      <c r="AH110" s="64" t="str">
        <f t="shared" si="50"/>
        <v/>
      </c>
      <c r="AI110" s="72" t="str">
        <f t="shared" si="37"/>
        <v/>
      </c>
      <c r="AL110" s="64" t="str">
        <f t="shared" si="51"/>
        <v/>
      </c>
      <c r="AM110" s="72" t="str">
        <f t="shared" si="39"/>
        <v/>
      </c>
      <c r="AP110" s="64" t="str">
        <f t="shared" si="52"/>
        <v/>
      </c>
      <c r="AQ110" s="72" t="str">
        <f t="shared" si="41"/>
        <v/>
      </c>
    </row>
    <row r="111" spans="1:43" x14ac:dyDescent="0.25">
      <c r="A111" s="61">
        <v>0</v>
      </c>
      <c r="B111" s="60">
        <v>94</v>
      </c>
      <c r="C111" s="62">
        <f t="shared" si="42"/>
        <v>94</v>
      </c>
      <c r="F111" s="1" t="str">
        <f t="shared" si="43"/>
        <v/>
      </c>
      <c r="G111" s="1" t="str">
        <f t="shared" si="23"/>
        <v/>
      </c>
      <c r="J111" s="64" t="str">
        <f t="shared" si="44"/>
        <v/>
      </c>
      <c r="K111" s="72" t="str">
        <f t="shared" si="25"/>
        <v/>
      </c>
      <c r="N111" s="64" t="str">
        <f t="shared" si="45"/>
        <v/>
      </c>
      <c r="O111" s="72" t="str">
        <f t="shared" si="27"/>
        <v/>
      </c>
      <c r="R111" s="64" t="str">
        <f t="shared" si="46"/>
        <v/>
      </c>
      <c r="S111" s="72" t="str">
        <f t="shared" si="29"/>
        <v/>
      </c>
      <c r="V111" s="64" t="str">
        <f t="shared" si="47"/>
        <v/>
      </c>
      <c r="W111" s="72" t="str">
        <f t="shared" si="31"/>
        <v/>
      </c>
      <c r="Z111" s="64" t="str">
        <f t="shared" si="48"/>
        <v/>
      </c>
      <c r="AA111" s="72" t="str">
        <f t="shared" si="33"/>
        <v/>
      </c>
      <c r="AD111" s="64" t="str">
        <f t="shared" si="49"/>
        <v/>
      </c>
      <c r="AE111" s="72" t="str">
        <f t="shared" si="35"/>
        <v/>
      </c>
      <c r="AH111" s="64" t="str">
        <f t="shared" si="50"/>
        <v/>
      </c>
      <c r="AI111" s="72" t="str">
        <f t="shared" si="37"/>
        <v/>
      </c>
      <c r="AL111" s="64" t="str">
        <f t="shared" si="51"/>
        <v/>
      </c>
      <c r="AM111" s="72" t="str">
        <f t="shared" si="39"/>
        <v/>
      </c>
      <c r="AP111" s="64" t="str">
        <f t="shared" si="52"/>
        <v/>
      </c>
      <c r="AQ111" s="72" t="str">
        <f t="shared" si="41"/>
        <v/>
      </c>
    </row>
    <row r="112" spans="1:43" x14ac:dyDescent="0.25">
      <c r="A112" s="61">
        <v>0</v>
      </c>
      <c r="B112" s="60">
        <v>95</v>
      </c>
      <c r="C112" s="62">
        <f t="shared" si="42"/>
        <v>95</v>
      </c>
      <c r="F112" s="1" t="str">
        <f t="shared" si="43"/>
        <v/>
      </c>
      <c r="G112" s="1" t="str">
        <f t="shared" si="23"/>
        <v/>
      </c>
      <c r="J112" s="64" t="str">
        <f t="shared" si="44"/>
        <v/>
      </c>
      <c r="K112" s="72" t="str">
        <f t="shared" si="25"/>
        <v/>
      </c>
      <c r="N112" s="64" t="str">
        <f t="shared" si="45"/>
        <v/>
      </c>
      <c r="O112" s="72" t="str">
        <f t="shared" si="27"/>
        <v/>
      </c>
      <c r="R112" s="64" t="str">
        <f t="shared" si="46"/>
        <v/>
      </c>
      <c r="S112" s="72" t="str">
        <f t="shared" si="29"/>
        <v/>
      </c>
      <c r="V112" s="64" t="str">
        <f t="shared" si="47"/>
        <v/>
      </c>
      <c r="W112" s="72" t="str">
        <f t="shared" si="31"/>
        <v/>
      </c>
      <c r="Z112" s="64" t="str">
        <f t="shared" si="48"/>
        <v/>
      </c>
      <c r="AA112" s="72" t="str">
        <f t="shared" si="33"/>
        <v/>
      </c>
      <c r="AD112" s="64" t="str">
        <f t="shared" si="49"/>
        <v/>
      </c>
      <c r="AE112" s="72" t="str">
        <f t="shared" si="35"/>
        <v/>
      </c>
      <c r="AH112" s="64" t="str">
        <f t="shared" si="50"/>
        <v/>
      </c>
      <c r="AI112" s="72" t="str">
        <f t="shared" si="37"/>
        <v/>
      </c>
      <c r="AL112" s="64" t="str">
        <f t="shared" si="51"/>
        <v/>
      </c>
      <c r="AM112" s="72" t="str">
        <f t="shared" si="39"/>
        <v/>
      </c>
      <c r="AP112" s="64" t="str">
        <f t="shared" si="52"/>
        <v/>
      </c>
      <c r="AQ112" s="72" t="str">
        <f t="shared" si="41"/>
        <v/>
      </c>
    </row>
    <row r="113" spans="1:43" x14ac:dyDescent="0.25">
      <c r="A113" s="61">
        <v>0</v>
      </c>
      <c r="B113" s="60">
        <v>96</v>
      </c>
      <c r="C113" s="62">
        <f t="shared" si="42"/>
        <v>96</v>
      </c>
      <c r="F113" s="1" t="str">
        <f t="shared" si="43"/>
        <v/>
      </c>
      <c r="G113" s="1" t="str">
        <f t="shared" si="23"/>
        <v/>
      </c>
      <c r="J113" s="64" t="str">
        <f t="shared" si="44"/>
        <v/>
      </c>
      <c r="K113" s="72" t="str">
        <f t="shared" si="25"/>
        <v/>
      </c>
      <c r="N113" s="64" t="str">
        <f t="shared" si="45"/>
        <v/>
      </c>
      <c r="O113" s="72" t="str">
        <f t="shared" si="27"/>
        <v/>
      </c>
      <c r="R113" s="64" t="str">
        <f t="shared" si="46"/>
        <v/>
      </c>
      <c r="S113" s="72" t="str">
        <f t="shared" si="29"/>
        <v/>
      </c>
      <c r="V113" s="64" t="str">
        <f t="shared" si="47"/>
        <v/>
      </c>
      <c r="W113" s="72" t="str">
        <f t="shared" si="31"/>
        <v/>
      </c>
      <c r="Z113" s="64" t="str">
        <f t="shared" si="48"/>
        <v/>
      </c>
      <c r="AA113" s="72" t="str">
        <f t="shared" si="33"/>
        <v/>
      </c>
      <c r="AD113" s="64" t="str">
        <f t="shared" si="49"/>
        <v/>
      </c>
      <c r="AE113" s="72" t="str">
        <f t="shared" si="35"/>
        <v/>
      </c>
      <c r="AH113" s="64" t="str">
        <f t="shared" si="50"/>
        <v/>
      </c>
      <c r="AI113" s="72" t="str">
        <f t="shared" si="37"/>
        <v/>
      </c>
      <c r="AL113" s="64" t="str">
        <f t="shared" si="51"/>
        <v/>
      </c>
      <c r="AM113" s="72" t="str">
        <f t="shared" si="39"/>
        <v/>
      </c>
      <c r="AP113" s="64" t="str">
        <f t="shared" si="52"/>
        <v/>
      </c>
      <c r="AQ113" s="72" t="str">
        <f t="shared" si="41"/>
        <v/>
      </c>
    </row>
    <row r="114" spans="1:43" x14ac:dyDescent="0.25">
      <c r="A114" s="61">
        <v>0</v>
      </c>
      <c r="B114" s="60">
        <v>97</v>
      </c>
      <c r="C114" s="62">
        <f t="shared" si="42"/>
        <v>97</v>
      </c>
      <c r="F114" s="1" t="str">
        <f t="shared" si="43"/>
        <v/>
      </c>
      <c r="G114" s="1" t="str">
        <f t="shared" si="23"/>
        <v/>
      </c>
      <c r="J114" s="64" t="str">
        <f t="shared" si="44"/>
        <v/>
      </c>
      <c r="K114" s="72" t="str">
        <f t="shared" si="25"/>
        <v/>
      </c>
      <c r="N114" s="64" t="str">
        <f t="shared" si="45"/>
        <v/>
      </c>
      <c r="O114" s="72" t="str">
        <f t="shared" si="27"/>
        <v/>
      </c>
      <c r="R114" s="64" t="str">
        <f t="shared" si="46"/>
        <v/>
      </c>
      <c r="S114" s="72" t="str">
        <f t="shared" si="29"/>
        <v/>
      </c>
      <c r="V114" s="64" t="str">
        <f t="shared" si="47"/>
        <v/>
      </c>
      <c r="W114" s="72" t="str">
        <f t="shared" si="31"/>
        <v/>
      </c>
      <c r="Z114" s="64" t="str">
        <f t="shared" si="48"/>
        <v/>
      </c>
      <c r="AA114" s="72" t="str">
        <f t="shared" si="33"/>
        <v/>
      </c>
      <c r="AD114" s="64" t="str">
        <f t="shared" si="49"/>
        <v/>
      </c>
      <c r="AE114" s="72" t="str">
        <f t="shared" si="35"/>
        <v/>
      </c>
      <c r="AH114" s="64" t="str">
        <f t="shared" si="50"/>
        <v/>
      </c>
      <c r="AI114" s="72" t="str">
        <f t="shared" si="37"/>
        <v/>
      </c>
      <c r="AL114" s="64" t="str">
        <f t="shared" si="51"/>
        <v/>
      </c>
      <c r="AM114" s="72" t="str">
        <f t="shared" si="39"/>
        <v/>
      </c>
      <c r="AP114" s="64" t="str">
        <f t="shared" si="52"/>
        <v/>
      </c>
      <c r="AQ114" s="72" t="str">
        <f t="shared" si="41"/>
        <v/>
      </c>
    </row>
    <row r="115" spans="1:43" x14ac:dyDescent="0.25">
      <c r="A115" s="61">
        <v>0</v>
      </c>
      <c r="B115" s="60">
        <v>98</v>
      </c>
      <c r="C115" s="62">
        <f t="shared" si="42"/>
        <v>98</v>
      </c>
      <c r="F115" s="1" t="str">
        <f t="shared" si="43"/>
        <v/>
      </c>
      <c r="G115" s="1" t="str">
        <f t="shared" si="23"/>
        <v/>
      </c>
      <c r="J115" s="64" t="str">
        <f t="shared" si="44"/>
        <v/>
      </c>
      <c r="K115" s="72" t="str">
        <f t="shared" si="25"/>
        <v/>
      </c>
      <c r="N115" s="64" t="str">
        <f t="shared" si="45"/>
        <v/>
      </c>
      <c r="O115" s="72" t="str">
        <f t="shared" si="27"/>
        <v/>
      </c>
      <c r="R115" s="64" t="str">
        <f t="shared" si="46"/>
        <v/>
      </c>
      <c r="S115" s="72" t="str">
        <f t="shared" si="29"/>
        <v/>
      </c>
      <c r="V115" s="64" t="str">
        <f t="shared" si="47"/>
        <v/>
      </c>
      <c r="W115" s="72" t="str">
        <f t="shared" si="31"/>
        <v/>
      </c>
      <c r="Z115" s="64" t="str">
        <f t="shared" si="48"/>
        <v/>
      </c>
      <c r="AA115" s="72" t="str">
        <f t="shared" si="33"/>
        <v/>
      </c>
      <c r="AD115" s="64" t="str">
        <f t="shared" si="49"/>
        <v/>
      </c>
      <c r="AE115" s="72" t="str">
        <f t="shared" si="35"/>
        <v/>
      </c>
      <c r="AH115" s="64" t="str">
        <f t="shared" si="50"/>
        <v/>
      </c>
      <c r="AI115" s="72" t="str">
        <f t="shared" si="37"/>
        <v/>
      </c>
      <c r="AL115" s="64" t="str">
        <f t="shared" si="51"/>
        <v/>
      </c>
      <c r="AM115" s="72" t="str">
        <f t="shared" si="39"/>
        <v/>
      </c>
      <c r="AP115" s="64" t="str">
        <f t="shared" si="52"/>
        <v/>
      </c>
      <c r="AQ115" s="72" t="str">
        <f t="shared" si="41"/>
        <v/>
      </c>
    </row>
    <row r="120" spans="1:43" s="40" customFormat="1" ht="13.3" thickBot="1" x14ac:dyDescent="0.3">
      <c r="A120" s="48"/>
      <c r="B120" s="45"/>
      <c r="C120" s="46"/>
      <c r="H120" s="68"/>
      <c r="K120" s="73"/>
      <c r="L120" s="68"/>
      <c r="O120" s="73"/>
      <c r="P120" s="68"/>
      <c r="S120" s="73"/>
      <c r="T120" s="68"/>
      <c r="W120" s="73"/>
      <c r="X120" s="68"/>
      <c r="AA120" s="73"/>
      <c r="AB120" s="68"/>
      <c r="AE120" s="73"/>
      <c r="AF120" s="68"/>
      <c r="AI120" s="73"/>
      <c r="AJ120" s="68"/>
      <c r="AM120" s="73"/>
      <c r="AN120" s="68"/>
      <c r="AQ120" s="73"/>
    </row>
    <row r="121" spans="1:43" x14ac:dyDescent="0.25">
      <c r="A121" s="58" t="s">
        <v>30</v>
      </c>
      <c r="B121" s="50">
        <f>COUNTA(A124:A436)</f>
        <v>313</v>
      </c>
    </row>
    <row r="122" spans="1:43" x14ac:dyDescent="0.25">
      <c r="A122" s="51" t="s">
        <v>4</v>
      </c>
      <c r="B122" s="52" t="s">
        <v>6</v>
      </c>
      <c r="C122" s="39" t="s">
        <v>8</v>
      </c>
      <c r="D122" s="2" t="s">
        <v>12</v>
      </c>
      <c r="E122" s="2" t="s">
        <v>14</v>
      </c>
      <c r="F122" s="2" t="s">
        <v>16</v>
      </c>
      <c r="G122" s="2" t="s">
        <v>18</v>
      </c>
      <c r="H122" s="76" t="s">
        <v>12</v>
      </c>
      <c r="I122" s="77" t="s">
        <v>14</v>
      </c>
      <c r="J122" s="77" t="s">
        <v>16</v>
      </c>
      <c r="K122" s="78" t="s">
        <v>18</v>
      </c>
      <c r="L122" s="76" t="s">
        <v>12</v>
      </c>
      <c r="M122" s="77" t="s">
        <v>14</v>
      </c>
      <c r="N122" s="77" t="s">
        <v>16</v>
      </c>
      <c r="O122" s="78" t="s">
        <v>18</v>
      </c>
      <c r="P122" s="76" t="s">
        <v>12</v>
      </c>
      <c r="Q122" s="77" t="s">
        <v>14</v>
      </c>
      <c r="R122" s="77" t="s">
        <v>16</v>
      </c>
      <c r="S122" s="78" t="s">
        <v>18</v>
      </c>
      <c r="T122" s="76" t="s">
        <v>12</v>
      </c>
      <c r="U122" s="77" t="s">
        <v>14</v>
      </c>
      <c r="V122" s="77" t="s">
        <v>16</v>
      </c>
      <c r="W122" s="78" t="s">
        <v>18</v>
      </c>
      <c r="X122" s="76" t="s">
        <v>12</v>
      </c>
      <c r="Y122" s="77" t="s">
        <v>14</v>
      </c>
      <c r="Z122" s="77" t="s">
        <v>16</v>
      </c>
      <c r="AA122" s="78" t="s">
        <v>18</v>
      </c>
      <c r="AB122" s="76" t="s">
        <v>12</v>
      </c>
      <c r="AC122" s="77" t="s">
        <v>14</v>
      </c>
      <c r="AD122" s="77" t="s">
        <v>16</v>
      </c>
      <c r="AE122" s="78" t="s">
        <v>18</v>
      </c>
      <c r="AF122" s="76" t="s">
        <v>12</v>
      </c>
      <c r="AG122" s="77" t="s">
        <v>14</v>
      </c>
      <c r="AH122" s="77" t="s">
        <v>16</v>
      </c>
      <c r="AI122" s="78" t="s">
        <v>18</v>
      </c>
      <c r="AJ122" s="76" t="s">
        <v>12</v>
      </c>
      <c r="AK122" s="77" t="s">
        <v>14</v>
      </c>
      <c r="AL122" s="77" t="s">
        <v>16</v>
      </c>
      <c r="AM122" s="78" t="s">
        <v>18</v>
      </c>
      <c r="AN122" s="76" t="s">
        <v>12</v>
      </c>
      <c r="AO122" s="77" t="s">
        <v>14</v>
      </c>
      <c r="AP122" s="77" t="s">
        <v>16</v>
      </c>
      <c r="AQ122" s="78" t="s">
        <v>18</v>
      </c>
    </row>
    <row r="123" spans="1:43" s="57" customFormat="1" x14ac:dyDescent="0.25">
      <c r="A123" s="54" t="s">
        <v>10</v>
      </c>
      <c r="B123" s="55" t="s">
        <v>10</v>
      </c>
      <c r="C123" s="56" t="s">
        <v>10</v>
      </c>
      <c r="D123" s="55" t="s">
        <v>20</v>
      </c>
      <c r="E123" s="55" t="s">
        <v>20</v>
      </c>
      <c r="F123" s="55" t="s">
        <v>25</v>
      </c>
      <c r="G123" s="55" t="s">
        <v>23</v>
      </c>
      <c r="H123" s="54" t="s">
        <v>20</v>
      </c>
      <c r="I123" s="55" t="s">
        <v>20</v>
      </c>
      <c r="J123" s="55" t="s">
        <v>25</v>
      </c>
      <c r="K123" s="56" t="s">
        <v>23</v>
      </c>
      <c r="L123" s="54" t="s">
        <v>20</v>
      </c>
      <c r="M123" s="55" t="s">
        <v>20</v>
      </c>
      <c r="N123" s="55" t="s">
        <v>25</v>
      </c>
      <c r="O123" s="56" t="s">
        <v>23</v>
      </c>
      <c r="P123" s="54" t="s">
        <v>20</v>
      </c>
      <c r="Q123" s="55" t="s">
        <v>20</v>
      </c>
      <c r="R123" s="55" t="s">
        <v>25</v>
      </c>
      <c r="S123" s="56" t="s">
        <v>23</v>
      </c>
      <c r="T123" s="54" t="s">
        <v>20</v>
      </c>
      <c r="U123" s="55" t="s">
        <v>20</v>
      </c>
      <c r="V123" s="55" t="s">
        <v>25</v>
      </c>
      <c r="W123" s="56" t="s">
        <v>23</v>
      </c>
      <c r="X123" s="54" t="s">
        <v>20</v>
      </c>
      <c r="Y123" s="55" t="s">
        <v>20</v>
      </c>
      <c r="Z123" s="55" t="s">
        <v>25</v>
      </c>
      <c r="AA123" s="56" t="s">
        <v>23</v>
      </c>
      <c r="AB123" s="54" t="s">
        <v>20</v>
      </c>
      <c r="AC123" s="55" t="s">
        <v>20</v>
      </c>
      <c r="AD123" s="55" t="s">
        <v>25</v>
      </c>
      <c r="AE123" s="56" t="s">
        <v>23</v>
      </c>
      <c r="AF123" s="54" t="s">
        <v>20</v>
      </c>
      <c r="AG123" s="55" t="s">
        <v>20</v>
      </c>
      <c r="AH123" s="55" t="s">
        <v>25</v>
      </c>
      <c r="AI123" s="56" t="s">
        <v>23</v>
      </c>
      <c r="AJ123" s="54" t="s">
        <v>20</v>
      </c>
      <c r="AK123" s="55" t="s">
        <v>20</v>
      </c>
      <c r="AL123" s="55" t="s">
        <v>25</v>
      </c>
      <c r="AM123" s="56" t="s">
        <v>23</v>
      </c>
      <c r="AN123" s="54" t="s">
        <v>20</v>
      </c>
      <c r="AO123" s="55" t="s">
        <v>20</v>
      </c>
      <c r="AP123" s="55" t="s">
        <v>25</v>
      </c>
      <c r="AQ123" s="56" t="s">
        <v>23</v>
      </c>
    </row>
    <row r="124" spans="1:43" x14ac:dyDescent="0.25">
      <c r="A124" s="49">
        <v>0</v>
      </c>
      <c r="B124" s="50">
        <v>0</v>
      </c>
      <c r="C124" s="38">
        <f t="shared" ref="C124:C187" si="53">(A124^2+B124^2)^(1/2)</f>
        <v>0</v>
      </c>
      <c r="F124" s="1" t="str">
        <f>IF(D124="","",(D124-E124)/10)</f>
        <v/>
      </c>
      <c r="G124" s="1" t="str">
        <f t="shared" ref="G124:G187" si="54">IFERROR(IF(G$16="","",F124/(G$16/60)),"")</f>
        <v/>
      </c>
      <c r="J124" s="64" t="str">
        <f>IF(H124="","",(H124-I124)/10)</f>
        <v/>
      </c>
      <c r="K124" s="72" t="str">
        <f t="shared" ref="K124:K187" si="55">IFERROR(IF(K$16="","",J124/(K$16/60)),"")</f>
        <v/>
      </c>
      <c r="N124" s="64" t="str">
        <f>IF(L124="","",(L124-M124)/10)</f>
        <v/>
      </c>
      <c r="O124" s="72" t="str">
        <f t="shared" ref="O124:O187" si="56">IFERROR(IF(O$16="","",N124/(O$16/60)),"")</f>
        <v/>
      </c>
      <c r="R124" s="64" t="str">
        <f>IF(P124="","",(P124-Q124)/10)</f>
        <v/>
      </c>
      <c r="S124" s="72" t="str">
        <f t="shared" ref="S124:S187" si="57">IFERROR(IF(S$16="","",R124/(S$16/60)),"")</f>
        <v/>
      </c>
      <c r="V124" s="64" t="str">
        <f>IF(T124="","",(T124-U124)/10)</f>
        <v/>
      </c>
      <c r="W124" s="72" t="str">
        <f t="shared" ref="W124:W187" si="58">IFERROR(IF(W$16="","",V124/(W$16/60)),"")</f>
        <v/>
      </c>
      <c r="Z124" s="64" t="str">
        <f>IF(X124="","",(X124-Y124)/10)</f>
        <v/>
      </c>
      <c r="AA124" s="72" t="str">
        <f t="shared" ref="AA124:AA187" si="59">IFERROR(IF(AA$16="","",Z124/(AA$16/60)),"")</f>
        <v/>
      </c>
      <c r="AD124" s="64" t="str">
        <f>IF(AB124="","",(AB124-AC124)/10)</f>
        <v/>
      </c>
      <c r="AE124" s="72" t="str">
        <f t="shared" ref="AE124:AE187" si="60">IFERROR(IF(AE$16="","",AD124/(AE$16/60)),"")</f>
        <v/>
      </c>
      <c r="AH124" s="64" t="str">
        <f>IF(AF124="","",(AF124-AG124)/10)</f>
        <v/>
      </c>
      <c r="AI124" s="72" t="str">
        <f t="shared" ref="AI124:AI187" si="61">IFERROR(IF(AI$16="","",AH124/(AI$16/60)),"")</f>
        <v/>
      </c>
      <c r="AL124" s="64" t="str">
        <f>IF(AJ124="","",(AJ124-AK124)/10)</f>
        <v/>
      </c>
      <c r="AM124" s="72" t="str">
        <f t="shared" ref="AM124:AM187" si="62">IFERROR(IF(AM$16="","",AL124/(AM$16/60)),"")</f>
        <v/>
      </c>
      <c r="AP124" s="64" t="str">
        <f>IF(AN124="","",(AN124-AO124)/10)</f>
        <v/>
      </c>
      <c r="AQ124" s="72" t="str">
        <f t="shared" ref="AQ124:AQ187" si="63">IFERROR(IF(AQ$16="","",AP124/(AQ$16/60)),"")</f>
        <v/>
      </c>
    </row>
    <row r="125" spans="1:43" x14ac:dyDescent="0.25">
      <c r="A125" s="49">
        <v>10</v>
      </c>
      <c r="B125" s="50">
        <v>0</v>
      </c>
      <c r="C125" s="38">
        <f t="shared" si="53"/>
        <v>10</v>
      </c>
      <c r="F125" s="1" t="str">
        <f t="shared" ref="F125:F188" si="64">IF(D125="","",(D125-E125)/10)</f>
        <v/>
      </c>
      <c r="G125" s="1" t="str">
        <f t="shared" si="54"/>
        <v/>
      </c>
      <c r="J125" s="64" t="str">
        <f t="shared" ref="J125:J188" si="65">IF(H125="","",(H125-I125)/10)</f>
        <v/>
      </c>
      <c r="K125" s="72" t="str">
        <f t="shared" si="55"/>
        <v/>
      </c>
      <c r="N125" s="64" t="str">
        <f t="shared" ref="N125:N188" si="66">IF(L125="","",(L125-M125)/10)</f>
        <v/>
      </c>
      <c r="O125" s="72" t="str">
        <f t="shared" si="56"/>
        <v/>
      </c>
      <c r="R125" s="64" t="str">
        <f t="shared" ref="R125:R188" si="67">IF(P125="","",(P125-Q125)/10)</f>
        <v/>
      </c>
      <c r="S125" s="72" t="str">
        <f t="shared" si="57"/>
        <v/>
      </c>
      <c r="V125" s="64" t="str">
        <f t="shared" ref="V125:V188" si="68">IF(T125="","",(T125-U125)/10)</f>
        <v/>
      </c>
      <c r="W125" s="72" t="str">
        <f t="shared" si="58"/>
        <v/>
      </c>
      <c r="Z125" s="64" t="str">
        <f t="shared" ref="Z125:Z188" si="69">IF(X125="","",(X125-Y125)/10)</f>
        <v/>
      </c>
      <c r="AA125" s="72" t="str">
        <f t="shared" si="59"/>
        <v/>
      </c>
      <c r="AD125" s="64" t="str">
        <f t="shared" ref="AD125:AD188" si="70">IF(AB125="","",(AB125-AC125)/10)</f>
        <v/>
      </c>
      <c r="AE125" s="72" t="str">
        <f t="shared" si="60"/>
        <v/>
      </c>
      <c r="AH125" s="64" t="str">
        <f t="shared" ref="AH125:AH188" si="71">IF(AF125="","",(AF125-AG125)/10)</f>
        <v/>
      </c>
      <c r="AI125" s="72" t="str">
        <f t="shared" si="61"/>
        <v/>
      </c>
      <c r="AL125" s="64" t="str">
        <f t="shared" ref="AL125:AL188" si="72">IF(AJ125="","",(AJ125-AK125)/10)</f>
        <v/>
      </c>
      <c r="AM125" s="72" t="str">
        <f t="shared" si="62"/>
        <v/>
      </c>
      <c r="AP125" s="64" t="str">
        <f t="shared" ref="AP125:AP188" si="73">IF(AN125="","",(AN125-AO125)/10)</f>
        <v/>
      </c>
      <c r="AQ125" s="72" t="str">
        <f t="shared" si="63"/>
        <v/>
      </c>
    </row>
    <row r="126" spans="1:43" x14ac:dyDescent="0.25">
      <c r="A126" s="49">
        <v>8.6602540378443873</v>
      </c>
      <c r="B126" s="50">
        <v>4.9999999999999991</v>
      </c>
      <c r="C126" s="38">
        <f t="shared" si="53"/>
        <v>10</v>
      </c>
      <c r="F126" s="1" t="str">
        <f t="shared" si="64"/>
        <v/>
      </c>
      <c r="G126" s="1" t="str">
        <f t="shared" si="54"/>
        <v/>
      </c>
      <c r="J126" s="64" t="str">
        <f t="shared" si="65"/>
        <v/>
      </c>
      <c r="K126" s="72" t="str">
        <f t="shared" si="55"/>
        <v/>
      </c>
      <c r="N126" s="64" t="str">
        <f t="shared" si="66"/>
        <v/>
      </c>
      <c r="O126" s="72" t="str">
        <f t="shared" si="56"/>
        <v/>
      </c>
      <c r="R126" s="64" t="str">
        <f t="shared" si="67"/>
        <v/>
      </c>
      <c r="S126" s="72" t="str">
        <f t="shared" si="57"/>
        <v/>
      </c>
      <c r="V126" s="64" t="str">
        <f t="shared" si="68"/>
        <v/>
      </c>
      <c r="W126" s="72" t="str">
        <f t="shared" si="58"/>
        <v/>
      </c>
      <c r="Z126" s="64" t="str">
        <f t="shared" si="69"/>
        <v/>
      </c>
      <c r="AA126" s="72" t="str">
        <f t="shared" si="59"/>
        <v/>
      </c>
      <c r="AD126" s="64" t="str">
        <f t="shared" si="70"/>
        <v/>
      </c>
      <c r="AE126" s="72" t="str">
        <f t="shared" si="60"/>
        <v/>
      </c>
      <c r="AH126" s="64" t="str">
        <f t="shared" si="71"/>
        <v/>
      </c>
      <c r="AI126" s="72" t="str">
        <f t="shared" si="61"/>
        <v/>
      </c>
      <c r="AL126" s="64" t="str">
        <f t="shared" si="72"/>
        <v/>
      </c>
      <c r="AM126" s="72" t="str">
        <f t="shared" si="62"/>
        <v/>
      </c>
      <c r="AP126" s="64" t="str">
        <f t="shared" si="73"/>
        <v/>
      </c>
      <c r="AQ126" s="72" t="str">
        <f t="shared" si="63"/>
        <v/>
      </c>
    </row>
    <row r="127" spans="1:43" x14ac:dyDescent="0.25">
      <c r="A127" s="49">
        <v>5.0000000000000009</v>
      </c>
      <c r="B127" s="50">
        <v>8.6602540378443855</v>
      </c>
      <c r="C127" s="38">
        <f t="shared" si="53"/>
        <v>10</v>
      </c>
      <c r="F127" s="1" t="str">
        <f t="shared" si="64"/>
        <v/>
      </c>
      <c r="G127" s="1" t="str">
        <f t="shared" si="54"/>
        <v/>
      </c>
      <c r="J127" s="64" t="str">
        <f t="shared" si="65"/>
        <v/>
      </c>
      <c r="K127" s="72" t="str">
        <f t="shared" si="55"/>
        <v/>
      </c>
      <c r="N127" s="64" t="str">
        <f t="shared" si="66"/>
        <v/>
      </c>
      <c r="O127" s="72" t="str">
        <f t="shared" si="56"/>
        <v/>
      </c>
      <c r="R127" s="64" t="str">
        <f t="shared" si="67"/>
        <v/>
      </c>
      <c r="S127" s="72" t="str">
        <f t="shared" si="57"/>
        <v/>
      </c>
      <c r="V127" s="64" t="str">
        <f t="shared" si="68"/>
        <v/>
      </c>
      <c r="W127" s="72" t="str">
        <f t="shared" si="58"/>
        <v/>
      </c>
      <c r="Z127" s="64" t="str">
        <f t="shared" si="69"/>
        <v/>
      </c>
      <c r="AA127" s="72" t="str">
        <f t="shared" si="59"/>
        <v/>
      </c>
      <c r="AD127" s="64" t="str">
        <f t="shared" si="70"/>
        <v/>
      </c>
      <c r="AE127" s="72" t="str">
        <f t="shared" si="60"/>
        <v/>
      </c>
      <c r="AH127" s="64" t="str">
        <f t="shared" si="71"/>
        <v/>
      </c>
      <c r="AI127" s="72" t="str">
        <f t="shared" si="61"/>
        <v/>
      </c>
      <c r="AL127" s="64" t="str">
        <f t="shared" si="72"/>
        <v/>
      </c>
      <c r="AM127" s="72" t="str">
        <f t="shared" si="62"/>
        <v/>
      </c>
      <c r="AP127" s="64" t="str">
        <f t="shared" si="73"/>
        <v/>
      </c>
      <c r="AQ127" s="72" t="str">
        <f t="shared" si="63"/>
        <v/>
      </c>
    </row>
    <row r="128" spans="1:43" x14ac:dyDescent="0.25">
      <c r="A128" s="49">
        <v>6.1257422745431001E-16</v>
      </c>
      <c r="B128" s="50">
        <v>10</v>
      </c>
      <c r="C128" s="38">
        <f t="shared" si="53"/>
        <v>10</v>
      </c>
      <c r="F128" s="1" t="str">
        <f t="shared" si="64"/>
        <v/>
      </c>
      <c r="G128" s="1" t="str">
        <f t="shared" si="54"/>
        <v/>
      </c>
      <c r="J128" s="64" t="str">
        <f t="shared" si="65"/>
        <v/>
      </c>
      <c r="K128" s="72" t="str">
        <f t="shared" si="55"/>
        <v/>
      </c>
      <c r="N128" s="64" t="str">
        <f t="shared" si="66"/>
        <v/>
      </c>
      <c r="O128" s="72" t="str">
        <f t="shared" si="56"/>
        <v/>
      </c>
      <c r="R128" s="64" t="str">
        <f t="shared" si="67"/>
        <v/>
      </c>
      <c r="S128" s="72" t="str">
        <f t="shared" si="57"/>
        <v/>
      </c>
      <c r="V128" s="64" t="str">
        <f t="shared" si="68"/>
        <v/>
      </c>
      <c r="W128" s="72" t="str">
        <f t="shared" si="58"/>
        <v/>
      </c>
      <c r="Z128" s="64" t="str">
        <f t="shared" si="69"/>
        <v/>
      </c>
      <c r="AA128" s="72" t="str">
        <f t="shared" si="59"/>
        <v/>
      </c>
      <c r="AD128" s="64" t="str">
        <f t="shared" si="70"/>
        <v/>
      </c>
      <c r="AE128" s="72" t="str">
        <f t="shared" si="60"/>
        <v/>
      </c>
      <c r="AH128" s="64" t="str">
        <f t="shared" si="71"/>
        <v/>
      </c>
      <c r="AI128" s="72" t="str">
        <f t="shared" si="61"/>
        <v/>
      </c>
      <c r="AL128" s="64" t="str">
        <f t="shared" si="72"/>
        <v/>
      </c>
      <c r="AM128" s="72" t="str">
        <f t="shared" si="62"/>
        <v/>
      </c>
      <c r="AP128" s="64" t="str">
        <f t="shared" si="73"/>
        <v/>
      </c>
      <c r="AQ128" s="72" t="str">
        <f t="shared" si="63"/>
        <v/>
      </c>
    </row>
    <row r="129" spans="1:43" x14ac:dyDescent="0.25">
      <c r="A129" s="49">
        <v>-4.9999999999999982</v>
      </c>
      <c r="B129" s="50">
        <v>8.6602540378443873</v>
      </c>
      <c r="C129" s="38">
        <f t="shared" si="53"/>
        <v>10</v>
      </c>
      <c r="F129" s="1" t="str">
        <f t="shared" si="64"/>
        <v/>
      </c>
      <c r="G129" s="1" t="str">
        <f t="shared" si="54"/>
        <v/>
      </c>
      <c r="J129" s="64" t="str">
        <f t="shared" si="65"/>
        <v/>
      </c>
      <c r="K129" s="72" t="str">
        <f t="shared" si="55"/>
        <v/>
      </c>
      <c r="N129" s="64" t="str">
        <f t="shared" si="66"/>
        <v/>
      </c>
      <c r="O129" s="72" t="str">
        <f t="shared" si="56"/>
        <v/>
      </c>
      <c r="R129" s="64" t="str">
        <f t="shared" si="67"/>
        <v/>
      </c>
      <c r="S129" s="72" t="str">
        <f t="shared" si="57"/>
        <v/>
      </c>
      <c r="V129" s="64" t="str">
        <f t="shared" si="68"/>
        <v/>
      </c>
      <c r="W129" s="72" t="str">
        <f t="shared" si="58"/>
        <v/>
      </c>
      <c r="Z129" s="64" t="str">
        <f t="shared" si="69"/>
        <v/>
      </c>
      <c r="AA129" s="72" t="str">
        <f t="shared" si="59"/>
        <v/>
      </c>
      <c r="AD129" s="64" t="str">
        <f t="shared" si="70"/>
        <v/>
      </c>
      <c r="AE129" s="72" t="str">
        <f t="shared" si="60"/>
        <v/>
      </c>
      <c r="AH129" s="64" t="str">
        <f t="shared" si="71"/>
        <v/>
      </c>
      <c r="AI129" s="72" t="str">
        <f t="shared" si="61"/>
        <v/>
      </c>
      <c r="AL129" s="64" t="str">
        <f t="shared" si="72"/>
        <v/>
      </c>
      <c r="AM129" s="72" t="str">
        <f t="shared" si="62"/>
        <v/>
      </c>
      <c r="AP129" s="64" t="str">
        <f t="shared" si="73"/>
        <v/>
      </c>
      <c r="AQ129" s="72" t="str">
        <f t="shared" si="63"/>
        <v/>
      </c>
    </row>
    <row r="130" spans="1:43" x14ac:dyDescent="0.25">
      <c r="A130" s="49">
        <v>-8.6602540378443873</v>
      </c>
      <c r="B130" s="50">
        <v>4.9999999999999991</v>
      </c>
      <c r="C130" s="38">
        <f t="shared" si="53"/>
        <v>10</v>
      </c>
      <c r="F130" s="1" t="str">
        <f t="shared" si="64"/>
        <v/>
      </c>
      <c r="G130" s="1" t="str">
        <f t="shared" si="54"/>
        <v/>
      </c>
      <c r="J130" s="64" t="str">
        <f t="shared" si="65"/>
        <v/>
      </c>
      <c r="K130" s="72" t="str">
        <f t="shared" si="55"/>
        <v/>
      </c>
      <c r="N130" s="64" t="str">
        <f t="shared" si="66"/>
        <v/>
      </c>
      <c r="O130" s="72" t="str">
        <f t="shared" si="56"/>
        <v/>
      </c>
      <c r="R130" s="64" t="str">
        <f t="shared" si="67"/>
        <v/>
      </c>
      <c r="S130" s="72" t="str">
        <f t="shared" si="57"/>
        <v/>
      </c>
      <c r="V130" s="64" t="str">
        <f t="shared" si="68"/>
        <v/>
      </c>
      <c r="W130" s="72" t="str">
        <f t="shared" si="58"/>
        <v/>
      </c>
      <c r="Z130" s="64" t="str">
        <f t="shared" si="69"/>
        <v/>
      </c>
      <c r="AA130" s="72" t="str">
        <f t="shared" si="59"/>
        <v/>
      </c>
      <c r="AD130" s="64" t="str">
        <f t="shared" si="70"/>
        <v/>
      </c>
      <c r="AE130" s="72" t="str">
        <f t="shared" si="60"/>
        <v/>
      </c>
      <c r="AH130" s="64" t="str">
        <f t="shared" si="71"/>
        <v/>
      </c>
      <c r="AI130" s="72" t="str">
        <f t="shared" si="61"/>
        <v/>
      </c>
      <c r="AL130" s="64" t="str">
        <f t="shared" si="72"/>
        <v/>
      </c>
      <c r="AM130" s="72" t="str">
        <f t="shared" si="62"/>
        <v/>
      </c>
      <c r="AP130" s="64" t="str">
        <f t="shared" si="73"/>
        <v/>
      </c>
      <c r="AQ130" s="72" t="str">
        <f t="shared" si="63"/>
        <v/>
      </c>
    </row>
    <row r="131" spans="1:43" x14ac:dyDescent="0.25">
      <c r="A131" s="49">
        <v>-10</v>
      </c>
      <c r="B131" s="50">
        <v>1.22514845490862E-15</v>
      </c>
      <c r="C131" s="38">
        <f t="shared" si="53"/>
        <v>10</v>
      </c>
      <c r="F131" s="1" t="str">
        <f t="shared" si="64"/>
        <v/>
      </c>
      <c r="G131" s="1" t="str">
        <f t="shared" si="54"/>
        <v/>
      </c>
      <c r="J131" s="64" t="str">
        <f t="shared" si="65"/>
        <v/>
      </c>
      <c r="K131" s="72" t="str">
        <f t="shared" si="55"/>
        <v/>
      </c>
      <c r="N131" s="64" t="str">
        <f t="shared" si="66"/>
        <v/>
      </c>
      <c r="O131" s="72" t="str">
        <f t="shared" si="56"/>
        <v/>
      </c>
      <c r="R131" s="64" t="str">
        <f t="shared" si="67"/>
        <v/>
      </c>
      <c r="S131" s="72" t="str">
        <f t="shared" si="57"/>
        <v/>
      </c>
      <c r="V131" s="64" t="str">
        <f t="shared" si="68"/>
        <v/>
      </c>
      <c r="W131" s="72" t="str">
        <f t="shared" si="58"/>
        <v/>
      </c>
      <c r="Z131" s="64" t="str">
        <f t="shared" si="69"/>
        <v/>
      </c>
      <c r="AA131" s="72" t="str">
        <f t="shared" si="59"/>
        <v/>
      </c>
      <c r="AD131" s="64" t="str">
        <f t="shared" si="70"/>
        <v/>
      </c>
      <c r="AE131" s="72" t="str">
        <f t="shared" si="60"/>
        <v/>
      </c>
      <c r="AH131" s="64" t="str">
        <f t="shared" si="71"/>
        <v/>
      </c>
      <c r="AI131" s="72" t="str">
        <f t="shared" si="61"/>
        <v/>
      </c>
      <c r="AL131" s="64" t="str">
        <f t="shared" si="72"/>
        <v/>
      </c>
      <c r="AM131" s="72" t="str">
        <f t="shared" si="62"/>
        <v/>
      </c>
      <c r="AP131" s="64" t="str">
        <f t="shared" si="73"/>
        <v/>
      </c>
      <c r="AQ131" s="72" t="str">
        <f t="shared" si="63"/>
        <v/>
      </c>
    </row>
    <row r="132" spans="1:43" x14ac:dyDescent="0.25">
      <c r="A132" s="49">
        <v>-8.6602540378443855</v>
      </c>
      <c r="B132" s="50">
        <v>-5.0000000000000009</v>
      </c>
      <c r="C132" s="38">
        <f t="shared" si="53"/>
        <v>10</v>
      </c>
      <c r="F132" s="1" t="str">
        <f t="shared" si="64"/>
        <v/>
      </c>
      <c r="G132" s="1" t="str">
        <f t="shared" si="54"/>
        <v/>
      </c>
      <c r="J132" s="64" t="str">
        <f t="shared" si="65"/>
        <v/>
      </c>
      <c r="K132" s="72" t="str">
        <f t="shared" si="55"/>
        <v/>
      </c>
      <c r="N132" s="64" t="str">
        <f t="shared" si="66"/>
        <v/>
      </c>
      <c r="O132" s="72" t="str">
        <f t="shared" si="56"/>
        <v/>
      </c>
      <c r="R132" s="64" t="str">
        <f t="shared" si="67"/>
        <v/>
      </c>
      <c r="S132" s="72" t="str">
        <f t="shared" si="57"/>
        <v/>
      </c>
      <c r="V132" s="64" t="str">
        <f t="shared" si="68"/>
        <v/>
      </c>
      <c r="W132" s="72" t="str">
        <f t="shared" si="58"/>
        <v/>
      </c>
      <c r="Z132" s="64" t="str">
        <f t="shared" si="69"/>
        <v/>
      </c>
      <c r="AA132" s="72" t="str">
        <f t="shared" si="59"/>
        <v/>
      </c>
      <c r="AD132" s="64" t="str">
        <f t="shared" si="70"/>
        <v/>
      </c>
      <c r="AE132" s="72" t="str">
        <f t="shared" si="60"/>
        <v/>
      </c>
      <c r="AH132" s="64" t="str">
        <f t="shared" si="71"/>
        <v/>
      </c>
      <c r="AI132" s="72" t="str">
        <f t="shared" si="61"/>
        <v/>
      </c>
      <c r="AL132" s="64" t="str">
        <f t="shared" si="72"/>
        <v/>
      </c>
      <c r="AM132" s="72" t="str">
        <f t="shared" si="62"/>
        <v/>
      </c>
      <c r="AP132" s="64" t="str">
        <f t="shared" si="73"/>
        <v/>
      </c>
      <c r="AQ132" s="72" t="str">
        <f t="shared" si="63"/>
        <v/>
      </c>
    </row>
    <row r="133" spans="1:43" x14ac:dyDescent="0.25">
      <c r="A133" s="49">
        <v>-5.0000000000000044</v>
      </c>
      <c r="B133" s="50">
        <v>-8.6602540378443837</v>
      </c>
      <c r="C133" s="38">
        <f t="shared" si="53"/>
        <v>10</v>
      </c>
      <c r="F133" s="1" t="str">
        <f t="shared" si="64"/>
        <v/>
      </c>
      <c r="G133" s="1" t="str">
        <f t="shared" si="54"/>
        <v/>
      </c>
      <c r="J133" s="64" t="str">
        <f t="shared" si="65"/>
        <v/>
      </c>
      <c r="K133" s="72" t="str">
        <f t="shared" si="55"/>
        <v/>
      </c>
      <c r="N133" s="64" t="str">
        <f t="shared" si="66"/>
        <v/>
      </c>
      <c r="O133" s="72" t="str">
        <f t="shared" si="56"/>
        <v/>
      </c>
      <c r="R133" s="64" t="str">
        <f t="shared" si="67"/>
        <v/>
      </c>
      <c r="S133" s="72" t="str">
        <f t="shared" si="57"/>
        <v/>
      </c>
      <c r="V133" s="64" t="str">
        <f t="shared" si="68"/>
        <v/>
      </c>
      <c r="W133" s="72" t="str">
        <f t="shared" si="58"/>
        <v/>
      </c>
      <c r="Z133" s="64" t="str">
        <f t="shared" si="69"/>
        <v/>
      </c>
      <c r="AA133" s="72" t="str">
        <f t="shared" si="59"/>
        <v/>
      </c>
      <c r="AD133" s="64" t="str">
        <f t="shared" si="70"/>
        <v/>
      </c>
      <c r="AE133" s="72" t="str">
        <f t="shared" si="60"/>
        <v/>
      </c>
      <c r="AH133" s="64" t="str">
        <f t="shared" si="71"/>
        <v/>
      </c>
      <c r="AI133" s="72" t="str">
        <f t="shared" si="61"/>
        <v/>
      </c>
      <c r="AL133" s="64" t="str">
        <f t="shared" si="72"/>
        <v/>
      </c>
      <c r="AM133" s="72" t="str">
        <f t="shared" si="62"/>
        <v/>
      </c>
      <c r="AP133" s="64" t="str">
        <f t="shared" si="73"/>
        <v/>
      </c>
      <c r="AQ133" s="72" t="str">
        <f t="shared" si="63"/>
        <v/>
      </c>
    </row>
    <row r="134" spans="1:43" x14ac:dyDescent="0.25">
      <c r="A134" s="49">
        <v>-1.83772268236293E-15</v>
      </c>
      <c r="B134" s="50">
        <v>-10</v>
      </c>
      <c r="C134" s="38">
        <f t="shared" si="53"/>
        <v>10</v>
      </c>
      <c r="F134" s="1" t="str">
        <f t="shared" si="64"/>
        <v/>
      </c>
      <c r="G134" s="1" t="str">
        <f t="shared" si="54"/>
        <v/>
      </c>
      <c r="J134" s="64" t="str">
        <f t="shared" si="65"/>
        <v/>
      </c>
      <c r="K134" s="72" t="str">
        <f t="shared" si="55"/>
        <v/>
      </c>
      <c r="N134" s="64" t="str">
        <f t="shared" si="66"/>
        <v/>
      </c>
      <c r="O134" s="72" t="str">
        <f t="shared" si="56"/>
        <v/>
      </c>
      <c r="R134" s="64" t="str">
        <f t="shared" si="67"/>
        <v/>
      </c>
      <c r="S134" s="72" t="str">
        <f t="shared" si="57"/>
        <v/>
      </c>
      <c r="V134" s="64" t="str">
        <f t="shared" si="68"/>
        <v/>
      </c>
      <c r="W134" s="72" t="str">
        <f t="shared" si="58"/>
        <v/>
      </c>
      <c r="Z134" s="64" t="str">
        <f t="shared" si="69"/>
        <v/>
      </c>
      <c r="AA134" s="72" t="str">
        <f t="shared" si="59"/>
        <v/>
      </c>
      <c r="AD134" s="64" t="str">
        <f t="shared" si="70"/>
        <v/>
      </c>
      <c r="AE134" s="72" t="str">
        <f t="shared" si="60"/>
        <v/>
      </c>
      <c r="AH134" s="64" t="str">
        <f t="shared" si="71"/>
        <v/>
      </c>
      <c r="AI134" s="72" t="str">
        <f t="shared" si="61"/>
        <v/>
      </c>
      <c r="AL134" s="64" t="str">
        <f t="shared" si="72"/>
        <v/>
      </c>
      <c r="AM134" s="72" t="str">
        <f t="shared" si="62"/>
        <v/>
      </c>
      <c r="AP134" s="64" t="str">
        <f t="shared" si="73"/>
        <v/>
      </c>
      <c r="AQ134" s="72" t="str">
        <f t="shared" si="63"/>
        <v/>
      </c>
    </row>
    <row r="135" spans="1:43" x14ac:dyDescent="0.25">
      <c r="A135" s="49">
        <v>5.0000000000000009</v>
      </c>
      <c r="B135" s="50">
        <v>-8.6602540378443855</v>
      </c>
      <c r="C135" s="38">
        <f t="shared" si="53"/>
        <v>10</v>
      </c>
      <c r="F135" s="1" t="str">
        <f t="shared" si="64"/>
        <v/>
      </c>
      <c r="G135" s="1" t="str">
        <f t="shared" si="54"/>
        <v/>
      </c>
      <c r="J135" s="64" t="str">
        <f t="shared" si="65"/>
        <v/>
      </c>
      <c r="K135" s="72" t="str">
        <f t="shared" si="55"/>
        <v/>
      </c>
      <c r="N135" s="64" t="str">
        <f t="shared" si="66"/>
        <v/>
      </c>
      <c r="O135" s="72" t="str">
        <f t="shared" si="56"/>
        <v/>
      </c>
      <c r="R135" s="64" t="str">
        <f t="shared" si="67"/>
        <v/>
      </c>
      <c r="S135" s="72" t="str">
        <f t="shared" si="57"/>
        <v/>
      </c>
      <c r="V135" s="64" t="str">
        <f t="shared" si="68"/>
        <v/>
      </c>
      <c r="W135" s="72" t="str">
        <f t="shared" si="58"/>
        <v/>
      </c>
      <c r="Z135" s="64" t="str">
        <f t="shared" si="69"/>
        <v/>
      </c>
      <c r="AA135" s="72" t="str">
        <f t="shared" si="59"/>
        <v/>
      </c>
      <c r="AD135" s="64" t="str">
        <f t="shared" si="70"/>
        <v/>
      </c>
      <c r="AE135" s="72" t="str">
        <f t="shared" si="60"/>
        <v/>
      </c>
      <c r="AH135" s="64" t="str">
        <f t="shared" si="71"/>
        <v/>
      </c>
      <c r="AI135" s="72" t="str">
        <f t="shared" si="61"/>
        <v/>
      </c>
      <c r="AL135" s="64" t="str">
        <f t="shared" si="72"/>
        <v/>
      </c>
      <c r="AM135" s="72" t="str">
        <f t="shared" si="62"/>
        <v/>
      </c>
      <c r="AP135" s="64" t="str">
        <f t="shared" si="73"/>
        <v/>
      </c>
      <c r="AQ135" s="72" t="str">
        <f t="shared" si="63"/>
        <v/>
      </c>
    </row>
    <row r="136" spans="1:43" x14ac:dyDescent="0.25">
      <c r="A136" s="49">
        <v>8.6602540378443837</v>
      </c>
      <c r="B136" s="50">
        <v>-5.0000000000000044</v>
      </c>
      <c r="C136" s="38">
        <f t="shared" si="53"/>
        <v>10</v>
      </c>
      <c r="F136" s="1" t="str">
        <f t="shared" si="64"/>
        <v/>
      </c>
      <c r="G136" s="1" t="str">
        <f t="shared" si="54"/>
        <v/>
      </c>
      <c r="J136" s="64" t="str">
        <f t="shared" si="65"/>
        <v/>
      </c>
      <c r="K136" s="72" t="str">
        <f t="shared" si="55"/>
        <v/>
      </c>
      <c r="N136" s="64" t="str">
        <f t="shared" si="66"/>
        <v/>
      </c>
      <c r="O136" s="72" t="str">
        <f t="shared" si="56"/>
        <v/>
      </c>
      <c r="R136" s="64" t="str">
        <f t="shared" si="67"/>
        <v/>
      </c>
      <c r="S136" s="72" t="str">
        <f t="shared" si="57"/>
        <v/>
      </c>
      <c r="V136" s="64" t="str">
        <f t="shared" si="68"/>
        <v/>
      </c>
      <c r="W136" s="72" t="str">
        <f t="shared" si="58"/>
        <v/>
      </c>
      <c r="Z136" s="64" t="str">
        <f t="shared" si="69"/>
        <v/>
      </c>
      <c r="AA136" s="72" t="str">
        <f t="shared" si="59"/>
        <v/>
      </c>
      <c r="AD136" s="64" t="str">
        <f t="shared" si="70"/>
        <v/>
      </c>
      <c r="AE136" s="72" t="str">
        <f t="shared" si="60"/>
        <v/>
      </c>
      <c r="AH136" s="64" t="str">
        <f t="shared" si="71"/>
        <v/>
      </c>
      <c r="AI136" s="72" t="str">
        <f t="shared" si="61"/>
        <v/>
      </c>
      <c r="AL136" s="64" t="str">
        <f t="shared" si="72"/>
        <v/>
      </c>
      <c r="AM136" s="72" t="str">
        <f t="shared" si="62"/>
        <v/>
      </c>
      <c r="AP136" s="64" t="str">
        <f t="shared" si="73"/>
        <v/>
      </c>
      <c r="AQ136" s="72" t="str">
        <f t="shared" si="63"/>
        <v/>
      </c>
    </row>
    <row r="137" spans="1:43" x14ac:dyDescent="0.25">
      <c r="A137" s="49">
        <v>20</v>
      </c>
      <c r="B137" s="50">
        <v>0</v>
      </c>
      <c r="C137" s="38">
        <f t="shared" si="53"/>
        <v>20</v>
      </c>
      <c r="F137" s="1" t="str">
        <f t="shared" si="64"/>
        <v/>
      </c>
      <c r="G137" s="1" t="str">
        <f t="shared" si="54"/>
        <v/>
      </c>
      <c r="J137" s="64" t="str">
        <f t="shared" si="65"/>
        <v/>
      </c>
      <c r="K137" s="72" t="str">
        <f t="shared" si="55"/>
        <v/>
      </c>
      <c r="N137" s="64" t="str">
        <f t="shared" si="66"/>
        <v/>
      </c>
      <c r="O137" s="72" t="str">
        <f t="shared" si="56"/>
        <v/>
      </c>
      <c r="R137" s="64" t="str">
        <f t="shared" si="67"/>
        <v/>
      </c>
      <c r="S137" s="72" t="str">
        <f t="shared" si="57"/>
        <v/>
      </c>
      <c r="V137" s="64" t="str">
        <f t="shared" si="68"/>
        <v/>
      </c>
      <c r="W137" s="72" t="str">
        <f t="shared" si="58"/>
        <v/>
      </c>
      <c r="Z137" s="64" t="str">
        <f t="shared" si="69"/>
        <v/>
      </c>
      <c r="AA137" s="72" t="str">
        <f t="shared" si="59"/>
        <v/>
      </c>
      <c r="AD137" s="64" t="str">
        <f t="shared" si="70"/>
        <v/>
      </c>
      <c r="AE137" s="72" t="str">
        <f t="shared" si="60"/>
        <v/>
      </c>
      <c r="AH137" s="64" t="str">
        <f t="shared" si="71"/>
        <v/>
      </c>
      <c r="AI137" s="72" t="str">
        <f t="shared" si="61"/>
        <v/>
      </c>
      <c r="AL137" s="64" t="str">
        <f t="shared" si="72"/>
        <v/>
      </c>
      <c r="AM137" s="72" t="str">
        <f t="shared" si="62"/>
        <v/>
      </c>
      <c r="AP137" s="64" t="str">
        <f t="shared" si="73"/>
        <v/>
      </c>
      <c r="AQ137" s="72" t="str">
        <f t="shared" si="63"/>
        <v/>
      </c>
    </row>
    <row r="138" spans="1:43" x14ac:dyDescent="0.25">
      <c r="A138" s="49">
        <v>19.318516525781366</v>
      </c>
      <c r="B138" s="50">
        <v>5.1763809020504148</v>
      </c>
      <c r="C138" s="38">
        <f t="shared" si="53"/>
        <v>20</v>
      </c>
      <c r="F138" s="1" t="str">
        <f t="shared" si="64"/>
        <v/>
      </c>
      <c r="G138" s="1" t="str">
        <f t="shared" si="54"/>
        <v/>
      </c>
      <c r="J138" s="64" t="str">
        <f t="shared" si="65"/>
        <v/>
      </c>
      <c r="K138" s="72" t="str">
        <f t="shared" si="55"/>
        <v/>
      </c>
      <c r="N138" s="64" t="str">
        <f t="shared" si="66"/>
        <v/>
      </c>
      <c r="O138" s="72" t="str">
        <f t="shared" si="56"/>
        <v/>
      </c>
      <c r="R138" s="64" t="str">
        <f t="shared" si="67"/>
        <v/>
      </c>
      <c r="S138" s="72" t="str">
        <f t="shared" si="57"/>
        <v/>
      </c>
      <c r="V138" s="64" t="str">
        <f t="shared" si="68"/>
        <v/>
      </c>
      <c r="W138" s="72" t="str">
        <f t="shared" si="58"/>
        <v/>
      </c>
      <c r="Z138" s="64" t="str">
        <f t="shared" si="69"/>
        <v/>
      </c>
      <c r="AA138" s="72" t="str">
        <f t="shared" si="59"/>
        <v/>
      </c>
      <c r="AD138" s="64" t="str">
        <f t="shared" si="70"/>
        <v/>
      </c>
      <c r="AE138" s="72" t="str">
        <f t="shared" si="60"/>
        <v/>
      </c>
      <c r="AH138" s="64" t="str">
        <f t="shared" si="71"/>
        <v/>
      </c>
      <c r="AI138" s="72" t="str">
        <f t="shared" si="61"/>
        <v/>
      </c>
      <c r="AL138" s="64" t="str">
        <f t="shared" si="72"/>
        <v/>
      </c>
      <c r="AM138" s="72" t="str">
        <f t="shared" si="62"/>
        <v/>
      </c>
      <c r="AP138" s="64" t="str">
        <f t="shared" si="73"/>
        <v/>
      </c>
      <c r="AQ138" s="72" t="str">
        <f t="shared" si="63"/>
        <v/>
      </c>
    </row>
    <row r="139" spans="1:43" x14ac:dyDescent="0.25">
      <c r="A139" s="49">
        <v>17.320508075688775</v>
      </c>
      <c r="B139" s="50">
        <v>9.9999999999999982</v>
      </c>
      <c r="C139" s="38">
        <f t="shared" si="53"/>
        <v>20</v>
      </c>
      <c r="F139" s="1" t="str">
        <f t="shared" si="64"/>
        <v/>
      </c>
      <c r="G139" s="1" t="str">
        <f t="shared" si="54"/>
        <v/>
      </c>
      <c r="J139" s="64" t="str">
        <f t="shared" si="65"/>
        <v/>
      </c>
      <c r="K139" s="72" t="str">
        <f t="shared" si="55"/>
        <v/>
      </c>
      <c r="N139" s="64" t="str">
        <f t="shared" si="66"/>
        <v/>
      </c>
      <c r="O139" s="72" t="str">
        <f t="shared" si="56"/>
        <v/>
      </c>
      <c r="R139" s="64" t="str">
        <f t="shared" si="67"/>
        <v/>
      </c>
      <c r="S139" s="72" t="str">
        <f t="shared" si="57"/>
        <v/>
      </c>
      <c r="V139" s="64" t="str">
        <f t="shared" si="68"/>
        <v/>
      </c>
      <c r="W139" s="72" t="str">
        <f t="shared" si="58"/>
        <v/>
      </c>
      <c r="Z139" s="64" t="str">
        <f t="shared" si="69"/>
        <v/>
      </c>
      <c r="AA139" s="72" t="str">
        <f t="shared" si="59"/>
        <v/>
      </c>
      <c r="AD139" s="64" t="str">
        <f t="shared" si="70"/>
        <v/>
      </c>
      <c r="AE139" s="72" t="str">
        <f t="shared" si="60"/>
        <v/>
      </c>
      <c r="AH139" s="64" t="str">
        <f t="shared" si="71"/>
        <v/>
      </c>
      <c r="AI139" s="72" t="str">
        <f t="shared" si="61"/>
        <v/>
      </c>
      <c r="AL139" s="64" t="str">
        <f t="shared" si="72"/>
        <v/>
      </c>
      <c r="AM139" s="72" t="str">
        <f t="shared" si="62"/>
        <v/>
      </c>
      <c r="AP139" s="64" t="str">
        <f t="shared" si="73"/>
        <v/>
      </c>
      <c r="AQ139" s="72" t="str">
        <f t="shared" si="63"/>
        <v/>
      </c>
    </row>
    <row r="140" spans="1:43" x14ac:dyDescent="0.25">
      <c r="A140" s="49">
        <v>14.142135623730951</v>
      </c>
      <c r="B140" s="50">
        <v>14.142135623730949</v>
      </c>
      <c r="C140" s="38">
        <f t="shared" si="53"/>
        <v>20</v>
      </c>
      <c r="F140" s="1" t="str">
        <f t="shared" si="64"/>
        <v/>
      </c>
      <c r="G140" s="1" t="str">
        <f t="shared" si="54"/>
        <v/>
      </c>
      <c r="J140" s="64" t="str">
        <f t="shared" si="65"/>
        <v/>
      </c>
      <c r="K140" s="72" t="str">
        <f t="shared" si="55"/>
        <v/>
      </c>
      <c r="N140" s="64" t="str">
        <f t="shared" si="66"/>
        <v/>
      </c>
      <c r="O140" s="72" t="str">
        <f t="shared" si="56"/>
        <v/>
      </c>
      <c r="R140" s="64" t="str">
        <f t="shared" si="67"/>
        <v/>
      </c>
      <c r="S140" s="72" t="str">
        <f t="shared" si="57"/>
        <v/>
      </c>
      <c r="V140" s="64" t="str">
        <f t="shared" si="68"/>
        <v/>
      </c>
      <c r="W140" s="72" t="str">
        <f t="shared" si="58"/>
        <v/>
      </c>
      <c r="Z140" s="64" t="str">
        <f t="shared" si="69"/>
        <v/>
      </c>
      <c r="AA140" s="72" t="str">
        <f t="shared" si="59"/>
        <v/>
      </c>
      <c r="AD140" s="64" t="str">
        <f t="shared" si="70"/>
        <v/>
      </c>
      <c r="AE140" s="72" t="str">
        <f t="shared" si="60"/>
        <v/>
      </c>
      <c r="AH140" s="64" t="str">
        <f t="shared" si="71"/>
        <v/>
      </c>
      <c r="AI140" s="72" t="str">
        <f t="shared" si="61"/>
        <v/>
      </c>
      <c r="AL140" s="64" t="str">
        <f t="shared" si="72"/>
        <v/>
      </c>
      <c r="AM140" s="72" t="str">
        <f t="shared" si="62"/>
        <v/>
      </c>
      <c r="AP140" s="64" t="str">
        <f t="shared" si="73"/>
        <v/>
      </c>
      <c r="AQ140" s="72" t="str">
        <f t="shared" si="63"/>
        <v/>
      </c>
    </row>
    <row r="141" spans="1:43" x14ac:dyDescent="0.25">
      <c r="A141" s="49">
        <v>10.000000000000002</v>
      </c>
      <c r="B141" s="50">
        <v>17.320508075688771</v>
      </c>
      <c r="C141" s="38">
        <f t="shared" si="53"/>
        <v>20</v>
      </c>
      <c r="F141" s="1" t="str">
        <f t="shared" si="64"/>
        <v/>
      </c>
      <c r="G141" s="1" t="str">
        <f t="shared" si="54"/>
        <v/>
      </c>
      <c r="J141" s="64" t="str">
        <f t="shared" si="65"/>
        <v/>
      </c>
      <c r="K141" s="72" t="str">
        <f t="shared" si="55"/>
        <v/>
      </c>
      <c r="N141" s="64" t="str">
        <f t="shared" si="66"/>
        <v/>
      </c>
      <c r="O141" s="72" t="str">
        <f t="shared" si="56"/>
        <v/>
      </c>
      <c r="R141" s="64" t="str">
        <f t="shared" si="67"/>
        <v/>
      </c>
      <c r="S141" s="72" t="str">
        <f t="shared" si="57"/>
        <v/>
      </c>
      <c r="V141" s="64" t="str">
        <f t="shared" si="68"/>
        <v/>
      </c>
      <c r="W141" s="72" t="str">
        <f t="shared" si="58"/>
        <v/>
      </c>
      <c r="Z141" s="64" t="str">
        <f t="shared" si="69"/>
        <v/>
      </c>
      <c r="AA141" s="72" t="str">
        <f t="shared" si="59"/>
        <v/>
      </c>
      <c r="AD141" s="64" t="str">
        <f t="shared" si="70"/>
        <v/>
      </c>
      <c r="AE141" s="72" t="str">
        <f t="shared" si="60"/>
        <v/>
      </c>
      <c r="AH141" s="64" t="str">
        <f t="shared" si="71"/>
        <v/>
      </c>
      <c r="AI141" s="72" t="str">
        <f t="shared" si="61"/>
        <v/>
      </c>
      <c r="AL141" s="64" t="str">
        <f t="shared" si="72"/>
        <v/>
      </c>
      <c r="AM141" s="72" t="str">
        <f t="shared" si="62"/>
        <v/>
      </c>
      <c r="AP141" s="64" t="str">
        <f t="shared" si="73"/>
        <v/>
      </c>
      <c r="AQ141" s="72" t="str">
        <f t="shared" si="63"/>
        <v/>
      </c>
    </row>
    <row r="142" spans="1:43" x14ac:dyDescent="0.25">
      <c r="A142" s="49">
        <v>5.1763809020504148</v>
      </c>
      <c r="B142" s="50">
        <v>19.318516525781366</v>
      </c>
      <c r="C142" s="38">
        <f t="shared" si="53"/>
        <v>20</v>
      </c>
      <c r="F142" s="1" t="str">
        <f t="shared" si="64"/>
        <v/>
      </c>
      <c r="G142" s="1" t="str">
        <f t="shared" si="54"/>
        <v/>
      </c>
      <c r="J142" s="64" t="str">
        <f t="shared" si="65"/>
        <v/>
      </c>
      <c r="K142" s="72" t="str">
        <f t="shared" si="55"/>
        <v/>
      </c>
      <c r="N142" s="64" t="str">
        <f t="shared" si="66"/>
        <v/>
      </c>
      <c r="O142" s="72" t="str">
        <f t="shared" si="56"/>
        <v/>
      </c>
      <c r="R142" s="64" t="str">
        <f t="shared" si="67"/>
        <v/>
      </c>
      <c r="S142" s="72" t="str">
        <f t="shared" si="57"/>
        <v/>
      </c>
      <c r="V142" s="64" t="str">
        <f t="shared" si="68"/>
        <v/>
      </c>
      <c r="W142" s="72" t="str">
        <f t="shared" si="58"/>
        <v/>
      </c>
      <c r="Z142" s="64" t="str">
        <f t="shared" si="69"/>
        <v/>
      </c>
      <c r="AA142" s="72" t="str">
        <f t="shared" si="59"/>
        <v/>
      </c>
      <c r="AD142" s="64" t="str">
        <f t="shared" si="70"/>
        <v/>
      </c>
      <c r="AE142" s="72" t="str">
        <f t="shared" si="60"/>
        <v/>
      </c>
      <c r="AH142" s="64" t="str">
        <f t="shared" si="71"/>
        <v/>
      </c>
      <c r="AI142" s="72" t="str">
        <f t="shared" si="61"/>
        <v/>
      </c>
      <c r="AL142" s="64" t="str">
        <f t="shared" si="72"/>
        <v/>
      </c>
      <c r="AM142" s="72" t="str">
        <f t="shared" si="62"/>
        <v/>
      </c>
      <c r="AP142" s="64" t="str">
        <f t="shared" si="73"/>
        <v/>
      </c>
      <c r="AQ142" s="72" t="str">
        <f t="shared" si="63"/>
        <v/>
      </c>
    </row>
    <row r="143" spans="1:43" x14ac:dyDescent="0.25">
      <c r="A143" s="49">
        <v>1.22514845490862E-15</v>
      </c>
      <c r="B143" s="50">
        <v>20</v>
      </c>
      <c r="C143" s="38">
        <f t="shared" si="53"/>
        <v>20</v>
      </c>
      <c r="F143" s="1" t="str">
        <f t="shared" si="64"/>
        <v/>
      </c>
      <c r="G143" s="1" t="str">
        <f t="shared" si="54"/>
        <v/>
      </c>
      <c r="J143" s="64" t="str">
        <f t="shared" si="65"/>
        <v/>
      </c>
      <c r="K143" s="72" t="str">
        <f t="shared" si="55"/>
        <v/>
      </c>
      <c r="N143" s="64" t="str">
        <f t="shared" si="66"/>
        <v/>
      </c>
      <c r="O143" s="72" t="str">
        <f t="shared" si="56"/>
        <v/>
      </c>
      <c r="R143" s="64" t="str">
        <f t="shared" si="67"/>
        <v/>
      </c>
      <c r="S143" s="72" t="str">
        <f t="shared" si="57"/>
        <v/>
      </c>
      <c r="V143" s="64" t="str">
        <f t="shared" si="68"/>
        <v/>
      </c>
      <c r="W143" s="72" t="str">
        <f t="shared" si="58"/>
        <v/>
      </c>
      <c r="Z143" s="64" t="str">
        <f t="shared" si="69"/>
        <v/>
      </c>
      <c r="AA143" s="72" t="str">
        <f t="shared" si="59"/>
        <v/>
      </c>
      <c r="AD143" s="64" t="str">
        <f t="shared" si="70"/>
        <v/>
      </c>
      <c r="AE143" s="72" t="str">
        <f t="shared" si="60"/>
        <v/>
      </c>
      <c r="AH143" s="64" t="str">
        <f t="shared" si="71"/>
        <v/>
      </c>
      <c r="AI143" s="72" t="str">
        <f t="shared" si="61"/>
        <v/>
      </c>
      <c r="AL143" s="64" t="str">
        <f t="shared" si="72"/>
        <v/>
      </c>
      <c r="AM143" s="72" t="str">
        <f t="shared" si="62"/>
        <v/>
      </c>
      <c r="AP143" s="64" t="str">
        <f t="shared" si="73"/>
        <v/>
      </c>
      <c r="AQ143" s="72" t="str">
        <f t="shared" si="63"/>
        <v/>
      </c>
    </row>
    <row r="144" spans="1:43" x14ac:dyDescent="0.25">
      <c r="A144" s="49">
        <v>-5.1763809020504166</v>
      </c>
      <c r="B144" s="50">
        <v>19.318516525781366</v>
      </c>
      <c r="C144" s="38">
        <f t="shared" si="53"/>
        <v>20</v>
      </c>
      <c r="F144" s="1" t="str">
        <f t="shared" si="64"/>
        <v/>
      </c>
      <c r="G144" s="1" t="str">
        <f t="shared" si="54"/>
        <v/>
      </c>
      <c r="J144" s="64" t="str">
        <f t="shared" si="65"/>
        <v/>
      </c>
      <c r="K144" s="72" t="str">
        <f t="shared" si="55"/>
        <v/>
      </c>
      <c r="N144" s="64" t="str">
        <f t="shared" si="66"/>
        <v/>
      </c>
      <c r="O144" s="72" t="str">
        <f t="shared" si="56"/>
        <v/>
      </c>
      <c r="R144" s="64" t="str">
        <f t="shared" si="67"/>
        <v/>
      </c>
      <c r="S144" s="72" t="str">
        <f t="shared" si="57"/>
        <v/>
      </c>
      <c r="V144" s="64" t="str">
        <f t="shared" si="68"/>
        <v/>
      </c>
      <c r="W144" s="72" t="str">
        <f t="shared" si="58"/>
        <v/>
      </c>
      <c r="Z144" s="64" t="str">
        <f t="shared" si="69"/>
        <v/>
      </c>
      <c r="AA144" s="72" t="str">
        <f t="shared" si="59"/>
        <v/>
      </c>
      <c r="AD144" s="64" t="str">
        <f t="shared" si="70"/>
        <v/>
      </c>
      <c r="AE144" s="72" t="str">
        <f t="shared" si="60"/>
        <v/>
      </c>
      <c r="AH144" s="64" t="str">
        <f t="shared" si="71"/>
        <v/>
      </c>
      <c r="AI144" s="72" t="str">
        <f t="shared" si="61"/>
        <v/>
      </c>
      <c r="AL144" s="64" t="str">
        <f t="shared" si="72"/>
        <v/>
      </c>
      <c r="AM144" s="72" t="str">
        <f t="shared" si="62"/>
        <v/>
      </c>
      <c r="AP144" s="64" t="str">
        <f t="shared" si="73"/>
        <v/>
      </c>
      <c r="AQ144" s="72" t="str">
        <f t="shared" si="63"/>
        <v/>
      </c>
    </row>
    <row r="145" spans="1:43" x14ac:dyDescent="0.25">
      <c r="A145" s="49">
        <v>-9.9999999999999964</v>
      </c>
      <c r="B145" s="50">
        <v>17.320508075688775</v>
      </c>
      <c r="C145" s="38">
        <f t="shared" si="53"/>
        <v>20</v>
      </c>
      <c r="F145" s="1" t="str">
        <f t="shared" si="64"/>
        <v/>
      </c>
      <c r="G145" s="1" t="str">
        <f t="shared" si="54"/>
        <v/>
      </c>
      <c r="J145" s="64" t="str">
        <f t="shared" si="65"/>
        <v/>
      </c>
      <c r="K145" s="72" t="str">
        <f t="shared" si="55"/>
        <v/>
      </c>
      <c r="N145" s="64" t="str">
        <f t="shared" si="66"/>
        <v/>
      </c>
      <c r="O145" s="72" t="str">
        <f t="shared" si="56"/>
        <v/>
      </c>
      <c r="R145" s="64" t="str">
        <f t="shared" si="67"/>
        <v/>
      </c>
      <c r="S145" s="72" t="str">
        <f t="shared" si="57"/>
        <v/>
      </c>
      <c r="V145" s="64" t="str">
        <f t="shared" si="68"/>
        <v/>
      </c>
      <c r="W145" s="72" t="str">
        <f t="shared" si="58"/>
        <v/>
      </c>
      <c r="Z145" s="64" t="str">
        <f t="shared" si="69"/>
        <v/>
      </c>
      <c r="AA145" s="72" t="str">
        <f t="shared" si="59"/>
        <v/>
      </c>
      <c r="AD145" s="64" t="str">
        <f t="shared" si="70"/>
        <v/>
      </c>
      <c r="AE145" s="72" t="str">
        <f t="shared" si="60"/>
        <v/>
      </c>
      <c r="AH145" s="64" t="str">
        <f t="shared" si="71"/>
        <v/>
      </c>
      <c r="AI145" s="72" t="str">
        <f t="shared" si="61"/>
        <v/>
      </c>
      <c r="AL145" s="64" t="str">
        <f t="shared" si="72"/>
        <v/>
      </c>
      <c r="AM145" s="72" t="str">
        <f t="shared" si="62"/>
        <v/>
      </c>
      <c r="AP145" s="64" t="str">
        <f t="shared" si="73"/>
        <v/>
      </c>
      <c r="AQ145" s="72" t="str">
        <f t="shared" si="63"/>
        <v/>
      </c>
    </row>
    <row r="146" spans="1:43" x14ac:dyDescent="0.25">
      <c r="A146" s="49">
        <v>-14.142135623730949</v>
      </c>
      <c r="B146" s="50">
        <v>14.142135623730951</v>
      </c>
      <c r="C146" s="38">
        <f t="shared" si="53"/>
        <v>20</v>
      </c>
      <c r="F146" s="1" t="str">
        <f t="shared" si="64"/>
        <v/>
      </c>
      <c r="G146" s="1" t="str">
        <f t="shared" si="54"/>
        <v/>
      </c>
      <c r="J146" s="64" t="str">
        <f t="shared" si="65"/>
        <v/>
      </c>
      <c r="K146" s="72" t="str">
        <f t="shared" si="55"/>
        <v/>
      </c>
      <c r="N146" s="64" t="str">
        <f t="shared" si="66"/>
        <v/>
      </c>
      <c r="O146" s="72" t="str">
        <f t="shared" si="56"/>
        <v/>
      </c>
      <c r="R146" s="64" t="str">
        <f t="shared" si="67"/>
        <v/>
      </c>
      <c r="S146" s="72" t="str">
        <f t="shared" si="57"/>
        <v/>
      </c>
      <c r="V146" s="64" t="str">
        <f t="shared" si="68"/>
        <v/>
      </c>
      <c r="W146" s="72" t="str">
        <f t="shared" si="58"/>
        <v/>
      </c>
      <c r="Z146" s="64" t="str">
        <f t="shared" si="69"/>
        <v/>
      </c>
      <c r="AA146" s="72" t="str">
        <f t="shared" si="59"/>
        <v/>
      </c>
      <c r="AD146" s="64" t="str">
        <f t="shared" si="70"/>
        <v/>
      </c>
      <c r="AE146" s="72" t="str">
        <f t="shared" si="60"/>
        <v/>
      </c>
      <c r="AH146" s="64" t="str">
        <f t="shared" si="71"/>
        <v/>
      </c>
      <c r="AI146" s="72" t="str">
        <f t="shared" si="61"/>
        <v/>
      </c>
      <c r="AL146" s="64" t="str">
        <f t="shared" si="72"/>
        <v/>
      </c>
      <c r="AM146" s="72" t="str">
        <f t="shared" si="62"/>
        <v/>
      </c>
      <c r="AP146" s="64" t="str">
        <f t="shared" si="73"/>
        <v/>
      </c>
      <c r="AQ146" s="72" t="str">
        <f t="shared" si="63"/>
        <v/>
      </c>
    </row>
    <row r="147" spans="1:43" x14ac:dyDescent="0.25">
      <c r="A147" s="49">
        <v>-17.320508075688775</v>
      </c>
      <c r="B147" s="50">
        <v>9.9999999999999982</v>
      </c>
      <c r="C147" s="38">
        <f t="shared" si="53"/>
        <v>20</v>
      </c>
      <c r="F147" s="1" t="str">
        <f t="shared" si="64"/>
        <v/>
      </c>
      <c r="G147" s="1" t="str">
        <f t="shared" si="54"/>
        <v/>
      </c>
      <c r="J147" s="64" t="str">
        <f t="shared" si="65"/>
        <v/>
      </c>
      <c r="K147" s="72" t="str">
        <f t="shared" si="55"/>
        <v/>
      </c>
      <c r="N147" s="64" t="str">
        <f t="shared" si="66"/>
        <v/>
      </c>
      <c r="O147" s="72" t="str">
        <f t="shared" si="56"/>
        <v/>
      </c>
      <c r="R147" s="64" t="str">
        <f t="shared" si="67"/>
        <v/>
      </c>
      <c r="S147" s="72" t="str">
        <f t="shared" si="57"/>
        <v/>
      </c>
      <c r="V147" s="64" t="str">
        <f t="shared" si="68"/>
        <v/>
      </c>
      <c r="W147" s="72" t="str">
        <f t="shared" si="58"/>
        <v/>
      </c>
      <c r="Z147" s="64" t="str">
        <f t="shared" si="69"/>
        <v/>
      </c>
      <c r="AA147" s="72" t="str">
        <f t="shared" si="59"/>
        <v/>
      </c>
      <c r="AD147" s="64" t="str">
        <f t="shared" si="70"/>
        <v/>
      </c>
      <c r="AE147" s="72" t="str">
        <f t="shared" si="60"/>
        <v/>
      </c>
      <c r="AH147" s="64" t="str">
        <f t="shared" si="71"/>
        <v/>
      </c>
      <c r="AI147" s="72" t="str">
        <f t="shared" si="61"/>
        <v/>
      </c>
      <c r="AL147" s="64" t="str">
        <f t="shared" si="72"/>
        <v/>
      </c>
      <c r="AM147" s="72" t="str">
        <f t="shared" si="62"/>
        <v/>
      </c>
      <c r="AP147" s="64" t="str">
        <f t="shared" si="73"/>
        <v/>
      </c>
      <c r="AQ147" s="72" t="str">
        <f t="shared" si="63"/>
        <v/>
      </c>
    </row>
    <row r="148" spans="1:43" x14ac:dyDescent="0.25">
      <c r="A148" s="49">
        <v>-19.318516525781362</v>
      </c>
      <c r="B148" s="50">
        <v>5.1763809020504201</v>
      </c>
      <c r="C148" s="38">
        <f t="shared" si="53"/>
        <v>19.999999999999996</v>
      </c>
      <c r="F148" s="1" t="str">
        <f t="shared" si="64"/>
        <v/>
      </c>
      <c r="G148" s="1" t="str">
        <f t="shared" si="54"/>
        <v/>
      </c>
      <c r="J148" s="64" t="str">
        <f t="shared" si="65"/>
        <v/>
      </c>
      <c r="K148" s="72" t="str">
        <f t="shared" si="55"/>
        <v/>
      </c>
      <c r="N148" s="64" t="str">
        <f t="shared" si="66"/>
        <v/>
      </c>
      <c r="O148" s="72" t="str">
        <f t="shared" si="56"/>
        <v/>
      </c>
      <c r="R148" s="64" t="str">
        <f t="shared" si="67"/>
        <v/>
      </c>
      <c r="S148" s="72" t="str">
        <f t="shared" si="57"/>
        <v/>
      </c>
      <c r="V148" s="64" t="str">
        <f t="shared" si="68"/>
        <v/>
      </c>
      <c r="W148" s="72" t="str">
        <f t="shared" si="58"/>
        <v/>
      </c>
      <c r="Z148" s="64" t="str">
        <f t="shared" si="69"/>
        <v/>
      </c>
      <c r="AA148" s="72" t="str">
        <f t="shared" si="59"/>
        <v/>
      </c>
      <c r="AD148" s="64" t="str">
        <f t="shared" si="70"/>
        <v/>
      </c>
      <c r="AE148" s="72" t="str">
        <f t="shared" si="60"/>
        <v/>
      </c>
      <c r="AH148" s="64" t="str">
        <f t="shared" si="71"/>
        <v/>
      </c>
      <c r="AI148" s="72" t="str">
        <f t="shared" si="61"/>
        <v/>
      </c>
      <c r="AL148" s="64" t="str">
        <f t="shared" si="72"/>
        <v/>
      </c>
      <c r="AM148" s="72" t="str">
        <f t="shared" si="62"/>
        <v/>
      </c>
      <c r="AP148" s="64" t="str">
        <f t="shared" si="73"/>
        <v/>
      </c>
      <c r="AQ148" s="72" t="str">
        <f t="shared" si="63"/>
        <v/>
      </c>
    </row>
    <row r="149" spans="1:43" x14ac:dyDescent="0.25">
      <c r="A149" s="49">
        <v>-20</v>
      </c>
      <c r="B149" s="50">
        <v>2.45029690981724E-15</v>
      </c>
      <c r="C149" s="38">
        <f t="shared" si="53"/>
        <v>20</v>
      </c>
      <c r="F149" s="1" t="str">
        <f t="shared" si="64"/>
        <v/>
      </c>
      <c r="G149" s="1" t="str">
        <f t="shared" si="54"/>
        <v/>
      </c>
      <c r="J149" s="64" t="str">
        <f t="shared" si="65"/>
        <v/>
      </c>
      <c r="K149" s="72" t="str">
        <f t="shared" si="55"/>
        <v/>
      </c>
      <c r="N149" s="64" t="str">
        <f t="shared" si="66"/>
        <v/>
      </c>
      <c r="O149" s="72" t="str">
        <f t="shared" si="56"/>
        <v/>
      </c>
      <c r="R149" s="64" t="str">
        <f t="shared" si="67"/>
        <v/>
      </c>
      <c r="S149" s="72" t="str">
        <f t="shared" si="57"/>
        <v/>
      </c>
      <c r="V149" s="64" t="str">
        <f t="shared" si="68"/>
        <v/>
      </c>
      <c r="W149" s="72" t="str">
        <f t="shared" si="58"/>
        <v/>
      </c>
      <c r="Z149" s="64" t="str">
        <f t="shared" si="69"/>
        <v/>
      </c>
      <c r="AA149" s="72" t="str">
        <f t="shared" si="59"/>
        <v/>
      </c>
      <c r="AD149" s="64" t="str">
        <f t="shared" si="70"/>
        <v/>
      </c>
      <c r="AE149" s="72" t="str">
        <f t="shared" si="60"/>
        <v/>
      </c>
      <c r="AH149" s="64" t="str">
        <f t="shared" si="71"/>
        <v/>
      </c>
      <c r="AI149" s="72" t="str">
        <f t="shared" si="61"/>
        <v/>
      </c>
      <c r="AL149" s="64" t="str">
        <f t="shared" si="72"/>
        <v/>
      </c>
      <c r="AM149" s="72" t="str">
        <f t="shared" si="62"/>
        <v/>
      </c>
      <c r="AP149" s="64" t="str">
        <f t="shared" si="73"/>
        <v/>
      </c>
      <c r="AQ149" s="72" t="str">
        <f t="shared" si="63"/>
        <v/>
      </c>
    </row>
    <row r="150" spans="1:43" x14ac:dyDescent="0.25">
      <c r="A150" s="49">
        <v>-19.318516525781366</v>
      </c>
      <c r="B150" s="50">
        <v>-5.1763809020504157</v>
      </c>
      <c r="C150" s="38">
        <f t="shared" si="53"/>
        <v>20</v>
      </c>
      <c r="F150" s="1" t="str">
        <f t="shared" si="64"/>
        <v/>
      </c>
      <c r="G150" s="1" t="str">
        <f t="shared" si="54"/>
        <v/>
      </c>
      <c r="J150" s="64" t="str">
        <f t="shared" si="65"/>
        <v/>
      </c>
      <c r="K150" s="72" t="str">
        <f t="shared" si="55"/>
        <v/>
      </c>
      <c r="N150" s="64" t="str">
        <f t="shared" si="66"/>
        <v/>
      </c>
      <c r="O150" s="72" t="str">
        <f t="shared" si="56"/>
        <v/>
      </c>
      <c r="R150" s="64" t="str">
        <f t="shared" si="67"/>
        <v/>
      </c>
      <c r="S150" s="72" t="str">
        <f t="shared" si="57"/>
        <v/>
      </c>
      <c r="V150" s="64" t="str">
        <f t="shared" si="68"/>
        <v/>
      </c>
      <c r="W150" s="72" t="str">
        <f t="shared" si="58"/>
        <v/>
      </c>
      <c r="Z150" s="64" t="str">
        <f t="shared" si="69"/>
        <v/>
      </c>
      <c r="AA150" s="72" t="str">
        <f t="shared" si="59"/>
        <v/>
      </c>
      <c r="AD150" s="64" t="str">
        <f t="shared" si="70"/>
        <v/>
      </c>
      <c r="AE150" s="72" t="str">
        <f t="shared" si="60"/>
        <v/>
      </c>
      <c r="AH150" s="64" t="str">
        <f t="shared" si="71"/>
        <v/>
      </c>
      <c r="AI150" s="72" t="str">
        <f t="shared" si="61"/>
        <v/>
      </c>
      <c r="AL150" s="64" t="str">
        <f t="shared" si="72"/>
        <v/>
      </c>
      <c r="AM150" s="72" t="str">
        <f t="shared" si="62"/>
        <v/>
      </c>
      <c r="AP150" s="64" t="str">
        <f t="shared" si="73"/>
        <v/>
      </c>
      <c r="AQ150" s="72" t="str">
        <f t="shared" si="63"/>
        <v/>
      </c>
    </row>
    <row r="151" spans="1:43" x14ac:dyDescent="0.25">
      <c r="A151" s="49">
        <v>-17.320508075688771</v>
      </c>
      <c r="B151" s="50">
        <v>-10.000000000000002</v>
      </c>
      <c r="C151" s="38">
        <f t="shared" si="53"/>
        <v>20</v>
      </c>
      <c r="F151" s="1" t="str">
        <f t="shared" si="64"/>
        <v/>
      </c>
      <c r="G151" s="1" t="str">
        <f t="shared" si="54"/>
        <v/>
      </c>
      <c r="J151" s="64" t="str">
        <f t="shared" si="65"/>
        <v/>
      </c>
      <c r="K151" s="72" t="str">
        <f t="shared" si="55"/>
        <v/>
      </c>
      <c r="N151" s="64" t="str">
        <f t="shared" si="66"/>
        <v/>
      </c>
      <c r="O151" s="72" t="str">
        <f t="shared" si="56"/>
        <v/>
      </c>
      <c r="R151" s="64" t="str">
        <f t="shared" si="67"/>
        <v/>
      </c>
      <c r="S151" s="72" t="str">
        <f t="shared" si="57"/>
        <v/>
      </c>
      <c r="V151" s="64" t="str">
        <f t="shared" si="68"/>
        <v/>
      </c>
      <c r="W151" s="72" t="str">
        <f t="shared" si="58"/>
        <v/>
      </c>
      <c r="Z151" s="64" t="str">
        <f t="shared" si="69"/>
        <v/>
      </c>
      <c r="AA151" s="72" t="str">
        <f t="shared" si="59"/>
        <v/>
      </c>
      <c r="AD151" s="64" t="str">
        <f t="shared" si="70"/>
        <v/>
      </c>
      <c r="AE151" s="72" t="str">
        <f t="shared" si="60"/>
        <v/>
      </c>
      <c r="AH151" s="64" t="str">
        <f t="shared" si="71"/>
        <v/>
      </c>
      <c r="AI151" s="72" t="str">
        <f t="shared" si="61"/>
        <v/>
      </c>
      <c r="AL151" s="64" t="str">
        <f t="shared" si="72"/>
        <v/>
      </c>
      <c r="AM151" s="72" t="str">
        <f t="shared" si="62"/>
        <v/>
      </c>
      <c r="AP151" s="64" t="str">
        <f t="shared" si="73"/>
        <v/>
      </c>
      <c r="AQ151" s="72" t="str">
        <f t="shared" si="63"/>
        <v/>
      </c>
    </row>
    <row r="152" spans="1:43" x14ac:dyDescent="0.25">
      <c r="A152" s="49">
        <v>-14.142135623730955</v>
      </c>
      <c r="B152" s="50">
        <v>-14.142135623730949</v>
      </c>
      <c r="C152" s="38">
        <f t="shared" si="53"/>
        <v>20.000000000000004</v>
      </c>
      <c r="F152" s="1" t="str">
        <f t="shared" si="64"/>
        <v/>
      </c>
      <c r="G152" s="1" t="str">
        <f t="shared" si="54"/>
        <v/>
      </c>
      <c r="J152" s="64" t="str">
        <f t="shared" si="65"/>
        <v/>
      </c>
      <c r="K152" s="72" t="str">
        <f t="shared" si="55"/>
        <v/>
      </c>
      <c r="N152" s="64" t="str">
        <f t="shared" si="66"/>
        <v/>
      </c>
      <c r="O152" s="72" t="str">
        <f t="shared" si="56"/>
        <v/>
      </c>
      <c r="R152" s="64" t="str">
        <f t="shared" si="67"/>
        <v/>
      </c>
      <c r="S152" s="72" t="str">
        <f t="shared" si="57"/>
        <v/>
      </c>
      <c r="V152" s="64" t="str">
        <f t="shared" si="68"/>
        <v/>
      </c>
      <c r="W152" s="72" t="str">
        <f t="shared" si="58"/>
        <v/>
      </c>
      <c r="Z152" s="64" t="str">
        <f t="shared" si="69"/>
        <v/>
      </c>
      <c r="AA152" s="72" t="str">
        <f t="shared" si="59"/>
        <v/>
      </c>
      <c r="AD152" s="64" t="str">
        <f t="shared" si="70"/>
        <v/>
      </c>
      <c r="AE152" s="72" t="str">
        <f t="shared" si="60"/>
        <v/>
      </c>
      <c r="AH152" s="64" t="str">
        <f t="shared" si="71"/>
        <v/>
      </c>
      <c r="AI152" s="72" t="str">
        <f t="shared" si="61"/>
        <v/>
      </c>
      <c r="AL152" s="64" t="str">
        <f t="shared" si="72"/>
        <v/>
      </c>
      <c r="AM152" s="72" t="str">
        <f t="shared" si="62"/>
        <v/>
      </c>
      <c r="AP152" s="64" t="str">
        <f t="shared" si="73"/>
        <v/>
      </c>
      <c r="AQ152" s="72" t="str">
        <f t="shared" si="63"/>
        <v/>
      </c>
    </row>
    <row r="153" spans="1:43" x14ac:dyDescent="0.25">
      <c r="A153" s="49">
        <v>-10.000000000000009</v>
      </c>
      <c r="B153" s="50">
        <v>-17.320508075688767</v>
      </c>
      <c r="C153" s="38">
        <f t="shared" si="53"/>
        <v>20</v>
      </c>
      <c r="F153" s="1" t="str">
        <f t="shared" si="64"/>
        <v/>
      </c>
      <c r="G153" s="1" t="str">
        <f t="shared" si="54"/>
        <v/>
      </c>
      <c r="J153" s="64" t="str">
        <f t="shared" si="65"/>
        <v/>
      </c>
      <c r="K153" s="72" t="str">
        <f t="shared" si="55"/>
        <v/>
      </c>
      <c r="N153" s="64" t="str">
        <f t="shared" si="66"/>
        <v/>
      </c>
      <c r="O153" s="72" t="str">
        <f t="shared" si="56"/>
        <v/>
      </c>
      <c r="R153" s="64" t="str">
        <f t="shared" si="67"/>
        <v/>
      </c>
      <c r="S153" s="72" t="str">
        <f t="shared" si="57"/>
        <v/>
      </c>
      <c r="V153" s="64" t="str">
        <f t="shared" si="68"/>
        <v/>
      </c>
      <c r="W153" s="72" t="str">
        <f t="shared" si="58"/>
        <v/>
      </c>
      <c r="Z153" s="64" t="str">
        <f t="shared" si="69"/>
        <v/>
      </c>
      <c r="AA153" s="72" t="str">
        <f t="shared" si="59"/>
        <v/>
      </c>
      <c r="AD153" s="64" t="str">
        <f t="shared" si="70"/>
        <v/>
      </c>
      <c r="AE153" s="72" t="str">
        <f t="shared" si="60"/>
        <v/>
      </c>
      <c r="AH153" s="64" t="str">
        <f t="shared" si="71"/>
        <v/>
      </c>
      <c r="AI153" s="72" t="str">
        <f t="shared" si="61"/>
        <v/>
      </c>
      <c r="AL153" s="64" t="str">
        <f t="shared" si="72"/>
        <v/>
      </c>
      <c r="AM153" s="72" t="str">
        <f t="shared" si="62"/>
        <v/>
      </c>
      <c r="AP153" s="64" t="str">
        <f t="shared" si="73"/>
        <v/>
      </c>
      <c r="AQ153" s="72" t="str">
        <f t="shared" si="63"/>
        <v/>
      </c>
    </row>
    <row r="154" spans="1:43" x14ac:dyDescent="0.25">
      <c r="A154" s="49">
        <v>-5.176380902050413</v>
      </c>
      <c r="B154" s="50">
        <v>-19.318516525781366</v>
      </c>
      <c r="C154" s="38">
        <f t="shared" si="53"/>
        <v>20</v>
      </c>
      <c r="F154" s="1" t="str">
        <f t="shared" si="64"/>
        <v/>
      </c>
      <c r="G154" s="1" t="str">
        <f t="shared" si="54"/>
        <v/>
      </c>
      <c r="J154" s="64" t="str">
        <f t="shared" si="65"/>
        <v/>
      </c>
      <c r="K154" s="72" t="str">
        <f t="shared" si="55"/>
        <v/>
      </c>
      <c r="N154" s="64" t="str">
        <f t="shared" si="66"/>
        <v/>
      </c>
      <c r="O154" s="72" t="str">
        <f t="shared" si="56"/>
        <v/>
      </c>
      <c r="R154" s="64" t="str">
        <f t="shared" si="67"/>
        <v/>
      </c>
      <c r="S154" s="72" t="str">
        <f t="shared" si="57"/>
        <v/>
      </c>
      <c r="V154" s="64" t="str">
        <f t="shared" si="68"/>
        <v/>
      </c>
      <c r="W154" s="72" t="str">
        <f t="shared" si="58"/>
        <v/>
      </c>
      <c r="Z154" s="64" t="str">
        <f t="shared" si="69"/>
        <v/>
      </c>
      <c r="AA154" s="72" t="str">
        <f t="shared" si="59"/>
        <v/>
      </c>
      <c r="AD154" s="64" t="str">
        <f t="shared" si="70"/>
        <v/>
      </c>
      <c r="AE154" s="72" t="str">
        <f t="shared" si="60"/>
        <v/>
      </c>
      <c r="AH154" s="64" t="str">
        <f t="shared" si="71"/>
        <v/>
      </c>
      <c r="AI154" s="72" t="str">
        <f t="shared" si="61"/>
        <v/>
      </c>
      <c r="AL154" s="64" t="str">
        <f t="shared" si="72"/>
        <v/>
      </c>
      <c r="AM154" s="72" t="str">
        <f t="shared" si="62"/>
        <v/>
      </c>
      <c r="AP154" s="64" t="str">
        <f t="shared" si="73"/>
        <v/>
      </c>
      <c r="AQ154" s="72" t="str">
        <f t="shared" si="63"/>
        <v/>
      </c>
    </row>
    <row r="155" spans="1:43" x14ac:dyDescent="0.25">
      <c r="A155" s="49">
        <v>-3.67544536472586E-15</v>
      </c>
      <c r="B155" s="50">
        <v>-20</v>
      </c>
      <c r="C155" s="38">
        <f t="shared" si="53"/>
        <v>20</v>
      </c>
      <c r="F155" s="1" t="str">
        <f t="shared" si="64"/>
        <v/>
      </c>
      <c r="G155" s="1" t="str">
        <f t="shared" si="54"/>
        <v/>
      </c>
      <c r="J155" s="64" t="str">
        <f t="shared" si="65"/>
        <v/>
      </c>
      <c r="K155" s="72" t="str">
        <f t="shared" si="55"/>
        <v/>
      </c>
      <c r="N155" s="64" t="str">
        <f t="shared" si="66"/>
        <v/>
      </c>
      <c r="O155" s="72" t="str">
        <f t="shared" si="56"/>
        <v/>
      </c>
      <c r="R155" s="64" t="str">
        <f t="shared" si="67"/>
        <v/>
      </c>
      <c r="S155" s="72" t="str">
        <f t="shared" si="57"/>
        <v/>
      </c>
      <c r="V155" s="64" t="str">
        <f t="shared" si="68"/>
        <v/>
      </c>
      <c r="W155" s="72" t="str">
        <f t="shared" si="58"/>
        <v/>
      </c>
      <c r="Z155" s="64" t="str">
        <f t="shared" si="69"/>
        <v/>
      </c>
      <c r="AA155" s="72" t="str">
        <f t="shared" si="59"/>
        <v/>
      </c>
      <c r="AD155" s="64" t="str">
        <f t="shared" si="70"/>
        <v/>
      </c>
      <c r="AE155" s="72" t="str">
        <f t="shared" si="60"/>
        <v/>
      </c>
      <c r="AH155" s="64" t="str">
        <f t="shared" si="71"/>
        <v/>
      </c>
      <c r="AI155" s="72" t="str">
        <f t="shared" si="61"/>
        <v/>
      </c>
      <c r="AL155" s="64" t="str">
        <f t="shared" si="72"/>
        <v/>
      </c>
      <c r="AM155" s="72" t="str">
        <f t="shared" si="62"/>
        <v/>
      </c>
      <c r="AP155" s="64" t="str">
        <f t="shared" si="73"/>
        <v/>
      </c>
      <c r="AQ155" s="72" t="str">
        <f t="shared" si="63"/>
        <v/>
      </c>
    </row>
    <row r="156" spans="1:43" x14ac:dyDescent="0.25">
      <c r="A156" s="49">
        <v>5.1763809020504059</v>
      </c>
      <c r="B156" s="50">
        <v>-19.318516525781369</v>
      </c>
      <c r="C156" s="38">
        <f t="shared" si="53"/>
        <v>20</v>
      </c>
      <c r="F156" s="1" t="str">
        <f t="shared" si="64"/>
        <v/>
      </c>
      <c r="G156" s="1" t="str">
        <f t="shared" si="54"/>
        <v/>
      </c>
      <c r="J156" s="64" t="str">
        <f t="shared" si="65"/>
        <v/>
      </c>
      <c r="K156" s="72" t="str">
        <f t="shared" si="55"/>
        <v/>
      </c>
      <c r="N156" s="64" t="str">
        <f t="shared" si="66"/>
        <v/>
      </c>
      <c r="O156" s="72" t="str">
        <f t="shared" si="56"/>
        <v/>
      </c>
      <c r="R156" s="64" t="str">
        <f t="shared" si="67"/>
        <v/>
      </c>
      <c r="S156" s="72" t="str">
        <f t="shared" si="57"/>
        <v/>
      </c>
      <c r="V156" s="64" t="str">
        <f t="shared" si="68"/>
        <v/>
      </c>
      <c r="W156" s="72" t="str">
        <f t="shared" si="58"/>
        <v/>
      </c>
      <c r="Z156" s="64" t="str">
        <f t="shared" si="69"/>
        <v/>
      </c>
      <c r="AA156" s="72" t="str">
        <f t="shared" si="59"/>
        <v/>
      </c>
      <c r="AD156" s="64" t="str">
        <f t="shared" si="70"/>
        <v/>
      </c>
      <c r="AE156" s="72" t="str">
        <f t="shared" si="60"/>
        <v/>
      </c>
      <c r="AH156" s="64" t="str">
        <f t="shared" si="71"/>
        <v/>
      </c>
      <c r="AI156" s="72" t="str">
        <f t="shared" si="61"/>
        <v/>
      </c>
      <c r="AL156" s="64" t="str">
        <f t="shared" si="72"/>
        <v/>
      </c>
      <c r="AM156" s="72" t="str">
        <f t="shared" si="62"/>
        <v/>
      </c>
      <c r="AP156" s="64" t="str">
        <f t="shared" si="73"/>
        <v/>
      </c>
      <c r="AQ156" s="72" t="str">
        <f t="shared" si="63"/>
        <v/>
      </c>
    </row>
    <row r="157" spans="1:43" x14ac:dyDescent="0.25">
      <c r="A157" s="49">
        <v>10.000000000000002</v>
      </c>
      <c r="B157" s="50">
        <v>-17.320508075688771</v>
      </c>
      <c r="C157" s="38">
        <f t="shared" si="53"/>
        <v>20</v>
      </c>
      <c r="F157" s="1" t="str">
        <f t="shared" si="64"/>
        <v/>
      </c>
      <c r="G157" s="1" t="str">
        <f t="shared" si="54"/>
        <v/>
      </c>
      <c r="J157" s="64" t="str">
        <f t="shared" si="65"/>
        <v/>
      </c>
      <c r="K157" s="72" t="str">
        <f t="shared" si="55"/>
        <v/>
      </c>
      <c r="N157" s="64" t="str">
        <f t="shared" si="66"/>
        <v/>
      </c>
      <c r="O157" s="72" t="str">
        <f t="shared" si="56"/>
        <v/>
      </c>
      <c r="R157" s="64" t="str">
        <f t="shared" si="67"/>
        <v/>
      </c>
      <c r="S157" s="72" t="str">
        <f t="shared" si="57"/>
        <v/>
      </c>
      <c r="V157" s="64" t="str">
        <f t="shared" si="68"/>
        <v/>
      </c>
      <c r="W157" s="72" t="str">
        <f t="shared" si="58"/>
        <v/>
      </c>
      <c r="Z157" s="64" t="str">
        <f t="shared" si="69"/>
        <v/>
      </c>
      <c r="AA157" s="72" t="str">
        <f t="shared" si="59"/>
        <v/>
      </c>
      <c r="AD157" s="64" t="str">
        <f t="shared" si="70"/>
        <v/>
      </c>
      <c r="AE157" s="72" t="str">
        <f t="shared" si="60"/>
        <v/>
      </c>
      <c r="AH157" s="64" t="str">
        <f t="shared" si="71"/>
        <v/>
      </c>
      <c r="AI157" s="72" t="str">
        <f t="shared" si="61"/>
        <v/>
      </c>
      <c r="AL157" s="64" t="str">
        <f t="shared" si="72"/>
        <v/>
      </c>
      <c r="AM157" s="72" t="str">
        <f t="shared" si="62"/>
        <v/>
      </c>
      <c r="AP157" s="64" t="str">
        <f t="shared" si="73"/>
        <v/>
      </c>
      <c r="AQ157" s="72" t="str">
        <f t="shared" si="63"/>
        <v/>
      </c>
    </row>
    <row r="158" spans="1:43" x14ac:dyDescent="0.25">
      <c r="A158" s="49">
        <v>14.142135623730947</v>
      </c>
      <c r="B158" s="50">
        <v>-14.142135623730955</v>
      </c>
      <c r="C158" s="38">
        <f t="shared" si="53"/>
        <v>20</v>
      </c>
      <c r="F158" s="1" t="str">
        <f t="shared" si="64"/>
        <v/>
      </c>
      <c r="G158" s="1" t="str">
        <f t="shared" si="54"/>
        <v/>
      </c>
      <c r="J158" s="64" t="str">
        <f t="shared" si="65"/>
        <v/>
      </c>
      <c r="K158" s="72" t="str">
        <f t="shared" si="55"/>
        <v/>
      </c>
      <c r="N158" s="64" t="str">
        <f t="shared" si="66"/>
        <v/>
      </c>
      <c r="O158" s="72" t="str">
        <f t="shared" si="56"/>
        <v/>
      </c>
      <c r="R158" s="64" t="str">
        <f t="shared" si="67"/>
        <v/>
      </c>
      <c r="S158" s="72" t="str">
        <f t="shared" si="57"/>
        <v/>
      </c>
      <c r="V158" s="64" t="str">
        <f t="shared" si="68"/>
        <v/>
      </c>
      <c r="W158" s="72" t="str">
        <f t="shared" si="58"/>
        <v/>
      </c>
      <c r="Z158" s="64" t="str">
        <f t="shared" si="69"/>
        <v/>
      </c>
      <c r="AA158" s="72" t="str">
        <f t="shared" si="59"/>
        <v/>
      </c>
      <c r="AD158" s="64" t="str">
        <f t="shared" si="70"/>
        <v/>
      </c>
      <c r="AE158" s="72" t="str">
        <f t="shared" si="60"/>
        <v/>
      </c>
      <c r="AH158" s="64" t="str">
        <f t="shared" si="71"/>
        <v/>
      </c>
      <c r="AI158" s="72" t="str">
        <f t="shared" si="61"/>
        <v/>
      </c>
      <c r="AL158" s="64" t="str">
        <f t="shared" si="72"/>
        <v/>
      </c>
      <c r="AM158" s="72" t="str">
        <f t="shared" si="62"/>
        <v/>
      </c>
      <c r="AP158" s="64" t="str">
        <f t="shared" si="73"/>
        <v/>
      </c>
      <c r="AQ158" s="72" t="str">
        <f t="shared" si="63"/>
        <v/>
      </c>
    </row>
    <row r="159" spans="1:43" x14ac:dyDescent="0.25">
      <c r="A159" s="49">
        <v>17.320508075688767</v>
      </c>
      <c r="B159" s="50">
        <v>-10.000000000000009</v>
      </c>
      <c r="C159" s="38">
        <f t="shared" si="53"/>
        <v>20</v>
      </c>
      <c r="F159" s="1" t="str">
        <f t="shared" si="64"/>
        <v/>
      </c>
      <c r="G159" s="1" t="str">
        <f t="shared" si="54"/>
        <v/>
      </c>
      <c r="J159" s="64" t="str">
        <f t="shared" si="65"/>
        <v/>
      </c>
      <c r="K159" s="72" t="str">
        <f t="shared" si="55"/>
        <v/>
      </c>
      <c r="N159" s="64" t="str">
        <f t="shared" si="66"/>
        <v/>
      </c>
      <c r="O159" s="72" t="str">
        <f t="shared" si="56"/>
        <v/>
      </c>
      <c r="R159" s="64" t="str">
        <f t="shared" si="67"/>
        <v/>
      </c>
      <c r="S159" s="72" t="str">
        <f t="shared" si="57"/>
        <v/>
      </c>
      <c r="V159" s="64" t="str">
        <f t="shared" si="68"/>
        <v/>
      </c>
      <c r="W159" s="72" t="str">
        <f t="shared" si="58"/>
        <v/>
      </c>
      <c r="Z159" s="64" t="str">
        <f t="shared" si="69"/>
        <v/>
      </c>
      <c r="AA159" s="72" t="str">
        <f t="shared" si="59"/>
        <v/>
      </c>
      <c r="AD159" s="64" t="str">
        <f t="shared" si="70"/>
        <v/>
      </c>
      <c r="AE159" s="72" t="str">
        <f t="shared" si="60"/>
        <v/>
      </c>
      <c r="AH159" s="64" t="str">
        <f t="shared" si="71"/>
        <v/>
      </c>
      <c r="AI159" s="72" t="str">
        <f t="shared" si="61"/>
        <v/>
      </c>
      <c r="AL159" s="64" t="str">
        <f t="shared" si="72"/>
        <v/>
      </c>
      <c r="AM159" s="72" t="str">
        <f t="shared" si="62"/>
        <v/>
      </c>
      <c r="AP159" s="64" t="str">
        <f t="shared" si="73"/>
        <v/>
      </c>
      <c r="AQ159" s="72" t="str">
        <f t="shared" si="63"/>
        <v/>
      </c>
    </row>
    <row r="160" spans="1:43" x14ac:dyDescent="0.25">
      <c r="A160" s="49">
        <v>19.318516525781366</v>
      </c>
      <c r="B160" s="50">
        <v>-5.1763809020504139</v>
      </c>
      <c r="C160" s="38">
        <f t="shared" si="53"/>
        <v>20</v>
      </c>
      <c r="F160" s="1" t="str">
        <f t="shared" si="64"/>
        <v/>
      </c>
      <c r="G160" s="1" t="str">
        <f t="shared" si="54"/>
        <v/>
      </c>
      <c r="J160" s="64" t="str">
        <f t="shared" si="65"/>
        <v/>
      </c>
      <c r="K160" s="72" t="str">
        <f t="shared" si="55"/>
        <v/>
      </c>
      <c r="N160" s="64" t="str">
        <f t="shared" si="66"/>
        <v/>
      </c>
      <c r="O160" s="72" t="str">
        <f t="shared" si="56"/>
        <v/>
      </c>
      <c r="R160" s="64" t="str">
        <f t="shared" si="67"/>
        <v/>
      </c>
      <c r="S160" s="72" t="str">
        <f t="shared" si="57"/>
        <v/>
      </c>
      <c r="V160" s="64" t="str">
        <f t="shared" si="68"/>
        <v/>
      </c>
      <c r="W160" s="72" t="str">
        <f t="shared" si="58"/>
        <v/>
      </c>
      <c r="Z160" s="64" t="str">
        <f t="shared" si="69"/>
        <v/>
      </c>
      <c r="AA160" s="72" t="str">
        <f t="shared" si="59"/>
        <v/>
      </c>
      <c r="AD160" s="64" t="str">
        <f t="shared" si="70"/>
        <v/>
      </c>
      <c r="AE160" s="72" t="str">
        <f t="shared" si="60"/>
        <v/>
      </c>
      <c r="AH160" s="64" t="str">
        <f t="shared" si="71"/>
        <v/>
      </c>
      <c r="AI160" s="72" t="str">
        <f t="shared" si="61"/>
        <v/>
      </c>
      <c r="AL160" s="64" t="str">
        <f t="shared" si="72"/>
        <v/>
      </c>
      <c r="AM160" s="72" t="str">
        <f t="shared" si="62"/>
        <v/>
      </c>
      <c r="AP160" s="64" t="str">
        <f t="shared" si="73"/>
        <v/>
      </c>
      <c r="AQ160" s="72" t="str">
        <f t="shared" si="63"/>
        <v/>
      </c>
    </row>
    <row r="161" spans="1:43" x14ac:dyDescent="0.25">
      <c r="A161" s="49">
        <v>30</v>
      </c>
      <c r="B161" s="50">
        <v>0</v>
      </c>
      <c r="C161" s="38">
        <f t="shared" si="53"/>
        <v>30</v>
      </c>
      <c r="F161" s="1" t="str">
        <f t="shared" si="64"/>
        <v/>
      </c>
      <c r="G161" s="1" t="str">
        <f t="shared" si="54"/>
        <v/>
      </c>
      <c r="J161" s="64" t="str">
        <f t="shared" si="65"/>
        <v/>
      </c>
      <c r="K161" s="72" t="str">
        <f t="shared" si="55"/>
        <v/>
      </c>
      <c r="N161" s="64" t="str">
        <f t="shared" si="66"/>
        <v/>
      </c>
      <c r="O161" s="72" t="str">
        <f t="shared" si="56"/>
        <v/>
      </c>
      <c r="R161" s="64" t="str">
        <f t="shared" si="67"/>
        <v/>
      </c>
      <c r="S161" s="72" t="str">
        <f t="shared" si="57"/>
        <v/>
      </c>
      <c r="V161" s="64" t="str">
        <f t="shared" si="68"/>
        <v/>
      </c>
      <c r="W161" s="72" t="str">
        <f t="shared" si="58"/>
        <v/>
      </c>
      <c r="Z161" s="64" t="str">
        <f t="shared" si="69"/>
        <v/>
      </c>
      <c r="AA161" s="72" t="str">
        <f t="shared" si="59"/>
        <v/>
      </c>
      <c r="AD161" s="64" t="str">
        <f t="shared" si="70"/>
        <v/>
      </c>
      <c r="AE161" s="72" t="str">
        <f t="shared" si="60"/>
        <v/>
      </c>
      <c r="AH161" s="64" t="str">
        <f t="shared" si="71"/>
        <v/>
      </c>
      <c r="AI161" s="72" t="str">
        <f t="shared" si="61"/>
        <v/>
      </c>
      <c r="AL161" s="64" t="str">
        <f t="shared" si="72"/>
        <v/>
      </c>
      <c r="AM161" s="72" t="str">
        <f t="shared" si="62"/>
        <v/>
      </c>
      <c r="AP161" s="64" t="str">
        <f t="shared" si="73"/>
        <v/>
      </c>
      <c r="AQ161" s="72" t="str">
        <f t="shared" si="63"/>
        <v/>
      </c>
    </row>
    <row r="162" spans="1:43" x14ac:dyDescent="0.25">
      <c r="A162" s="49">
        <v>28.97777478867205</v>
      </c>
      <c r="B162" s="50">
        <v>7.7645713530756222</v>
      </c>
      <c r="C162" s="38">
        <f t="shared" si="53"/>
        <v>30.000000000000004</v>
      </c>
      <c r="F162" s="1" t="str">
        <f t="shared" si="64"/>
        <v/>
      </c>
      <c r="G162" s="1" t="str">
        <f t="shared" si="54"/>
        <v/>
      </c>
      <c r="J162" s="64" t="str">
        <f t="shared" si="65"/>
        <v/>
      </c>
      <c r="K162" s="72" t="str">
        <f t="shared" si="55"/>
        <v/>
      </c>
      <c r="N162" s="64" t="str">
        <f t="shared" si="66"/>
        <v/>
      </c>
      <c r="O162" s="72" t="str">
        <f t="shared" si="56"/>
        <v/>
      </c>
      <c r="R162" s="64" t="str">
        <f t="shared" si="67"/>
        <v/>
      </c>
      <c r="S162" s="72" t="str">
        <f t="shared" si="57"/>
        <v/>
      </c>
      <c r="V162" s="64" t="str">
        <f t="shared" si="68"/>
        <v/>
      </c>
      <c r="W162" s="72" t="str">
        <f t="shared" si="58"/>
        <v/>
      </c>
      <c r="Z162" s="64" t="str">
        <f t="shared" si="69"/>
        <v/>
      </c>
      <c r="AA162" s="72" t="str">
        <f t="shared" si="59"/>
        <v/>
      </c>
      <c r="AD162" s="64" t="str">
        <f t="shared" si="70"/>
        <v/>
      </c>
      <c r="AE162" s="72" t="str">
        <f t="shared" si="60"/>
        <v/>
      </c>
      <c r="AH162" s="64" t="str">
        <f t="shared" si="71"/>
        <v/>
      </c>
      <c r="AI162" s="72" t="str">
        <f t="shared" si="61"/>
        <v/>
      </c>
      <c r="AL162" s="64" t="str">
        <f t="shared" si="72"/>
        <v/>
      </c>
      <c r="AM162" s="72" t="str">
        <f t="shared" si="62"/>
        <v/>
      </c>
      <c r="AP162" s="64" t="str">
        <f t="shared" si="73"/>
        <v/>
      </c>
      <c r="AQ162" s="72" t="str">
        <f t="shared" si="63"/>
        <v/>
      </c>
    </row>
    <row r="163" spans="1:43" x14ac:dyDescent="0.25">
      <c r="A163" s="49">
        <v>25.98076211353316</v>
      </c>
      <c r="B163" s="50">
        <v>14.999999999999998</v>
      </c>
      <c r="C163" s="38">
        <f t="shared" si="53"/>
        <v>30</v>
      </c>
      <c r="F163" s="1" t="str">
        <f t="shared" si="64"/>
        <v/>
      </c>
      <c r="G163" s="1" t="str">
        <f t="shared" si="54"/>
        <v/>
      </c>
      <c r="J163" s="64" t="str">
        <f t="shared" si="65"/>
        <v/>
      </c>
      <c r="K163" s="72" t="str">
        <f t="shared" si="55"/>
        <v/>
      </c>
      <c r="N163" s="64" t="str">
        <f t="shared" si="66"/>
        <v/>
      </c>
      <c r="O163" s="72" t="str">
        <f t="shared" si="56"/>
        <v/>
      </c>
      <c r="R163" s="64" t="str">
        <f t="shared" si="67"/>
        <v/>
      </c>
      <c r="S163" s="72" t="str">
        <f t="shared" si="57"/>
        <v/>
      </c>
      <c r="V163" s="64" t="str">
        <f t="shared" si="68"/>
        <v/>
      </c>
      <c r="W163" s="72" t="str">
        <f t="shared" si="58"/>
        <v/>
      </c>
      <c r="Z163" s="64" t="str">
        <f t="shared" si="69"/>
        <v/>
      </c>
      <c r="AA163" s="72" t="str">
        <f t="shared" si="59"/>
        <v/>
      </c>
      <c r="AD163" s="64" t="str">
        <f t="shared" si="70"/>
        <v/>
      </c>
      <c r="AE163" s="72" t="str">
        <f t="shared" si="60"/>
        <v/>
      </c>
      <c r="AH163" s="64" t="str">
        <f t="shared" si="71"/>
        <v/>
      </c>
      <c r="AI163" s="72" t="str">
        <f t="shared" si="61"/>
        <v/>
      </c>
      <c r="AL163" s="64" t="str">
        <f t="shared" si="72"/>
        <v/>
      </c>
      <c r="AM163" s="72" t="str">
        <f t="shared" si="62"/>
        <v/>
      </c>
      <c r="AP163" s="64" t="str">
        <f t="shared" si="73"/>
        <v/>
      </c>
      <c r="AQ163" s="72" t="str">
        <f t="shared" si="63"/>
        <v/>
      </c>
    </row>
    <row r="164" spans="1:43" x14ac:dyDescent="0.25">
      <c r="A164" s="49">
        <v>21.213203435596427</v>
      </c>
      <c r="B164" s="50">
        <v>21.213203435596423</v>
      </c>
      <c r="C164" s="38">
        <f t="shared" si="53"/>
        <v>30</v>
      </c>
      <c r="F164" s="1" t="str">
        <f t="shared" si="64"/>
        <v/>
      </c>
      <c r="G164" s="1" t="str">
        <f t="shared" si="54"/>
        <v/>
      </c>
      <c r="J164" s="64" t="str">
        <f t="shared" si="65"/>
        <v/>
      </c>
      <c r="K164" s="72" t="str">
        <f t="shared" si="55"/>
        <v/>
      </c>
      <c r="N164" s="64" t="str">
        <f t="shared" si="66"/>
        <v/>
      </c>
      <c r="O164" s="72" t="str">
        <f t="shared" si="56"/>
        <v/>
      </c>
      <c r="R164" s="64" t="str">
        <f t="shared" si="67"/>
        <v/>
      </c>
      <c r="S164" s="72" t="str">
        <f t="shared" si="57"/>
        <v/>
      </c>
      <c r="V164" s="64" t="str">
        <f t="shared" si="68"/>
        <v/>
      </c>
      <c r="W164" s="72" t="str">
        <f t="shared" si="58"/>
        <v/>
      </c>
      <c r="Z164" s="64" t="str">
        <f t="shared" si="69"/>
        <v/>
      </c>
      <c r="AA164" s="72" t="str">
        <f t="shared" si="59"/>
        <v/>
      </c>
      <c r="AD164" s="64" t="str">
        <f t="shared" si="70"/>
        <v/>
      </c>
      <c r="AE164" s="72" t="str">
        <f t="shared" si="60"/>
        <v/>
      </c>
      <c r="AH164" s="64" t="str">
        <f t="shared" si="71"/>
        <v/>
      </c>
      <c r="AI164" s="72" t="str">
        <f t="shared" si="61"/>
        <v/>
      </c>
      <c r="AL164" s="64" t="str">
        <f t="shared" si="72"/>
        <v/>
      </c>
      <c r="AM164" s="72" t="str">
        <f t="shared" si="62"/>
        <v/>
      </c>
      <c r="AP164" s="64" t="str">
        <f t="shared" si="73"/>
        <v/>
      </c>
      <c r="AQ164" s="72" t="str">
        <f t="shared" si="63"/>
        <v/>
      </c>
    </row>
    <row r="165" spans="1:43" x14ac:dyDescent="0.25">
      <c r="A165" s="49">
        <v>15.000000000000004</v>
      </c>
      <c r="B165" s="50">
        <v>25.980762113533157</v>
      </c>
      <c r="C165" s="38">
        <f t="shared" si="53"/>
        <v>30</v>
      </c>
      <c r="F165" s="1" t="str">
        <f t="shared" si="64"/>
        <v/>
      </c>
      <c r="G165" s="1" t="str">
        <f t="shared" si="54"/>
        <v/>
      </c>
      <c r="J165" s="64" t="str">
        <f t="shared" si="65"/>
        <v/>
      </c>
      <c r="K165" s="72" t="str">
        <f t="shared" si="55"/>
        <v/>
      </c>
      <c r="N165" s="64" t="str">
        <f t="shared" si="66"/>
        <v/>
      </c>
      <c r="O165" s="72" t="str">
        <f t="shared" si="56"/>
        <v/>
      </c>
      <c r="R165" s="64" t="str">
        <f t="shared" si="67"/>
        <v/>
      </c>
      <c r="S165" s="72" t="str">
        <f t="shared" si="57"/>
        <v/>
      </c>
      <c r="V165" s="64" t="str">
        <f t="shared" si="68"/>
        <v/>
      </c>
      <c r="W165" s="72" t="str">
        <f t="shared" si="58"/>
        <v/>
      </c>
      <c r="Z165" s="64" t="str">
        <f t="shared" si="69"/>
        <v/>
      </c>
      <c r="AA165" s="72" t="str">
        <f t="shared" si="59"/>
        <v/>
      </c>
      <c r="AD165" s="64" t="str">
        <f t="shared" si="70"/>
        <v/>
      </c>
      <c r="AE165" s="72" t="str">
        <f t="shared" si="60"/>
        <v/>
      </c>
      <c r="AH165" s="64" t="str">
        <f t="shared" si="71"/>
        <v/>
      </c>
      <c r="AI165" s="72" t="str">
        <f t="shared" si="61"/>
        <v/>
      </c>
      <c r="AL165" s="64" t="str">
        <f t="shared" si="72"/>
        <v/>
      </c>
      <c r="AM165" s="72" t="str">
        <f t="shared" si="62"/>
        <v/>
      </c>
      <c r="AP165" s="64" t="str">
        <f t="shared" si="73"/>
        <v/>
      </c>
      <c r="AQ165" s="72" t="str">
        <f t="shared" si="63"/>
        <v/>
      </c>
    </row>
    <row r="166" spans="1:43" x14ac:dyDescent="0.25">
      <c r="A166" s="49">
        <v>7.7645713530756222</v>
      </c>
      <c r="B166" s="50">
        <v>28.97777478867205</v>
      </c>
      <c r="C166" s="38">
        <f t="shared" si="53"/>
        <v>30.000000000000004</v>
      </c>
      <c r="F166" s="1" t="str">
        <f t="shared" si="64"/>
        <v/>
      </c>
      <c r="G166" s="1" t="str">
        <f t="shared" si="54"/>
        <v/>
      </c>
      <c r="J166" s="64" t="str">
        <f t="shared" si="65"/>
        <v/>
      </c>
      <c r="K166" s="72" t="str">
        <f t="shared" si="55"/>
        <v/>
      </c>
      <c r="N166" s="64" t="str">
        <f t="shared" si="66"/>
        <v/>
      </c>
      <c r="O166" s="72" t="str">
        <f t="shared" si="56"/>
        <v/>
      </c>
      <c r="R166" s="64" t="str">
        <f t="shared" si="67"/>
        <v/>
      </c>
      <c r="S166" s="72" t="str">
        <f t="shared" si="57"/>
        <v/>
      </c>
      <c r="V166" s="64" t="str">
        <f t="shared" si="68"/>
        <v/>
      </c>
      <c r="W166" s="72" t="str">
        <f t="shared" si="58"/>
        <v/>
      </c>
      <c r="Z166" s="64" t="str">
        <f t="shared" si="69"/>
        <v/>
      </c>
      <c r="AA166" s="72" t="str">
        <f t="shared" si="59"/>
        <v/>
      </c>
      <c r="AD166" s="64" t="str">
        <f t="shared" si="70"/>
        <v/>
      </c>
      <c r="AE166" s="72" t="str">
        <f t="shared" si="60"/>
        <v/>
      </c>
      <c r="AH166" s="64" t="str">
        <f t="shared" si="71"/>
        <v/>
      </c>
      <c r="AI166" s="72" t="str">
        <f t="shared" si="61"/>
        <v/>
      </c>
      <c r="AL166" s="64" t="str">
        <f t="shared" si="72"/>
        <v/>
      </c>
      <c r="AM166" s="72" t="str">
        <f t="shared" si="62"/>
        <v/>
      </c>
      <c r="AP166" s="64" t="str">
        <f t="shared" si="73"/>
        <v/>
      </c>
      <c r="AQ166" s="72" t="str">
        <f t="shared" si="63"/>
        <v/>
      </c>
    </row>
    <row r="167" spans="1:43" x14ac:dyDescent="0.25">
      <c r="A167" s="49">
        <v>1.83772268236293E-15</v>
      </c>
      <c r="B167" s="50">
        <v>30</v>
      </c>
      <c r="C167" s="38">
        <f t="shared" si="53"/>
        <v>30</v>
      </c>
      <c r="F167" s="1" t="str">
        <f t="shared" si="64"/>
        <v/>
      </c>
      <c r="G167" s="1" t="str">
        <f t="shared" si="54"/>
        <v/>
      </c>
      <c r="J167" s="64" t="str">
        <f t="shared" si="65"/>
        <v/>
      </c>
      <c r="K167" s="72" t="str">
        <f t="shared" si="55"/>
        <v/>
      </c>
      <c r="N167" s="64" t="str">
        <f t="shared" si="66"/>
        <v/>
      </c>
      <c r="O167" s="72" t="str">
        <f t="shared" si="56"/>
        <v/>
      </c>
      <c r="R167" s="64" t="str">
        <f t="shared" si="67"/>
        <v/>
      </c>
      <c r="S167" s="72" t="str">
        <f t="shared" si="57"/>
        <v/>
      </c>
      <c r="V167" s="64" t="str">
        <f t="shared" si="68"/>
        <v/>
      </c>
      <c r="W167" s="72" t="str">
        <f t="shared" si="58"/>
        <v/>
      </c>
      <c r="Z167" s="64" t="str">
        <f t="shared" si="69"/>
        <v/>
      </c>
      <c r="AA167" s="72" t="str">
        <f t="shared" si="59"/>
        <v/>
      </c>
      <c r="AD167" s="64" t="str">
        <f t="shared" si="70"/>
        <v/>
      </c>
      <c r="AE167" s="72" t="str">
        <f t="shared" si="60"/>
        <v/>
      </c>
      <c r="AH167" s="64" t="str">
        <f t="shared" si="71"/>
        <v/>
      </c>
      <c r="AI167" s="72" t="str">
        <f t="shared" si="61"/>
        <v/>
      </c>
      <c r="AL167" s="64" t="str">
        <f t="shared" si="72"/>
        <v/>
      </c>
      <c r="AM167" s="72" t="str">
        <f t="shared" si="62"/>
        <v/>
      </c>
      <c r="AP167" s="64" t="str">
        <f t="shared" si="73"/>
        <v/>
      </c>
      <c r="AQ167" s="72" t="str">
        <f t="shared" si="63"/>
        <v/>
      </c>
    </row>
    <row r="168" spans="1:43" x14ac:dyDescent="0.25">
      <c r="A168" s="49">
        <v>-7.7645713530756257</v>
      </c>
      <c r="B168" s="50">
        <v>28.97777478867205</v>
      </c>
      <c r="C168" s="38">
        <f t="shared" si="53"/>
        <v>30.000000000000004</v>
      </c>
      <c r="F168" s="1" t="str">
        <f t="shared" si="64"/>
        <v/>
      </c>
      <c r="G168" s="1" t="str">
        <f t="shared" si="54"/>
        <v/>
      </c>
      <c r="J168" s="64" t="str">
        <f t="shared" si="65"/>
        <v/>
      </c>
      <c r="K168" s="72" t="str">
        <f t="shared" si="55"/>
        <v/>
      </c>
      <c r="N168" s="64" t="str">
        <f t="shared" si="66"/>
        <v/>
      </c>
      <c r="O168" s="72" t="str">
        <f t="shared" si="56"/>
        <v/>
      </c>
      <c r="R168" s="64" t="str">
        <f t="shared" si="67"/>
        <v/>
      </c>
      <c r="S168" s="72" t="str">
        <f t="shared" si="57"/>
        <v/>
      </c>
      <c r="V168" s="64" t="str">
        <f t="shared" si="68"/>
        <v/>
      </c>
      <c r="W168" s="72" t="str">
        <f t="shared" si="58"/>
        <v/>
      </c>
      <c r="Z168" s="64" t="str">
        <f t="shared" si="69"/>
        <v/>
      </c>
      <c r="AA168" s="72" t="str">
        <f t="shared" si="59"/>
        <v/>
      </c>
      <c r="AD168" s="64" t="str">
        <f t="shared" si="70"/>
        <v/>
      </c>
      <c r="AE168" s="72" t="str">
        <f t="shared" si="60"/>
        <v/>
      </c>
      <c r="AH168" s="64" t="str">
        <f t="shared" si="71"/>
        <v/>
      </c>
      <c r="AI168" s="72" t="str">
        <f t="shared" si="61"/>
        <v/>
      </c>
      <c r="AL168" s="64" t="str">
        <f t="shared" si="72"/>
        <v/>
      </c>
      <c r="AM168" s="72" t="str">
        <f t="shared" si="62"/>
        <v/>
      </c>
      <c r="AP168" s="64" t="str">
        <f t="shared" si="73"/>
        <v/>
      </c>
      <c r="AQ168" s="72" t="str">
        <f t="shared" si="63"/>
        <v/>
      </c>
    </row>
    <row r="169" spans="1:43" x14ac:dyDescent="0.25">
      <c r="A169" s="49">
        <v>-14.999999999999993</v>
      </c>
      <c r="B169" s="50">
        <v>25.98076211353316</v>
      </c>
      <c r="C169" s="38">
        <f t="shared" si="53"/>
        <v>29.999999999999996</v>
      </c>
      <c r="F169" s="1" t="str">
        <f t="shared" si="64"/>
        <v/>
      </c>
      <c r="G169" s="1" t="str">
        <f t="shared" si="54"/>
        <v/>
      </c>
      <c r="J169" s="64" t="str">
        <f t="shared" si="65"/>
        <v/>
      </c>
      <c r="K169" s="72" t="str">
        <f t="shared" si="55"/>
        <v/>
      </c>
      <c r="N169" s="64" t="str">
        <f t="shared" si="66"/>
        <v/>
      </c>
      <c r="O169" s="72" t="str">
        <f t="shared" si="56"/>
        <v/>
      </c>
      <c r="R169" s="64" t="str">
        <f t="shared" si="67"/>
        <v/>
      </c>
      <c r="S169" s="72" t="str">
        <f t="shared" si="57"/>
        <v/>
      </c>
      <c r="V169" s="64" t="str">
        <f t="shared" si="68"/>
        <v/>
      </c>
      <c r="W169" s="72" t="str">
        <f t="shared" si="58"/>
        <v/>
      </c>
      <c r="Z169" s="64" t="str">
        <f t="shared" si="69"/>
        <v/>
      </c>
      <c r="AA169" s="72" t="str">
        <f t="shared" si="59"/>
        <v/>
      </c>
      <c r="AD169" s="64" t="str">
        <f t="shared" si="70"/>
        <v/>
      </c>
      <c r="AE169" s="72" t="str">
        <f t="shared" si="60"/>
        <v/>
      </c>
      <c r="AH169" s="64" t="str">
        <f t="shared" si="71"/>
        <v/>
      </c>
      <c r="AI169" s="72" t="str">
        <f t="shared" si="61"/>
        <v/>
      </c>
      <c r="AL169" s="64" t="str">
        <f t="shared" si="72"/>
        <v/>
      </c>
      <c r="AM169" s="72" t="str">
        <f t="shared" si="62"/>
        <v/>
      </c>
      <c r="AP169" s="64" t="str">
        <f t="shared" si="73"/>
        <v/>
      </c>
      <c r="AQ169" s="72" t="str">
        <f t="shared" si="63"/>
        <v/>
      </c>
    </row>
    <row r="170" spans="1:43" x14ac:dyDescent="0.25">
      <c r="A170" s="49">
        <v>-21.213203435596423</v>
      </c>
      <c r="B170" s="50">
        <v>21.213203435596427</v>
      </c>
      <c r="C170" s="38">
        <f t="shared" si="53"/>
        <v>30</v>
      </c>
      <c r="F170" s="1" t="str">
        <f t="shared" si="64"/>
        <v/>
      </c>
      <c r="G170" s="1" t="str">
        <f t="shared" si="54"/>
        <v/>
      </c>
      <c r="J170" s="64" t="str">
        <f t="shared" si="65"/>
        <v/>
      </c>
      <c r="K170" s="72" t="str">
        <f t="shared" si="55"/>
        <v/>
      </c>
      <c r="N170" s="64" t="str">
        <f t="shared" si="66"/>
        <v/>
      </c>
      <c r="O170" s="72" t="str">
        <f t="shared" si="56"/>
        <v/>
      </c>
      <c r="R170" s="64" t="str">
        <f t="shared" si="67"/>
        <v/>
      </c>
      <c r="S170" s="72" t="str">
        <f t="shared" si="57"/>
        <v/>
      </c>
      <c r="V170" s="64" t="str">
        <f t="shared" si="68"/>
        <v/>
      </c>
      <c r="W170" s="72" t="str">
        <f t="shared" si="58"/>
        <v/>
      </c>
      <c r="Z170" s="64" t="str">
        <f t="shared" si="69"/>
        <v/>
      </c>
      <c r="AA170" s="72" t="str">
        <f t="shared" si="59"/>
        <v/>
      </c>
      <c r="AD170" s="64" t="str">
        <f t="shared" si="70"/>
        <v/>
      </c>
      <c r="AE170" s="72" t="str">
        <f t="shared" si="60"/>
        <v/>
      </c>
      <c r="AH170" s="64" t="str">
        <f t="shared" si="71"/>
        <v/>
      </c>
      <c r="AI170" s="72" t="str">
        <f t="shared" si="61"/>
        <v/>
      </c>
      <c r="AL170" s="64" t="str">
        <f t="shared" si="72"/>
        <v/>
      </c>
      <c r="AM170" s="72" t="str">
        <f t="shared" si="62"/>
        <v/>
      </c>
      <c r="AP170" s="64" t="str">
        <f t="shared" si="73"/>
        <v/>
      </c>
      <c r="AQ170" s="72" t="str">
        <f t="shared" si="63"/>
        <v/>
      </c>
    </row>
    <row r="171" spans="1:43" x14ac:dyDescent="0.25">
      <c r="A171" s="49">
        <v>-25.98076211353316</v>
      </c>
      <c r="B171" s="50">
        <v>14.999999999999998</v>
      </c>
      <c r="C171" s="38">
        <f t="shared" si="53"/>
        <v>30</v>
      </c>
      <c r="F171" s="1" t="str">
        <f t="shared" si="64"/>
        <v/>
      </c>
      <c r="G171" s="1" t="str">
        <f t="shared" si="54"/>
        <v/>
      </c>
      <c r="J171" s="64" t="str">
        <f t="shared" si="65"/>
        <v/>
      </c>
      <c r="K171" s="72" t="str">
        <f t="shared" si="55"/>
        <v/>
      </c>
      <c r="N171" s="64" t="str">
        <f t="shared" si="66"/>
        <v/>
      </c>
      <c r="O171" s="72" t="str">
        <f t="shared" si="56"/>
        <v/>
      </c>
      <c r="R171" s="64" t="str">
        <f t="shared" si="67"/>
        <v/>
      </c>
      <c r="S171" s="72" t="str">
        <f t="shared" si="57"/>
        <v/>
      </c>
      <c r="V171" s="64" t="str">
        <f t="shared" si="68"/>
        <v/>
      </c>
      <c r="W171" s="72" t="str">
        <f t="shared" si="58"/>
        <v/>
      </c>
      <c r="Z171" s="64" t="str">
        <f t="shared" si="69"/>
        <v/>
      </c>
      <c r="AA171" s="72" t="str">
        <f t="shared" si="59"/>
        <v/>
      </c>
      <c r="AD171" s="64" t="str">
        <f t="shared" si="70"/>
        <v/>
      </c>
      <c r="AE171" s="72" t="str">
        <f t="shared" si="60"/>
        <v/>
      </c>
      <c r="AH171" s="64" t="str">
        <f t="shared" si="71"/>
        <v/>
      </c>
      <c r="AI171" s="72" t="str">
        <f t="shared" si="61"/>
        <v/>
      </c>
      <c r="AL171" s="64" t="str">
        <f t="shared" si="72"/>
        <v/>
      </c>
      <c r="AM171" s="72" t="str">
        <f t="shared" si="62"/>
        <v/>
      </c>
      <c r="AP171" s="64" t="str">
        <f t="shared" si="73"/>
        <v/>
      </c>
      <c r="AQ171" s="72" t="str">
        <f t="shared" si="63"/>
        <v/>
      </c>
    </row>
    <row r="172" spans="1:43" x14ac:dyDescent="0.25">
      <c r="A172" s="49">
        <v>-28.977774788672047</v>
      </c>
      <c r="B172" s="50">
        <v>7.7645713530756302</v>
      </c>
      <c r="C172" s="38">
        <f t="shared" si="53"/>
        <v>30</v>
      </c>
      <c r="F172" s="1" t="str">
        <f t="shared" si="64"/>
        <v/>
      </c>
      <c r="G172" s="1" t="str">
        <f t="shared" si="54"/>
        <v/>
      </c>
      <c r="J172" s="64" t="str">
        <f t="shared" si="65"/>
        <v/>
      </c>
      <c r="K172" s="72" t="str">
        <f t="shared" si="55"/>
        <v/>
      </c>
      <c r="N172" s="64" t="str">
        <f t="shared" si="66"/>
        <v/>
      </c>
      <c r="O172" s="72" t="str">
        <f t="shared" si="56"/>
        <v/>
      </c>
      <c r="R172" s="64" t="str">
        <f t="shared" si="67"/>
        <v/>
      </c>
      <c r="S172" s="72" t="str">
        <f t="shared" si="57"/>
        <v/>
      </c>
      <c r="V172" s="64" t="str">
        <f t="shared" si="68"/>
        <v/>
      </c>
      <c r="W172" s="72" t="str">
        <f t="shared" si="58"/>
        <v/>
      </c>
      <c r="Z172" s="64" t="str">
        <f t="shared" si="69"/>
        <v/>
      </c>
      <c r="AA172" s="72" t="str">
        <f t="shared" si="59"/>
        <v/>
      </c>
      <c r="AD172" s="64" t="str">
        <f t="shared" si="70"/>
        <v/>
      </c>
      <c r="AE172" s="72" t="str">
        <f t="shared" si="60"/>
        <v/>
      </c>
      <c r="AH172" s="64" t="str">
        <f t="shared" si="71"/>
        <v/>
      </c>
      <c r="AI172" s="72" t="str">
        <f t="shared" si="61"/>
        <v/>
      </c>
      <c r="AL172" s="64" t="str">
        <f t="shared" si="72"/>
        <v/>
      </c>
      <c r="AM172" s="72" t="str">
        <f t="shared" si="62"/>
        <v/>
      </c>
      <c r="AP172" s="64" t="str">
        <f t="shared" si="73"/>
        <v/>
      </c>
      <c r="AQ172" s="72" t="str">
        <f t="shared" si="63"/>
        <v/>
      </c>
    </row>
    <row r="173" spans="1:43" x14ac:dyDescent="0.25">
      <c r="A173" s="49">
        <v>-30</v>
      </c>
      <c r="B173" s="50">
        <v>3.67544536472586E-15</v>
      </c>
      <c r="C173" s="38">
        <f t="shared" si="53"/>
        <v>30</v>
      </c>
      <c r="F173" s="1" t="str">
        <f t="shared" si="64"/>
        <v/>
      </c>
      <c r="G173" s="1" t="str">
        <f t="shared" si="54"/>
        <v/>
      </c>
      <c r="J173" s="64" t="str">
        <f t="shared" si="65"/>
        <v/>
      </c>
      <c r="K173" s="72" t="str">
        <f t="shared" si="55"/>
        <v/>
      </c>
      <c r="N173" s="64" t="str">
        <f t="shared" si="66"/>
        <v/>
      </c>
      <c r="O173" s="72" t="str">
        <f t="shared" si="56"/>
        <v/>
      </c>
      <c r="R173" s="64" t="str">
        <f t="shared" si="67"/>
        <v/>
      </c>
      <c r="S173" s="72" t="str">
        <f t="shared" si="57"/>
        <v/>
      </c>
      <c r="V173" s="64" t="str">
        <f t="shared" si="68"/>
        <v/>
      </c>
      <c r="W173" s="72" t="str">
        <f t="shared" si="58"/>
        <v/>
      </c>
      <c r="Z173" s="64" t="str">
        <f t="shared" si="69"/>
        <v/>
      </c>
      <c r="AA173" s="72" t="str">
        <f t="shared" si="59"/>
        <v/>
      </c>
      <c r="AD173" s="64" t="str">
        <f t="shared" si="70"/>
        <v/>
      </c>
      <c r="AE173" s="72" t="str">
        <f t="shared" si="60"/>
        <v/>
      </c>
      <c r="AH173" s="64" t="str">
        <f t="shared" si="71"/>
        <v/>
      </c>
      <c r="AI173" s="72" t="str">
        <f t="shared" si="61"/>
        <v/>
      </c>
      <c r="AL173" s="64" t="str">
        <f t="shared" si="72"/>
        <v/>
      </c>
      <c r="AM173" s="72" t="str">
        <f t="shared" si="62"/>
        <v/>
      </c>
      <c r="AP173" s="64" t="str">
        <f t="shared" si="73"/>
        <v/>
      </c>
      <c r="AQ173" s="72" t="str">
        <f t="shared" si="63"/>
        <v/>
      </c>
    </row>
    <row r="174" spans="1:43" x14ac:dyDescent="0.25">
      <c r="A174" s="49">
        <v>-28.97777478867205</v>
      </c>
      <c r="B174" s="50">
        <v>-7.764571353075624</v>
      </c>
      <c r="C174" s="38">
        <f t="shared" si="53"/>
        <v>30.000000000000004</v>
      </c>
      <c r="F174" s="1" t="str">
        <f t="shared" si="64"/>
        <v/>
      </c>
      <c r="G174" s="1" t="str">
        <f t="shared" si="54"/>
        <v/>
      </c>
      <c r="J174" s="64" t="str">
        <f t="shared" si="65"/>
        <v/>
      </c>
      <c r="K174" s="72" t="str">
        <f t="shared" si="55"/>
        <v/>
      </c>
      <c r="N174" s="64" t="str">
        <f t="shared" si="66"/>
        <v/>
      </c>
      <c r="O174" s="72" t="str">
        <f t="shared" si="56"/>
        <v/>
      </c>
      <c r="R174" s="64" t="str">
        <f t="shared" si="67"/>
        <v/>
      </c>
      <c r="S174" s="72" t="str">
        <f t="shared" si="57"/>
        <v/>
      </c>
      <c r="V174" s="64" t="str">
        <f t="shared" si="68"/>
        <v/>
      </c>
      <c r="W174" s="72" t="str">
        <f t="shared" si="58"/>
        <v/>
      </c>
      <c r="Z174" s="64" t="str">
        <f t="shared" si="69"/>
        <v/>
      </c>
      <c r="AA174" s="72" t="str">
        <f t="shared" si="59"/>
        <v/>
      </c>
      <c r="AD174" s="64" t="str">
        <f t="shared" si="70"/>
        <v/>
      </c>
      <c r="AE174" s="72" t="str">
        <f t="shared" si="60"/>
        <v/>
      </c>
      <c r="AH174" s="64" t="str">
        <f t="shared" si="71"/>
        <v/>
      </c>
      <c r="AI174" s="72" t="str">
        <f t="shared" si="61"/>
        <v/>
      </c>
      <c r="AL174" s="64" t="str">
        <f t="shared" si="72"/>
        <v/>
      </c>
      <c r="AM174" s="72" t="str">
        <f t="shared" si="62"/>
        <v/>
      </c>
      <c r="AP174" s="64" t="str">
        <f t="shared" si="73"/>
        <v/>
      </c>
      <c r="AQ174" s="72" t="str">
        <f t="shared" si="63"/>
        <v/>
      </c>
    </row>
    <row r="175" spans="1:43" x14ac:dyDescent="0.25">
      <c r="A175" s="49">
        <v>-25.980762113533157</v>
      </c>
      <c r="B175" s="50">
        <v>-15.000000000000004</v>
      </c>
      <c r="C175" s="38">
        <f t="shared" si="53"/>
        <v>30</v>
      </c>
      <c r="F175" s="1" t="str">
        <f t="shared" si="64"/>
        <v/>
      </c>
      <c r="G175" s="1" t="str">
        <f t="shared" si="54"/>
        <v/>
      </c>
      <c r="J175" s="64" t="str">
        <f t="shared" si="65"/>
        <v/>
      </c>
      <c r="K175" s="72" t="str">
        <f t="shared" si="55"/>
        <v/>
      </c>
      <c r="N175" s="64" t="str">
        <f t="shared" si="66"/>
        <v/>
      </c>
      <c r="O175" s="72" t="str">
        <f t="shared" si="56"/>
        <v/>
      </c>
      <c r="R175" s="64" t="str">
        <f t="shared" si="67"/>
        <v/>
      </c>
      <c r="S175" s="72" t="str">
        <f t="shared" si="57"/>
        <v/>
      </c>
      <c r="V175" s="64" t="str">
        <f t="shared" si="68"/>
        <v/>
      </c>
      <c r="W175" s="72" t="str">
        <f t="shared" si="58"/>
        <v/>
      </c>
      <c r="Z175" s="64" t="str">
        <f t="shared" si="69"/>
        <v/>
      </c>
      <c r="AA175" s="72" t="str">
        <f t="shared" si="59"/>
        <v/>
      </c>
      <c r="AD175" s="64" t="str">
        <f t="shared" si="70"/>
        <v/>
      </c>
      <c r="AE175" s="72" t="str">
        <f t="shared" si="60"/>
        <v/>
      </c>
      <c r="AH175" s="64" t="str">
        <f t="shared" si="71"/>
        <v/>
      </c>
      <c r="AI175" s="72" t="str">
        <f t="shared" si="61"/>
        <v/>
      </c>
      <c r="AL175" s="64" t="str">
        <f t="shared" si="72"/>
        <v/>
      </c>
      <c r="AM175" s="72" t="str">
        <f t="shared" si="62"/>
        <v/>
      </c>
      <c r="AP175" s="64" t="str">
        <f t="shared" si="73"/>
        <v/>
      </c>
      <c r="AQ175" s="72" t="str">
        <f t="shared" si="63"/>
        <v/>
      </c>
    </row>
    <row r="176" spans="1:43" x14ac:dyDescent="0.25">
      <c r="A176" s="49">
        <v>-21.21320343559643</v>
      </c>
      <c r="B176" s="50">
        <v>-21.213203435596423</v>
      </c>
      <c r="C176" s="38">
        <f t="shared" si="53"/>
        <v>30</v>
      </c>
      <c r="F176" s="1" t="str">
        <f t="shared" si="64"/>
        <v/>
      </c>
      <c r="G176" s="1" t="str">
        <f t="shared" si="54"/>
        <v/>
      </c>
      <c r="J176" s="64" t="str">
        <f t="shared" si="65"/>
        <v/>
      </c>
      <c r="K176" s="72" t="str">
        <f t="shared" si="55"/>
        <v/>
      </c>
      <c r="N176" s="64" t="str">
        <f t="shared" si="66"/>
        <v/>
      </c>
      <c r="O176" s="72" t="str">
        <f t="shared" si="56"/>
        <v/>
      </c>
      <c r="R176" s="64" t="str">
        <f t="shared" si="67"/>
        <v/>
      </c>
      <c r="S176" s="72" t="str">
        <f t="shared" si="57"/>
        <v/>
      </c>
      <c r="V176" s="64" t="str">
        <f t="shared" si="68"/>
        <v/>
      </c>
      <c r="W176" s="72" t="str">
        <f t="shared" si="58"/>
        <v/>
      </c>
      <c r="Z176" s="64" t="str">
        <f t="shared" si="69"/>
        <v/>
      </c>
      <c r="AA176" s="72" t="str">
        <f t="shared" si="59"/>
        <v/>
      </c>
      <c r="AD176" s="64" t="str">
        <f t="shared" si="70"/>
        <v/>
      </c>
      <c r="AE176" s="72" t="str">
        <f t="shared" si="60"/>
        <v/>
      </c>
      <c r="AH176" s="64" t="str">
        <f t="shared" si="71"/>
        <v/>
      </c>
      <c r="AI176" s="72" t="str">
        <f t="shared" si="61"/>
        <v/>
      </c>
      <c r="AL176" s="64" t="str">
        <f t="shared" si="72"/>
        <v/>
      </c>
      <c r="AM176" s="72" t="str">
        <f t="shared" si="62"/>
        <v/>
      </c>
      <c r="AP176" s="64" t="str">
        <f t="shared" si="73"/>
        <v/>
      </c>
      <c r="AQ176" s="72" t="str">
        <f t="shared" si="63"/>
        <v/>
      </c>
    </row>
    <row r="177" spans="1:43" x14ac:dyDescent="0.25">
      <c r="A177" s="49">
        <v>-15.000000000000014</v>
      </c>
      <c r="B177" s="50">
        <v>-25.980762113533153</v>
      </c>
      <c r="C177" s="38">
        <f t="shared" si="53"/>
        <v>30.000000000000004</v>
      </c>
      <c r="F177" s="1" t="str">
        <f t="shared" si="64"/>
        <v/>
      </c>
      <c r="G177" s="1" t="str">
        <f t="shared" si="54"/>
        <v/>
      </c>
      <c r="J177" s="64" t="str">
        <f t="shared" si="65"/>
        <v/>
      </c>
      <c r="K177" s="72" t="str">
        <f t="shared" si="55"/>
        <v/>
      </c>
      <c r="N177" s="64" t="str">
        <f t="shared" si="66"/>
        <v/>
      </c>
      <c r="O177" s="72" t="str">
        <f t="shared" si="56"/>
        <v/>
      </c>
      <c r="R177" s="64" t="str">
        <f t="shared" si="67"/>
        <v/>
      </c>
      <c r="S177" s="72" t="str">
        <f t="shared" si="57"/>
        <v/>
      </c>
      <c r="V177" s="64" t="str">
        <f t="shared" si="68"/>
        <v/>
      </c>
      <c r="W177" s="72" t="str">
        <f t="shared" si="58"/>
        <v/>
      </c>
      <c r="Z177" s="64" t="str">
        <f t="shared" si="69"/>
        <v/>
      </c>
      <c r="AA177" s="72" t="str">
        <f t="shared" si="59"/>
        <v/>
      </c>
      <c r="AD177" s="64" t="str">
        <f t="shared" si="70"/>
        <v/>
      </c>
      <c r="AE177" s="72" t="str">
        <f t="shared" si="60"/>
        <v/>
      </c>
      <c r="AH177" s="64" t="str">
        <f t="shared" si="71"/>
        <v/>
      </c>
      <c r="AI177" s="72" t="str">
        <f t="shared" si="61"/>
        <v/>
      </c>
      <c r="AL177" s="64" t="str">
        <f t="shared" si="72"/>
        <v/>
      </c>
      <c r="AM177" s="72" t="str">
        <f t="shared" si="62"/>
        <v/>
      </c>
      <c r="AP177" s="64" t="str">
        <f t="shared" si="73"/>
        <v/>
      </c>
      <c r="AQ177" s="72" t="str">
        <f t="shared" si="63"/>
        <v/>
      </c>
    </row>
    <row r="178" spans="1:43" x14ac:dyDescent="0.25">
      <c r="A178" s="49">
        <v>-7.7645713530756186</v>
      </c>
      <c r="B178" s="50">
        <v>-28.97777478867205</v>
      </c>
      <c r="C178" s="38">
        <f t="shared" si="53"/>
        <v>30</v>
      </c>
      <c r="F178" s="1" t="str">
        <f t="shared" si="64"/>
        <v/>
      </c>
      <c r="G178" s="1" t="str">
        <f t="shared" si="54"/>
        <v/>
      </c>
      <c r="J178" s="64" t="str">
        <f t="shared" si="65"/>
        <v/>
      </c>
      <c r="K178" s="72" t="str">
        <f t="shared" si="55"/>
        <v/>
      </c>
      <c r="N178" s="64" t="str">
        <f t="shared" si="66"/>
        <v/>
      </c>
      <c r="O178" s="72" t="str">
        <f t="shared" si="56"/>
        <v/>
      </c>
      <c r="R178" s="64" t="str">
        <f t="shared" si="67"/>
        <v/>
      </c>
      <c r="S178" s="72" t="str">
        <f t="shared" si="57"/>
        <v/>
      </c>
      <c r="V178" s="64" t="str">
        <f t="shared" si="68"/>
        <v/>
      </c>
      <c r="W178" s="72" t="str">
        <f t="shared" si="58"/>
        <v/>
      </c>
      <c r="Z178" s="64" t="str">
        <f t="shared" si="69"/>
        <v/>
      </c>
      <c r="AA178" s="72" t="str">
        <f t="shared" si="59"/>
        <v/>
      </c>
      <c r="AD178" s="64" t="str">
        <f t="shared" si="70"/>
        <v/>
      </c>
      <c r="AE178" s="72" t="str">
        <f t="shared" si="60"/>
        <v/>
      </c>
      <c r="AH178" s="64" t="str">
        <f t="shared" si="71"/>
        <v/>
      </c>
      <c r="AI178" s="72" t="str">
        <f t="shared" si="61"/>
        <v/>
      </c>
      <c r="AL178" s="64" t="str">
        <f t="shared" si="72"/>
        <v/>
      </c>
      <c r="AM178" s="72" t="str">
        <f t="shared" si="62"/>
        <v/>
      </c>
      <c r="AP178" s="64" t="str">
        <f t="shared" si="73"/>
        <v/>
      </c>
      <c r="AQ178" s="72" t="str">
        <f t="shared" si="63"/>
        <v/>
      </c>
    </row>
    <row r="179" spans="1:43" x14ac:dyDescent="0.25">
      <c r="A179" s="49">
        <v>-5.51316804708879E-15</v>
      </c>
      <c r="B179" s="50">
        <v>-30</v>
      </c>
      <c r="C179" s="38">
        <f t="shared" si="53"/>
        <v>30</v>
      </c>
      <c r="F179" s="1" t="str">
        <f t="shared" si="64"/>
        <v/>
      </c>
      <c r="G179" s="1" t="str">
        <f t="shared" si="54"/>
        <v/>
      </c>
      <c r="J179" s="64" t="str">
        <f t="shared" si="65"/>
        <v/>
      </c>
      <c r="K179" s="72" t="str">
        <f t="shared" si="55"/>
        <v/>
      </c>
      <c r="N179" s="64" t="str">
        <f t="shared" si="66"/>
        <v/>
      </c>
      <c r="O179" s="72" t="str">
        <f t="shared" si="56"/>
        <v/>
      </c>
      <c r="R179" s="64" t="str">
        <f t="shared" si="67"/>
        <v/>
      </c>
      <c r="S179" s="72" t="str">
        <f t="shared" si="57"/>
        <v/>
      </c>
      <c r="V179" s="64" t="str">
        <f t="shared" si="68"/>
        <v/>
      </c>
      <c r="W179" s="72" t="str">
        <f t="shared" si="58"/>
        <v/>
      </c>
      <c r="Z179" s="64" t="str">
        <f t="shared" si="69"/>
        <v/>
      </c>
      <c r="AA179" s="72" t="str">
        <f t="shared" si="59"/>
        <v/>
      </c>
      <c r="AD179" s="64" t="str">
        <f t="shared" si="70"/>
        <v/>
      </c>
      <c r="AE179" s="72" t="str">
        <f t="shared" si="60"/>
        <v/>
      </c>
      <c r="AH179" s="64" t="str">
        <f t="shared" si="71"/>
        <v/>
      </c>
      <c r="AI179" s="72" t="str">
        <f t="shared" si="61"/>
        <v/>
      </c>
      <c r="AL179" s="64" t="str">
        <f t="shared" si="72"/>
        <v/>
      </c>
      <c r="AM179" s="72" t="str">
        <f t="shared" si="62"/>
        <v/>
      </c>
      <c r="AP179" s="64" t="str">
        <f t="shared" si="73"/>
        <v/>
      </c>
      <c r="AQ179" s="72" t="str">
        <f t="shared" si="63"/>
        <v/>
      </c>
    </row>
    <row r="180" spans="1:43" x14ac:dyDescent="0.25">
      <c r="A180" s="49">
        <v>7.7645713530756089</v>
      </c>
      <c r="B180" s="50">
        <v>-28.977774788672054</v>
      </c>
      <c r="C180" s="38">
        <f t="shared" si="53"/>
        <v>30.000000000000004</v>
      </c>
      <c r="F180" s="1" t="str">
        <f t="shared" si="64"/>
        <v/>
      </c>
      <c r="G180" s="1" t="str">
        <f t="shared" si="54"/>
        <v/>
      </c>
      <c r="J180" s="64" t="str">
        <f t="shared" si="65"/>
        <v/>
      </c>
      <c r="K180" s="72" t="str">
        <f t="shared" si="55"/>
        <v/>
      </c>
      <c r="N180" s="64" t="str">
        <f t="shared" si="66"/>
        <v/>
      </c>
      <c r="O180" s="72" t="str">
        <f t="shared" si="56"/>
        <v/>
      </c>
      <c r="R180" s="64" t="str">
        <f t="shared" si="67"/>
        <v/>
      </c>
      <c r="S180" s="72" t="str">
        <f t="shared" si="57"/>
        <v/>
      </c>
      <c r="V180" s="64" t="str">
        <f t="shared" si="68"/>
        <v/>
      </c>
      <c r="W180" s="72" t="str">
        <f t="shared" si="58"/>
        <v/>
      </c>
      <c r="Z180" s="64" t="str">
        <f t="shared" si="69"/>
        <v/>
      </c>
      <c r="AA180" s="72" t="str">
        <f t="shared" si="59"/>
        <v/>
      </c>
      <c r="AD180" s="64" t="str">
        <f t="shared" si="70"/>
        <v/>
      </c>
      <c r="AE180" s="72" t="str">
        <f t="shared" si="60"/>
        <v/>
      </c>
      <c r="AH180" s="64" t="str">
        <f t="shared" si="71"/>
        <v/>
      </c>
      <c r="AI180" s="72" t="str">
        <f t="shared" si="61"/>
        <v/>
      </c>
      <c r="AL180" s="64" t="str">
        <f t="shared" si="72"/>
        <v/>
      </c>
      <c r="AM180" s="72" t="str">
        <f t="shared" si="62"/>
        <v/>
      </c>
      <c r="AP180" s="64" t="str">
        <f t="shared" si="73"/>
        <v/>
      </c>
      <c r="AQ180" s="72" t="str">
        <f t="shared" si="63"/>
        <v/>
      </c>
    </row>
    <row r="181" spans="1:43" x14ac:dyDescent="0.25">
      <c r="A181" s="49">
        <v>15.000000000000004</v>
      </c>
      <c r="B181" s="50">
        <v>-25.980762113533157</v>
      </c>
      <c r="C181" s="38">
        <f t="shared" si="53"/>
        <v>30</v>
      </c>
      <c r="F181" s="1" t="str">
        <f t="shared" si="64"/>
        <v/>
      </c>
      <c r="G181" s="1" t="str">
        <f t="shared" si="54"/>
        <v/>
      </c>
      <c r="J181" s="64" t="str">
        <f t="shared" si="65"/>
        <v/>
      </c>
      <c r="K181" s="72" t="str">
        <f t="shared" si="55"/>
        <v/>
      </c>
      <c r="N181" s="64" t="str">
        <f t="shared" si="66"/>
        <v/>
      </c>
      <c r="O181" s="72" t="str">
        <f t="shared" si="56"/>
        <v/>
      </c>
      <c r="R181" s="64" t="str">
        <f t="shared" si="67"/>
        <v/>
      </c>
      <c r="S181" s="72" t="str">
        <f t="shared" si="57"/>
        <v/>
      </c>
      <c r="V181" s="64" t="str">
        <f t="shared" si="68"/>
        <v/>
      </c>
      <c r="W181" s="72" t="str">
        <f t="shared" si="58"/>
        <v/>
      </c>
      <c r="Z181" s="64" t="str">
        <f t="shared" si="69"/>
        <v/>
      </c>
      <c r="AA181" s="72" t="str">
        <f t="shared" si="59"/>
        <v/>
      </c>
      <c r="AD181" s="64" t="str">
        <f t="shared" si="70"/>
        <v/>
      </c>
      <c r="AE181" s="72" t="str">
        <f t="shared" si="60"/>
        <v/>
      </c>
      <c r="AH181" s="64" t="str">
        <f t="shared" si="71"/>
        <v/>
      </c>
      <c r="AI181" s="72" t="str">
        <f t="shared" si="61"/>
        <v/>
      </c>
      <c r="AL181" s="64" t="str">
        <f t="shared" si="72"/>
        <v/>
      </c>
      <c r="AM181" s="72" t="str">
        <f t="shared" si="62"/>
        <v/>
      </c>
      <c r="AP181" s="64" t="str">
        <f t="shared" si="73"/>
        <v/>
      </c>
      <c r="AQ181" s="72" t="str">
        <f t="shared" si="63"/>
        <v/>
      </c>
    </row>
    <row r="182" spans="1:43" x14ac:dyDescent="0.25">
      <c r="A182" s="49">
        <v>21.213203435596419</v>
      </c>
      <c r="B182" s="50">
        <v>-21.21320343559643</v>
      </c>
      <c r="C182" s="38">
        <f t="shared" si="53"/>
        <v>29.999999999999996</v>
      </c>
      <c r="F182" s="1" t="str">
        <f t="shared" si="64"/>
        <v/>
      </c>
      <c r="G182" s="1" t="str">
        <f t="shared" si="54"/>
        <v/>
      </c>
      <c r="J182" s="64" t="str">
        <f t="shared" si="65"/>
        <v/>
      </c>
      <c r="K182" s="72" t="str">
        <f t="shared" si="55"/>
        <v/>
      </c>
      <c r="N182" s="64" t="str">
        <f t="shared" si="66"/>
        <v/>
      </c>
      <c r="O182" s="72" t="str">
        <f t="shared" si="56"/>
        <v/>
      </c>
      <c r="R182" s="64" t="str">
        <f t="shared" si="67"/>
        <v/>
      </c>
      <c r="S182" s="72" t="str">
        <f t="shared" si="57"/>
        <v/>
      </c>
      <c r="V182" s="64" t="str">
        <f t="shared" si="68"/>
        <v/>
      </c>
      <c r="W182" s="72" t="str">
        <f t="shared" si="58"/>
        <v/>
      </c>
      <c r="Z182" s="64" t="str">
        <f t="shared" si="69"/>
        <v/>
      </c>
      <c r="AA182" s="72" t="str">
        <f t="shared" si="59"/>
        <v/>
      </c>
      <c r="AD182" s="64" t="str">
        <f t="shared" si="70"/>
        <v/>
      </c>
      <c r="AE182" s="72" t="str">
        <f t="shared" si="60"/>
        <v/>
      </c>
      <c r="AH182" s="64" t="str">
        <f t="shared" si="71"/>
        <v/>
      </c>
      <c r="AI182" s="72" t="str">
        <f t="shared" si="61"/>
        <v/>
      </c>
      <c r="AL182" s="64" t="str">
        <f t="shared" si="72"/>
        <v/>
      </c>
      <c r="AM182" s="72" t="str">
        <f t="shared" si="62"/>
        <v/>
      </c>
      <c r="AP182" s="64" t="str">
        <f t="shared" si="73"/>
        <v/>
      </c>
      <c r="AQ182" s="72" t="str">
        <f t="shared" si="63"/>
        <v/>
      </c>
    </row>
    <row r="183" spans="1:43" x14ac:dyDescent="0.25">
      <c r="A183" s="49">
        <v>25.980762113533153</v>
      </c>
      <c r="B183" s="50">
        <v>-15.000000000000014</v>
      </c>
      <c r="C183" s="38">
        <f t="shared" si="53"/>
        <v>30.000000000000004</v>
      </c>
      <c r="F183" s="1" t="str">
        <f t="shared" si="64"/>
        <v/>
      </c>
      <c r="G183" s="1" t="str">
        <f t="shared" si="54"/>
        <v/>
      </c>
      <c r="J183" s="64" t="str">
        <f t="shared" si="65"/>
        <v/>
      </c>
      <c r="K183" s="72" t="str">
        <f t="shared" si="55"/>
        <v/>
      </c>
      <c r="N183" s="64" t="str">
        <f t="shared" si="66"/>
        <v/>
      </c>
      <c r="O183" s="72" t="str">
        <f t="shared" si="56"/>
        <v/>
      </c>
      <c r="R183" s="64" t="str">
        <f t="shared" si="67"/>
        <v/>
      </c>
      <c r="S183" s="72" t="str">
        <f t="shared" si="57"/>
        <v/>
      </c>
      <c r="V183" s="64" t="str">
        <f t="shared" si="68"/>
        <v/>
      </c>
      <c r="W183" s="72" t="str">
        <f t="shared" si="58"/>
        <v/>
      </c>
      <c r="Z183" s="64" t="str">
        <f t="shared" si="69"/>
        <v/>
      </c>
      <c r="AA183" s="72" t="str">
        <f t="shared" si="59"/>
        <v/>
      </c>
      <c r="AD183" s="64" t="str">
        <f t="shared" si="70"/>
        <v/>
      </c>
      <c r="AE183" s="72" t="str">
        <f t="shared" si="60"/>
        <v/>
      </c>
      <c r="AH183" s="64" t="str">
        <f t="shared" si="71"/>
        <v/>
      </c>
      <c r="AI183" s="72" t="str">
        <f t="shared" si="61"/>
        <v/>
      </c>
      <c r="AL183" s="64" t="str">
        <f t="shared" si="72"/>
        <v/>
      </c>
      <c r="AM183" s="72" t="str">
        <f t="shared" si="62"/>
        <v/>
      </c>
      <c r="AP183" s="64" t="str">
        <f t="shared" si="73"/>
        <v/>
      </c>
      <c r="AQ183" s="72" t="str">
        <f t="shared" si="63"/>
        <v/>
      </c>
    </row>
    <row r="184" spans="1:43" x14ac:dyDescent="0.25">
      <c r="A184" s="49">
        <v>28.97777478867205</v>
      </c>
      <c r="B184" s="50">
        <v>-7.7645713530756204</v>
      </c>
      <c r="C184" s="38">
        <f t="shared" si="53"/>
        <v>30.000000000000004</v>
      </c>
      <c r="F184" s="1" t="str">
        <f t="shared" si="64"/>
        <v/>
      </c>
      <c r="G184" s="1" t="str">
        <f t="shared" si="54"/>
        <v/>
      </c>
      <c r="J184" s="64" t="str">
        <f t="shared" si="65"/>
        <v/>
      </c>
      <c r="K184" s="72" t="str">
        <f t="shared" si="55"/>
        <v/>
      </c>
      <c r="N184" s="64" t="str">
        <f t="shared" si="66"/>
        <v/>
      </c>
      <c r="O184" s="72" t="str">
        <f t="shared" si="56"/>
        <v/>
      </c>
      <c r="R184" s="64" t="str">
        <f t="shared" si="67"/>
        <v/>
      </c>
      <c r="S184" s="72" t="str">
        <f t="shared" si="57"/>
        <v/>
      </c>
      <c r="V184" s="64" t="str">
        <f t="shared" si="68"/>
        <v/>
      </c>
      <c r="W184" s="72" t="str">
        <f t="shared" si="58"/>
        <v/>
      </c>
      <c r="Z184" s="64" t="str">
        <f t="shared" si="69"/>
        <v/>
      </c>
      <c r="AA184" s="72" t="str">
        <f t="shared" si="59"/>
        <v/>
      </c>
      <c r="AD184" s="64" t="str">
        <f t="shared" si="70"/>
        <v/>
      </c>
      <c r="AE184" s="72" t="str">
        <f t="shared" si="60"/>
        <v/>
      </c>
      <c r="AH184" s="64" t="str">
        <f t="shared" si="71"/>
        <v/>
      </c>
      <c r="AI184" s="72" t="str">
        <f t="shared" si="61"/>
        <v/>
      </c>
      <c r="AL184" s="64" t="str">
        <f t="shared" si="72"/>
        <v/>
      </c>
      <c r="AM184" s="72" t="str">
        <f t="shared" si="62"/>
        <v/>
      </c>
      <c r="AP184" s="64" t="str">
        <f t="shared" si="73"/>
        <v/>
      </c>
      <c r="AQ184" s="72" t="str">
        <f t="shared" si="63"/>
        <v/>
      </c>
    </row>
    <row r="185" spans="1:43" x14ac:dyDescent="0.25">
      <c r="A185" s="49">
        <v>40</v>
      </c>
      <c r="B185" s="50">
        <v>0</v>
      </c>
      <c r="C185" s="38">
        <f t="shared" si="53"/>
        <v>40</v>
      </c>
      <c r="F185" s="1" t="str">
        <f t="shared" si="64"/>
        <v/>
      </c>
      <c r="G185" s="1" t="str">
        <f t="shared" si="54"/>
        <v/>
      </c>
      <c r="J185" s="64" t="str">
        <f t="shared" si="65"/>
        <v/>
      </c>
      <c r="K185" s="72" t="str">
        <f t="shared" si="55"/>
        <v/>
      </c>
      <c r="N185" s="64" t="str">
        <f t="shared" si="66"/>
        <v/>
      </c>
      <c r="O185" s="72" t="str">
        <f t="shared" si="56"/>
        <v/>
      </c>
      <c r="R185" s="64" t="str">
        <f t="shared" si="67"/>
        <v/>
      </c>
      <c r="S185" s="72" t="str">
        <f t="shared" si="57"/>
        <v/>
      </c>
      <c r="V185" s="64" t="str">
        <f t="shared" si="68"/>
        <v/>
      </c>
      <c r="W185" s="72" t="str">
        <f t="shared" si="58"/>
        <v/>
      </c>
      <c r="Z185" s="64" t="str">
        <f t="shared" si="69"/>
        <v/>
      </c>
      <c r="AA185" s="72" t="str">
        <f t="shared" si="59"/>
        <v/>
      </c>
      <c r="AD185" s="64" t="str">
        <f t="shared" si="70"/>
        <v/>
      </c>
      <c r="AE185" s="72" t="str">
        <f t="shared" si="60"/>
        <v/>
      </c>
      <c r="AH185" s="64" t="str">
        <f t="shared" si="71"/>
        <v/>
      </c>
      <c r="AI185" s="72" t="str">
        <f t="shared" si="61"/>
        <v/>
      </c>
      <c r="AL185" s="64" t="str">
        <f t="shared" si="72"/>
        <v/>
      </c>
      <c r="AM185" s="72" t="str">
        <f t="shared" si="62"/>
        <v/>
      </c>
      <c r="AP185" s="64" t="str">
        <f t="shared" si="73"/>
        <v/>
      </c>
      <c r="AQ185" s="72" t="str">
        <f t="shared" si="63"/>
        <v/>
      </c>
    </row>
    <row r="186" spans="1:43" x14ac:dyDescent="0.25">
      <c r="A186" s="49">
        <v>39.392310120488318</v>
      </c>
      <c r="B186" s="50">
        <v>6.945927106677213</v>
      </c>
      <c r="C186" s="38">
        <f t="shared" si="53"/>
        <v>39.999999999999993</v>
      </c>
      <c r="F186" s="1" t="str">
        <f t="shared" si="64"/>
        <v/>
      </c>
      <c r="G186" s="1" t="str">
        <f t="shared" si="54"/>
        <v/>
      </c>
      <c r="J186" s="64" t="str">
        <f t="shared" si="65"/>
        <v/>
      </c>
      <c r="K186" s="72" t="str">
        <f t="shared" si="55"/>
        <v/>
      </c>
      <c r="N186" s="64" t="str">
        <f t="shared" si="66"/>
        <v/>
      </c>
      <c r="O186" s="72" t="str">
        <f t="shared" si="56"/>
        <v/>
      </c>
      <c r="R186" s="64" t="str">
        <f t="shared" si="67"/>
        <v/>
      </c>
      <c r="S186" s="72" t="str">
        <f t="shared" si="57"/>
        <v/>
      </c>
      <c r="V186" s="64" t="str">
        <f t="shared" si="68"/>
        <v/>
      </c>
      <c r="W186" s="72" t="str">
        <f t="shared" si="58"/>
        <v/>
      </c>
      <c r="Z186" s="64" t="str">
        <f t="shared" si="69"/>
        <v/>
      </c>
      <c r="AA186" s="72" t="str">
        <f t="shared" si="59"/>
        <v/>
      </c>
      <c r="AD186" s="64" t="str">
        <f t="shared" si="70"/>
        <v/>
      </c>
      <c r="AE186" s="72" t="str">
        <f t="shared" si="60"/>
        <v/>
      </c>
      <c r="AH186" s="64" t="str">
        <f t="shared" si="71"/>
        <v/>
      </c>
      <c r="AI186" s="72" t="str">
        <f t="shared" si="61"/>
        <v/>
      </c>
      <c r="AL186" s="64" t="str">
        <f t="shared" si="72"/>
        <v/>
      </c>
      <c r="AM186" s="72" t="str">
        <f t="shared" si="62"/>
        <v/>
      </c>
      <c r="AP186" s="64" t="str">
        <f t="shared" si="73"/>
        <v/>
      </c>
      <c r="AQ186" s="72" t="str">
        <f t="shared" si="63"/>
        <v/>
      </c>
    </row>
    <row r="187" spans="1:43" x14ac:dyDescent="0.25">
      <c r="A187" s="49">
        <v>37.587704831436341</v>
      </c>
      <c r="B187" s="50">
        <v>13.680805733026748</v>
      </c>
      <c r="C187" s="38">
        <f t="shared" si="53"/>
        <v>40.000000000000007</v>
      </c>
      <c r="F187" s="1" t="str">
        <f t="shared" si="64"/>
        <v/>
      </c>
      <c r="G187" s="1" t="str">
        <f t="shared" si="54"/>
        <v/>
      </c>
      <c r="J187" s="64" t="str">
        <f t="shared" si="65"/>
        <v/>
      </c>
      <c r="K187" s="72" t="str">
        <f t="shared" si="55"/>
        <v/>
      </c>
      <c r="N187" s="64" t="str">
        <f t="shared" si="66"/>
        <v/>
      </c>
      <c r="O187" s="72" t="str">
        <f t="shared" si="56"/>
        <v/>
      </c>
      <c r="R187" s="64" t="str">
        <f t="shared" si="67"/>
        <v/>
      </c>
      <c r="S187" s="72" t="str">
        <f t="shared" si="57"/>
        <v/>
      </c>
      <c r="V187" s="64" t="str">
        <f t="shared" si="68"/>
        <v/>
      </c>
      <c r="W187" s="72" t="str">
        <f t="shared" si="58"/>
        <v/>
      </c>
      <c r="Z187" s="64" t="str">
        <f t="shared" si="69"/>
        <v/>
      </c>
      <c r="AA187" s="72" t="str">
        <f t="shared" si="59"/>
        <v/>
      </c>
      <c r="AD187" s="64" t="str">
        <f t="shared" si="70"/>
        <v/>
      </c>
      <c r="AE187" s="72" t="str">
        <f t="shared" si="60"/>
        <v/>
      </c>
      <c r="AH187" s="64" t="str">
        <f t="shared" si="71"/>
        <v/>
      </c>
      <c r="AI187" s="72" t="str">
        <f t="shared" si="61"/>
        <v/>
      </c>
      <c r="AL187" s="64" t="str">
        <f t="shared" si="72"/>
        <v/>
      </c>
      <c r="AM187" s="72" t="str">
        <f t="shared" si="62"/>
        <v/>
      </c>
      <c r="AP187" s="64" t="str">
        <f t="shared" si="73"/>
        <v/>
      </c>
      <c r="AQ187" s="72" t="str">
        <f t="shared" si="63"/>
        <v/>
      </c>
    </row>
    <row r="188" spans="1:43" x14ac:dyDescent="0.25">
      <c r="A188" s="49">
        <v>34.641016151377549</v>
      </c>
      <c r="B188" s="50">
        <v>19.999999999999996</v>
      </c>
      <c r="C188" s="38">
        <f t="shared" ref="C188:C251" si="74">(A188^2+B188^2)^(1/2)</f>
        <v>40</v>
      </c>
      <c r="F188" s="1" t="str">
        <f t="shared" si="64"/>
        <v/>
      </c>
      <c r="G188" s="1" t="str">
        <f t="shared" ref="G188:G251" si="75">IFERROR(IF(G$16="","",F188/(G$16/60)),"")</f>
        <v/>
      </c>
      <c r="J188" s="64" t="str">
        <f t="shared" si="65"/>
        <v/>
      </c>
      <c r="K188" s="72" t="str">
        <f t="shared" ref="K188:K251" si="76">IFERROR(IF(K$16="","",J188/(K$16/60)),"")</f>
        <v/>
      </c>
      <c r="N188" s="64" t="str">
        <f t="shared" si="66"/>
        <v/>
      </c>
      <c r="O188" s="72" t="str">
        <f t="shared" ref="O188:O251" si="77">IFERROR(IF(O$16="","",N188/(O$16/60)),"")</f>
        <v/>
      </c>
      <c r="R188" s="64" t="str">
        <f t="shared" si="67"/>
        <v/>
      </c>
      <c r="S188" s="72" t="str">
        <f t="shared" ref="S188:S251" si="78">IFERROR(IF(S$16="","",R188/(S$16/60)),"")</f>
        <v/>
      </c>
      <c r="V188" s="64" t="str">
        <f t="shared" si="68"/>
        <v/>
      </c>
      <c r="W188" s="72" t="str">
        <f t="shared" ref="W188:W251" si="79">IFERROR(IF(W$16="","",V188/(W$16/60)),"")</f>
        <v/>
      </c>
      <c r="Z188" s="64" t="str">
        <f t="shared" si="69"/>
        <v/>
      </c>
      <c r="AA188" s="72" t="str">
        <f t="shared" ref="AA188:AA251" si="80">IFERROR(IF(AA$16="","",Z188/(AA$16/60)),"")</f>
        <v/>
      </c>
      <c r="AD188" s="64" t="str">
        <f t="shared" si="70"/>
        <v/>
      </c>
      <c r="AE188" s="72" t="str">
        <f t="shared" ref="AE188:AE251" si="81">IFERROR(IF(AE$16="","",AD188/(AE$16/60)),"")</f>
        <v/>
      </c>
      <c r="AH188" s="64" t="str">
        <f t="shared" si="71"/>
        <v/>
      </c>
      <c r="AI188" s="72" t="str">
        <f t="shared" ref="AI188:AI251" si="82">IFERROR(IF(AI$16="","",AH188/(AI$16/60)),"")</f>
        <v/>
      </c>
      <c r="AL188" s="64" t="str">
        <f t="shared" si="72"/>
        <v/>
      </c>
      <c r="AM188" s="72" t="str">
        <f t="shared" ref="AM188:AM251" si="83">IFERROR(IF(AM$16="","",AL188/(AM$16/60)),"")</f>
        <v/>
      </c>
      <c r="AP188" s="64" t="str">
        <f t="shared" si="73"/>
        <v/>
      </c>
      <c r="AQ188" s="72" t="str">
        <f t="shared" ref="AQ188:AQ251" si="84">IFERROR(IF(AQ$16="","",AP188/(AQ$16/60)),"")</f>
        <v/>
      </c>
    </row>
    <row r="189" spans="1:43" x14ac:dyDescent="0.25">
      <c r="A189" s="49">
        <v>30.64177772475912</v>
      </c>
      <c r="B189" s="50">
        <v>25.71150438746157</v>
      </c>
      <c r="C189" s="38">
        <f t="shared" si="74"/>
        <v>40</v>
      </c>
      <c r="F189" s="1" t="str">
        <f t="shared" ref="F189:F252" si="85">IF(D189="","",(D189-E189)/10)</f>
        <v/>
      </c>
      <c r="G189" s="1" t="str">
        <f t="shared" si="75"/>
        <v/>
      </c>
      <c r="J189" s="64" t="str">
        <f t="shared" ref="J189:J252" si="86">IF(H189="","",(H189-I189)/10)</f>
        <v/>
      </c>
      <c r="K189" s="72" t="str">
        <f t="shared" si="76"/>
        <v/>
      </c>
      <c r="N189" s="64" t="str">
        <f t="shared" ref="N189:N252" si="87">IF(L189="","",(L189-M189)/10)</f>
        <v/>
      </c>
      <c r="O189" s="72" t="str">
        <f t="shared" si="77"/>
        <v/>
      </c>
      <c r="R189" s="64" t="str">
        <f t="shared" ref="R189:R252" si="88">IF(P189="","",(P189-Q189)/10)</f>
        <v/>
      </c>
      <c r="S189" s="72" t="str">
        <f t="shared" si="78"/>
        <v/>
      </c>
      <c r="V189" s="64" t="str">
        <f t="shared" ref="V189:V252" si="89">IF(T189="","",(T189-U189)/10)</f>
        <v/>
      </c>
      <c r="W189" s="72" t="str">
        <f t="shared" si="79"/>
        <v/>
      </c>
      <c r="Z189" s="64" t="str">
        <f t="shared" ref="Z189:Z252" si="90">IF(X189="","",(X189-Y189)/10)</f>
        <v/>
      </c>
      <c r="AA189" s="72" t="str">
        <f t="shared" si="80"/>
        <v/>
      </c>
      <c r="AD189" s="64" t="str">
        <f t="shared" ref="AD189:AD252" si="91">IF(AB189="","",(AB189-AC189)/10)</f>
        <v/>
      </c>
      <c r="AE189" s="72" t="str">
        <f t="shared" si="81"/>
        <v/>
      </c>
      <c r="AH189" s="64" t="str">
        <f t="shared" ref="AH189:AH252" si="92">IF(AF189="","",(AF189-AG189)/10)</f>
        <v/>
      </c>
      <c r="AI189" s="72" t="str">
        <f t="shared" si="82"/>
        <v/>
      </c>
      <c r="AL189" s="64" t="str">
        <f t="shared" ref="AL189:AL252" si="93">IF(AJ189="","",(AJ189-AK189)/10)</f>
        <v/>
      </c>
      <c r="AM189" s="72" t="str">
        <f t="shared" si="83"/>
        <v/>
      </c>
      <c r="AP189" s="64" t="str">
        <f t="shared" ref="AP189:AP252" si="94">IF(AN189="","",(AN189-AO189)/10)</f>
        <v/>
      </c>
      <c r="AQ189" s="72" t="str">
        <f t="shared" si="84"/>
        <v/>
      </c>
    </row>
    <row r="190" spans="1:43" x14ac:dyDescent="0.25">
      <c r="A190" s="49">
        <v>25.711504387461574</v>
      </c>
      <c r="B190" s="50">
        <v>30.64177772475912</v>
      </c>
      <c r="C190" s="38">
        <f t="shared" si="74"/>
        <v>40</v>
      </c>
      <c r="F190" s="1" t="str">
        <f t="shared" si="85"/>
        <v/>
      </c>
      <c r="G190" s="1" t="str">
        <f t="shared" si="75"/>
        <v/>
      </c>
      <c r="J190" s="64" t="str">
        <f t="shared" si="86"/>
        <v/>
      </c>
      <c r="K190" s="72" t="str">
        <f t="shared" si="76"/>
        <v/>
      </c>
      <c r="N190" s="64" t="str">
        <f t="shared" si="87"/>
        <v/>
      </c>
      <c r="O190" s="72" t="str">
        <f t="shared" si="77"/>
        <v/>
      </c>
      <c r="R190" s="64" t="str">
        <f t="shared" si="88"/>
        <v/>
      </c>
      <c r="S190" s="72" t="str">
        <f t="shared" si="78"/>
        <v/>
      </c>
      <c r="V190" s="64" t="str">
        <f t="shared" si="89"/>
        <v/>
      </c>
      <c r="W190" s="72" t="str">
        <f t="shared" si="79"/>
        <v/>
      </c>
      <c r="Z190" s="64" t="str">
        <f t="shared" si="90"/>
        <v/>
      </c>
      <c r="AA190" s="72" t="str">
        <f t="shared" si="80"/>
        <v/>
      </c>
      <c r="AD190" s="64" t="str">
        <f t="shared" si="91"/>
        <v/>
      </c>
      <c r="AE190" s="72" t="str">
        <f t="shared" si="81"/>
        <v/>
      </c>
      <c r="AH190" s="64" t="str">
        <f t="shared" si="92"/>
        <v/>
      </c>
      <c r="AI190" s="72" t="str">
        <f t="shared" si="82"/>
        <v/>
      </c>
      <c r="AL190" s="64" t="str">
        <f t="shared" si="93"/>
        <v/>
      </c>
      <c r="AM190" s="72" t="str">
        <f t="shared" si="83"/>
        <v/>
      </c>
      <c r="AP190" s="64" t="str">
        <f t="shared" si="94"/>
        <v/>
      </c>
      <c r="AQ190" s="72" t="str">
        <f t="shared" si="84"/>
        <v/>
      </c>
    </row>
    <row r="191" spans="1:43" x14ac:dyDescent="0.25">
      <c r="A191" s="49">
        <v>20.000000000000004</v>
      </c>
      <c r="B191" s="50">
        <v>34.641016151377542</v>
      </c>
      <c r="C191" s="38">
        <f t="shared" si="74"/>
        <v>40</v>
      </c>
      <c r="F191" s="1" t="str">
        <f t="shared" si="85"/>
        <v/>
      </c>
      <c r="G191" s="1" t="str">
        <f t="shared" si="75"/>
        <v/>
      </c>
      <c r="J191" s="64" t="str">
        <f t="shared" si="86"/>
        <v/>
      </c>
      <c r="K191" s="72" t="str">
        <f t="shared" si="76"/>
        <v/>
      </c>
      <c r="N191" s="64" t="str">
        <f t="shared" si="87"/>
        <v/>
      </c>
      <c r="O191" s="72" t="str">
        <f t="shared" si="77"/>
        <v/>
      </c>
      <c r="R191" s="64" t="str">
        <f t="shared" si="88"/>
        <v/>
      </c>
      <c r="S191" s="72" t="str">
        <f t="shared" si="78"/>
        <v/>
      </c>
      <c r="V191" s="64" t="str">
        <f t="shared" si="89"/>
        <v/>
      </c>
      <c r="W191" s="72" t="str">
        <f t="shared" si="79"/>
        <v/>
      </c>
      <c r="Z191" s="64" t="str">
        <f t="shared" si="90"/>
        <v/>
      </c>
      <c r="AA191" s="72" t="str">
        <f t="shared" si="80"/>
        <v/>
      </c>
      <c r="AD191" s="64" t="str">
        <f t="shared" si="91"/>
        <v/>
      </c>
      <c r="AE191" s="72" t="str">
        <f t="shared" si="81"/>
        <v/>
      </c>
      <c r="AH191" s="64" t="str">
        <f t="shared" si="92"/>
        <v/>
      </c>
      <c r="AI191" s="72" t="str">
        <f t="shared" si="82"/>
        <v/>
      </c>
      <c r="AL191" s="64" t="str">
        <f t="shared" si="93"/>
        <v/>
      </c>
      <c r="AM191" s="72" t="str">
        <f t="shared" si="83"/>
        <v/>
      </c>
      <c r="AP191" s="64" t="str">
        <f t="shared" si="94"/>
        <v/>
      </c>
      <c r="AQ191" s="72" t="str">
        <f t="shared" si="84"/>
        <v/>
      </c>
    </row>
    <row r="192" spans="1:43" x14ac:dyDescent="0.25">
      <c r="A192" s="49">
        <v>13.680805733026753</v>
      </c>
      <c r="B192" s="50">
        <v>37.587704831436334</v>
      </c>
      <c r="C192" s="38">
        <f t="shared" si="74"/>
        <v>40</v>
      </c>
      <c r="F192" s="1" t="str">
        <f t="shared" si="85"/>
        <v/>
      </c>
      <c r="G192" s="1" t="str">
        <f t="shared" si="75"/>
        <v/>
      </c>
      <c r="J192" s="64" t="str">
        <f t="shared" si="86"/>
        <v/>
      </c>
      <c r="K192" s="72" t="str">
        <f t="shared" si="76"/>
        <v/>
      </c>
      <c r="N192" s="64" t="str">
        <f t="shared" si="87"/>
        <v/>
      </c>
      <c r="O192" s="72" t="str">
        <f t="shared" si="77"/>
        <v/>
      </c>
      <c r="R192" s="64" t="str">
        <f t="shared" si="88"/>
        <v/>
      </c>
      <c r="S192" s="72" t="str">
        <f t="shared" si="78"/>
        <v/>
      </c>
      <c r="V192" s="64" t="str">
        <f t="shared" si="89"/>
        <v/>
      </c>
      <c r="W192" s="72" t="str">
        <f t="shared" si="79"/>
        <v/>
      </c>
      <c r="Z192" s="64" t="str">
        <f t="shared" si="90"/>
        <v/>
      </c>
      <c r="AA192" s="72" t="str">
        <f t="shared" si="80"/>
        <v/>
      </c>
      <c r="AD192" s="64" t="str">
        <f t="shared" si="91"/>
        <v/>
      </c>
      <c r="AE192" s="72" t="str">
        <f t="shared" si="81"/>
        <v/>
      </c>
      <c r="AH192" s="64" t="str">
        <f t="shared" si="92"/>
        <v/>
      </c>
      <c r="AI192" s="72" t="str">
        <f t="shared" si="82"/>
        <v/>
      </c>
      <c r="AL192" s="64" t="str">
        <f t="shared" si="93"/>
        <v/>
      </c>
      <c r="AM192" s="72" t="str">
        <f t="shared" si="83"/>
        <v/>
      </c>
      <c r="AP192" s="64" t="str">
        <f t="shared" si="94"/>
        <v/>
      </c>
      <c r="AQ192" s="72" t="str">
        <f t="shared" si="84"/>
        <v/>
      </c>
    </row>
    <row r="193" spans="1:43" x14ac:dyDescent="0.25">
      <c r="A193" s="49">
        <v>6.9459271066772166</v>
      </c>
      <c r="B193" s="50">
        <v>39.392310120488318</v>
      </c>
      <c r="C193" s="38">
        <f t="shared" si="74"/>
        <v>39.999999999999993</v>
      </c>
      <c r="F193" s="1" t="str">
        <f t="shared" si="85"/>
        <v/>
      </c>
      <c r="G193" s="1" t="str">
        <f t="shared" si="75"/>
        <v/>
      </c>
      <c r="J193" s="64" t="str">
        <f t="shared" si="86"/>
        <v/>
      </c>
      <c r="K193" s="72" t="str">
        <f t="shared" si="76"/>
        <v/>
      </c>
      <c r="N193" s="64" t="str">
        <f t="shared" si="87"/>
        <v/>
      </c>
      <c r="O193" s="72" t="str">
        <f t="shared" si="77"/>
        <v/>
      </c>
      <c r="R193" s="64" t="str">
        <f t="shared" si="88"/>
        <v/>
      </c>
      <c r="S193" s="72" t="str">
        <f t="shared" si="78"/>
        <v/>
      </c>
      <c r="V193" s="64" t="str">
        <f t="shared" si="89"/>
        <v/>
      </c>
      <c r="W193" s="72" t="str">
        <f t="shared" si="79"/>
        <v/>
      </c>
      <c r="Z193" s="64" t="str">
        <f t="shared" si="90"/>
        <v/>
      </c>
      <c r="AA193" s="72" t="str">
        <f t="shared" si="80"/>
        <v/>
      </c>
      <c r="AD193" s="64" t="str">
        <f t="shared" si="91"/>
        <v/>
      </c>
      <c r="AE193" s="72" t="str">
        <f t="shared" si="81"/>
        <v/>
      </c>
      <c r="AH193" s="64" t="str">
        <f t="shared" si="92"/>
        <v/>
      </c>
      <c r="AI193" s="72" t="str">
        <f t="shared" si="82"/>
        <v/>
      </c>
      <c r="AL193" s="64" t="str">
        <f t="shared" si="93"/>
        <v/>
      </c>
      <c r="AM193" s="72" t="str">
        <f t="shared" si="83"/>
        <v/>
      </c>
      <c r="AP193" s="64" t="str">
        <f t="shared" si="94"/>
        <v/>
      </c>
      <c r="AQ193" s="72" t="str">
        <f t="shared" si="84"/>
        <v/>
      </c>
    </row>
    <row r="194" spans="1:43" x14ac:dyDescent="0.25">
      <c r="A194" s="49">
        <v>2.45029690981724E-15</v>
      </c>
      <c r="B194" s="50">
        <v>40</v>
      </c>
      <c r="C194" s="38">
        <f t="shared" si="74"/>
        <v>40</v>
      </c>
      <c r="F194" s="1" t="str">
        <f t="shared" si="85"/>
        <v/>
      </c>
      <c r="G194" s="1" t="str">
        <f t="shared" si="75"/>
        <v/>
      </c>
      <c r="J194" s="64" t="str">
        <f t="shared" si="86"/>
        <v/>
      </c>
      <c r="K194" s="72" t="str">
        <f t="shared" si="76"/>
        <v/>
      </c>
      <c r="N194" s="64" t="str">
        <f t="shared" si="87"/>
        <v/>
      </c>
      <c r="O194" s="72" t="str">
        <f t="shared" si="77"/>
        <v/>
      </c>
      <c r="R194" s="64" t="str">
        <f t="shared" si="88"/>
        <v/>
      </c>
      <c r="S194" s="72" t="str">
        <f t="shared" si="78"/>
        <v/>
      </c>
      <c r="V194" s="64" t="str">
        <f t="shared" si="89"/>
        <v/>
      </c>
      <c r="W194" s="72" t="str">
        <f t="shared" si="79"/>
        <v/>
      </c>
      <c r="Z194" s="64" t="str">
        <f t="shared" si="90"/>
        <v/>
      </c>
      <c r="AA194" s="72" t="str">
        <f t="shared" si="80"/>
        <v/>
      </c>
      <c r="AD194" s="64" t="str">
        <f t="shared" si="91"/>
        <v/>
      </c>
      <c r="AE194" s="72" t="str">
        <f t="shared" si="81"/>
        <v/>
      </c>
      <c r="AH194" s="64" t="str">
        <f t="shared" si="92"/>
        <v/>
      </c>
      <c r="AI194" s="72" t="str">
        <f t="shared" si="82"/>
        <v/>
      </c>
      <c r="AL194" s="64" t="str">
        <f t="shared" si="93"/>
        <v/>
      </c>
      <c r="AM194" s="72" t="str">
        <f t="shared" si="83"/>
        <v/>
      </c>
      <c r="AP194" s="64" t="str">
        <f t="shared" si="94"/>
        <v/>
      </c>
      <c r="AQ194" s="72" t="str">
        <f t="shared" si="84"/>
        <v/>
      </c>
    </row>
    <row r="195" spans="1:43" x14ac:dyDescent="0.25">
      <c r="A195" s="49">
        <v>-6.9459271066772121</v>
      </c>
      <c r="B195" s="50">
        <v>39.392310120488318</v>
      </c>
      <c r="C195" s="38">
        <f t="shared" si="74"/>
        <v>39.999999999999993</v>
      </c>
      <c r="F195" s="1" t="str">
        <f t="shared" si="85"/>
        <v/>
      </c>
      <c r="G195" s="1" t="str">
        <f t="shared" si="75"/>
        <v/>
      </c>
      <c r="J195" s="64" t="str">
        <f t="shared" si="86"/>
        <v/>
      </c>
      <c r="K195" s="72" t="str">
        <f t="shared" si="76"/>
        <v/>
      </c>
      <c r="N195" s="64" t="str">
        <f t="shared" si="87"/>
        <v/>
      </c>
      <c r="O195" s="72" t="str">
        <f t="shared" si="77"/>
        <v/>
      </c>
      <c r="R195" s="64" t="str">
        <f t="shared" si="88"/>
        <v/>
      </c>
      <c r="S195" s="72" t="str">
        <f t="shared" si="78"/>
        <v/>
      </c>
      <c r="V195" s="64" t="str">
        <f t="shared" si="89"/>
        <v/>
      </c>
      <c r="W195" s="72" t="str">
        <f t="shared" si="79"/>
        <v/>
      </c>
      <c r="Z195" s="64" t="str">
        <f t="shared" si="90"/>
        <v/>
      </c>
      <c r="AA195" s="72" t="str">
        <f t="shared" si="80"/>
        <v/>
      </c>
      <c r="AD195" s="64" t="str">
        <f t="shared" si="91"/>
        <v/>
      </c>
      <c r="AE195" s="72" t="str">
        <f t="shared" si="81"/>
        <v/>
      </c>
      <c r="AH195" s="64" t="str">
        <f t="shared" si="92"/>
        <v/>
      </c>
      <c r="AI195" s="72" t="str">
        <f t="shared" si="82"/>
        <v/>
      </c>
      <c r="AL195" s="64" t="str">
        <f t="shared" si="93"/>
        <v/>
      </c>
      <c r="AM195" s="72" t="str">
        <f t="shared" si="83"/>
        <v/>
      </c>
      <c r="AP195" s="64" t="str">
        <f t="shared" si="94"/>
        <v/>
      </c>
      <c r="AQ195" s="72" t="str">
        <f t="shared" si="84"/>
        <v/>
      </c>
    </row>
    <row r="196" spans="1:43" x14ac:dyDescent="0.25">
      <c r="A196" s="49">
        <v>-13.680805733026748</v>
      </c>
      <c r="B196" s="50">
        <v>37.587704831436341</v>
      </c>
      <c r="C196" s="38">
        <f t="shared" si="74"/>
        <v>40.000000000000007</v>
      </c>
      <c r="F196" s="1" t="str">
        <f t="shared" si="85"/>
        <v/>
      </c>
      <c r="G196" s="1" t="str">
        <f t="shared" si="75"/>
        <v/>
      </c>
      <c r="J196" s="64" t="str">
        <f t="shared" si="86"/>
        <v/>
      </c>
      <c r="K196" s="72" t="str">
        <f t="shared" si="76"/>
        <v/>
      </c>
      <c r="N196" s="64" t="str">
        <f t="shared" si="87"/>
        <v/>
      </c>
      <c r="O196" s="72" t="str">
        <f t="shared" si="77"/>
        <v/>
      </c>
      <c r="R196" s="64" t="str">
        <f t="shared" si="88"/>
        <v/>
      </c>
      <c r="S196" s="72" t="str">
        <f t="shared" si="78"/>
        <v/>
      </c>
      <c r="V196" s="64" t="str">
        <f t="shared" si="89"/>
        <v/>
      </c>
      <c r="W196" s="72" t="str">
        <f t="shared" si="79"/>
        <v/>
      </c>
      <c r="Z196" s="64" t="str">
        <f t="shared" si="90"/>
        <v/>
      </c>
      <c r="AA196" s="72" t="str">
        <f t="shared" si="80"/>
        <v/>
      </c>
      <c r="AD196" s="64" t="str">
        <f t="shared" si="91"/>
        <v/>
      </c>
      <c r="AE196" s="72" t="str">
        <f t="shared" si="81"/>
        <v/>
      </c>
      <c r="AH196" s="64" t="str">
        <f t="shared" si="92"/>
        <v/>
      </c>
      <c r="AI196" s="72" t="str">
        <f t="shared" si="82"/>
        <v/>
      </c>
      <c r="AL196" s="64" t="str">
        <f t="shared" si="93"/>
        <v/>
      </c>
      <c r="AM196" s="72" t="str">
        <f t="shared" si="83"/>
        <v/>
      </c>
      <c r="AP196" s="64" t="str">
        <f t="shared" si="94"/>
        <v/>
      </c>
      <c r="AQ196" s="72" t="str">
        <f t="shared" si="84"/>
        <v/>
      </c>
    </row>
    <row r="197" spans="1:43" x14ac:dyDescent="0.25">
      <c r="A197" s="49">
        <v>-19.999999999999993</v>
      </c>
      <c r="B197" s="50">
        <v>34.641016151377549</v>
      </c>
      <c r="C197" s="38">
        <f t="shared" si="74"/>
        <v>40</v>
      </c>
      <c r="F197" s="1" t="str">
        <f t="shared" si="85"/>
        <v/>
      </c>
      <c r="G197" s="1" t="str">
        <f t="shared" si="75"/>
        <v/>
      </c>
      <c r="J197" s="64" t="str">
        <f t="shared" si="86"/>
        <v/>
      </c>
      <c r="K197" s="72" t="str">
        <f t="shared" si="76"/>
        <v/>
      </c>
      <c r="N197" s="64" t="str">
        <f t="shared" si="87"/>
        <v/>
      </c>
      <c r="O197" s="72" t="str">
        <f t="shared" si="77"/>
        <v/>
      </c>
      <c r="R197" s="64" t="str">
        <f t="shared" si="88"/>
        <v/>
      </c>
      <c r="S197" s="72" t="str">
        <f t="shared" si="78"/>
        <v/>
      </c>
      <c r="V197" s="64" t="str">
        <f t="shared" si="89"/>
        <v/>
      </c>
      <c r="W197" s="72" t="str">
        <f t="shared" si="79"/>
        <v/>
      </c>
      <c r="Z197" s="64" t="str">
        <f t="shared" si="90"/>
        <v/>
      </c>
      <c r="AA197" s="72" t="str">
        <f t="shared" si="80"/>
        <v/>
      </c>
      <c r="AD197" s="64" t="str">
        <f t="shared" si="91"/>
        <v/>
      </c>
      <c r="AE197" s="72" t="str">
        <f t="shared" si="81"/>
        <v/>
      </c>
      <c r="AH197" s="64" t="str">
        <f t="shared" si="92"/>
        <v/>
      </c>
      <c r="AI197" s="72" t="str">
        <f t="shared" si="82"/>
        <v/>
      </c>
      <c r="AL197" s="64" t="str">
        <f t="shared" si="93"/>
        <v/>
      </c>
      <c r="AM197" s="72" t="str">
        <f t="shared" si="83"/>
        <v/>
      </c>
      <c r="AP197" s="64" t="str">
        <f t="shared" si="94"/>
        <v/>
      </c>
      <c r="AQ197" s="72" t="str">
        <f t="shared" si="84"/>
        <v/>
      </c>
    </row>
    <row r="198" spans="1:43" x14ac:dyDescent="0.25">
      <c r="A198" s="49">
        <v>-25.711504387461574</v>
      </c>
      <c r="B198" s="50">
        <v>30.64177772475912</v>
      </c>
      <c r="C198" s="38">
        <f t="shared" si="74"/>
        <v>40</v>
      </c>
      <c r="F198" s="1" t="str">
        <f t="shared" si="85"/>
        <v/>
      </c>
      <c r="G198" s="1" t="str">
        <f t="shared" si="75"/>
        <v/>
      </c>
      <c r="J198" s="64" t="str">
        <f t="shared" si="86"/>
        <v/>
      </c>
      <c r="K198" s="72" t="str">
        <f t="shared" si="76"/>
        <v/>
      </c>
      <c r="N198" s="64" t="str">
        <f t="shared" si="87"/>
        <v/>
      </c>
      <c r="O198" s="72" t="str">
        <f t="shared" si="77"/>
        <v/>
      </c>
      <c r="R198" s="64" t="str">
        <f t="shared" si="88"/>
        <v/>
      </c>
      <c r="S198" s="72" t="str">
        <f t="shared" si="78"/>
        <v/>
      </c>
      <c r="V198" s="64" t="str">
        <f t="shared" si="89"/>
        <v/>
      </c>
      <c r="W198" s="72" t="str">
        <f t="shared" si="79"/>
        <v/>
      </c>
      <c r="Z198" s="64" t="str">
        <f t="shared" si="90"/>
        <v/>
      </c>
      <c r="AA198" s="72" t="str">
        <f t="shared" si="80"/>
        <v/>
      </c>
      <c r="AD198" s="64" t="str">
        <f t="shared" si="91"/>
        <v/>
      </c>
      <c r="AE198" s="72" t="str">
        <f t="shared" si="81"/>
        <v/>
      </c>
      <c r="AH198" s="64" t="str">
        <f t="shared" si="92"/>
        <v/>
      </c>
      <c r="AI198" s="72" t="str">
        <f t="shared" si="82"/>
        <v/>
      </c>
      <c r="AL198" s="64" t="str">
        <f t="shared" si="93"/>
        <v/>
      </c>
      <c r="AM198" s="72" t="str">
        <f t="shared" si="83"/>
        <v/>
      </c>
      <c r="AP198" s="64" t="str">
        <f t="shared" si="94"/>
        <v/>
      </c>
      <c r="AQ198" s="72" t="str">
        <f t="shared" si="84"/>
        <v/>
      </c>
    </row>
    <row r="199" spans="1:43" x14ac:dyDescent="0.25">
      <c r="A199" s="49">
        <v>-30.641777724759116</v>
      </c>
      <c r="B199" s="50">
        <v>25.711504387461581</v>
      </c>
      <c r="C199" s="38">
        <f t="shared" si="74"/>
        <v>40</v>
      </c>
      <c r="F199" s="1" t="str">
        <f t="shared" si="85"/>
        <v/>
      </c>
      <c r="G199" s="1" t="str">
        <f t="shared" si="75"/>
        <v/>
      </c>
      <c r="J199" s="64" t="str">
        <f t="shared" si="86"/>
        <v/>
      </c>
      <c r="K199" s="72" t="str">
        <f t="shared" si="76"/>
        <v/>
      </c>
      <c r="N199" s="64" t="str">
        <f t="shared" si="87"/>
        <v/>
      </c>
      <c r="O199" s="72" t="str">
        <f t="shared" si="77"/>
        <v/>
      </c>
      <c r="R199" s="64" t="str">
        <f t="shared" si="88"/>
        <v/>
      </c>
      <c r="S199" s="72" t="str">
        <f t="shared" si="78"/>
        <v/>
      </c>
      <c r="V199" s="64" t="str">
        <f t="shared" si="89"/>
        <v/>
      </c>
      <c r="W199" s="72" t="str">
        <f t="shared" si="79"/>
        <v/>
      </c>
      <c r="Z199" s="64" t="str">
        <f t="shared" si="90"/>
        <v/>
      </c>
      <c r="AA199" s="72" t="str">
        <f t="shared" si="80"/>
        <v/>
      </c>
      <c r="AD199" s="64" t="str">
        <f t="shared" si="91"/>
        <v/>
      </c>
      <c r="AE199" s="72" t="str">
        <f t="shared" si="81"/>
        <v/>
      </c>
      <c r="AH199" s="64" t="str">
        <f t="shared" si="92"/>
        <v/>
      </c>
      <c r="AI199" s="72" t="str">
        <f t="shared" si="82"/>
        <v/>
      </c>
      <c r="AL199" s="64" t="str">
        <f t="shared" si="93"/>
        <v/>
      </c>
      <c r="AM199" s="72" t="str">
        <f t="shared" si="83"/>
        <v/>
      </c>
      <c r="AP199" s="64" t="str">
        <f t="shared" si="94"/>
        <v/>
      </c>
      <c r="AQ199" s="72" t="str">
        <f t="shared" si="84"/>
        <v/>
      </c>
    </row>
    <row r="200" spans="1:43" x14ac:dyDescent="0.25">
      <c r="A200" s="49">
        <v>-34.641016151377549</v>
      </c>
      <c r="B200" s="50">
        <v>19.999999999999996</v>
      </c>
      <c r="C200" s="38">
        <f t="shared" si="74"/>
        <v>40</v>
      </c>
      <c r="F200" s="1" t="str">
        <f t="shared" si="85"/>
        <v/>
      </c>
      <c r="G200" s="1" t="str">
        <f t="shared" si="75"/>
        <v/>
      </c>
      <c r="J200" s="64" t="str">
        <f t="shared" si="86"/>
        <v/>
      </c>
      <c r="K200" s="72" t="str">
        <f t="shared" si="76"/>
        <v/>
      </c>
      <c r="N200" s="64" t="str">
        <f t="shared" si="87"/>
        <v/>
      </c>
      <c r="O200" s="72" t="str">
        <f t="shared" si="77"/>
        <v/>
      </c>
      <c r="R200" s="64" t="str">
        <f t="shared" si="88"/>
        <v/>
      </c>
      <c r="S200" s="72" t="str">
        <f t="shared" si="78"/>
        <v/>
      </c>
      <c r="V200" s="64" t="str">
        <f t="shared" si="89"/>
        <v/>
      </c>
      <c r="W200" s="72" t="str">
        <f t="shared" si="79"/>
        <v/>
      </c>
      <c r="Z200" s="64" t="str">
        <f t="shared" si="90"/>
        <v/>
      </c>
      <c r="AA200" s="72" t="str">
        <f t="shared" si="80"/>
        <v/>
      </c>
      <c r="AD200" s="64" t="str">
        <f t="shared" si="91"/>
        <v/>
      </c>
      <c r="AE200" s="72" t="str">
        <f t="shared" si="81"/>
        <v/>
      </c>
      <c r="AH200" s="64" t="str">
        <f t="shared" si="92"/>
        <v/>
      </c>
      <c r="AI200" s="72" t="str">
        <f t="shared" si="82"/>
        <v/>
      </c>
      <c r="AL200" s="64" t="str">
        <f t="shared" si="93"/>
        <v/>
      </c>
      <c r="AM200" s="72" t="str">
        <f t="shared" si="83"/>
        <v/>
      </c>
      <c r="AP200" s="64" t="str">
        <f t="shared" si="94"/>
        <v/>
      </c>
      <c r="AQ200" s="72" t="str">
        <f t="shared" si="84"/>
        <v/>
      </c>
    </row>
    <row r="201" spans="1:43" x14ac:dyDescent="0.25">
      <c r="A201" s="49">
        <v>-37.587704831436334</v>
      </c>
      <c r="B201" s="50">
        <v>13.680805733026755</v>
      </c>
      <c r="C201" s="38">
        <f t="shared" si="74"/>
        <v>40</v>
      </c>
      <c r="F201" s="1" t="str">
        <f t="shared" si="85"/>
        <v/>
      </c>
      <c r="G201" s="1" t="str">
        <f t="shared" si="75"/>
        <v/>
      </c>
      <c r="J201" s="64" t="str">
        <f t="shared" si="86"/>
        <v/>
      </c>
      <c r="K201" s="72" t="str">
        <f t="shared" si="76"/>
        <v/>
      </c>
      <c r="N201" s="64" t="str">
        <f t="shared" si="87"/>
        <v/>
      </c>
      <c r="O201" s="72" t="str">
        <f t="shared" si="77"/>
        <v/>
      </c>
      <c r="R201" s="64" t="str">
        <f t="shared" si="88"/>
        <v/>
      </c>
      <c r="S201" s="72" t="str">
        <f t="shared" si="78"/>
        <v/>
      </c>
      <c r="V201" s="64" t="str">
        <f t="shared" si="89"/>
        <v/>
      </c>
      <c r="W201" s="72" t="str">
        <f t="shared" si="79"/>
        <v/>
      </c>
      <c r="Z201" s="64" t="str">
        <f t="shared" si="90"/>
        <v/>
      </c>
      <c r="AA201" s="72" t="str">
        <f t="shared" si="80"/>
        <v/>
      </c>
      <c r="AD201" s="64" t="str">
        <f t="shared" si="91"/>
        <v/>
      </c>
      <c r="AE201" s="72" t="str">
        <f t="shared" si="81"/>
        <v/>
      </c>
      <c r="AH201" s="64" t="str">
        <f t="shared" si="92"/>
        <v/>
      </c>
      <c r="AI201" s="72" t="str">
        <f t="shared" si="82"/>
        <v/>
      </c>
      <c r="AL201" s="64" t="str">
        <f t="shared" si="93"/>
        <v/>
      </c>
      <c r="AM201" s="72" t="str">
        <f t="shared" si="83"/>
        <v/>
      </c>
      <c r="AP201" s="64" t="str">
        <f t="shared" si="94"/>
        <v/>
      </c>
      <c r="AQ201" s="72" t="str">
        <f t="shared" si="84"/>
        <v/>
      </c>
    </row>
    <row r="202" spans="1:43" x14ac:dyDescent="0.25">
      <c r="A202" s="49">
        <v>-39.392310120488318</v>
      </c>
      <c r="B202" s="50">
        <v>6.9459271066772112</v>
      </c>
      <c r="C202" s="38">
        <f t="shared" si="74"/>
        <v>39.999999999999993</v>
      </c>
      <c r="F202" s="1" t="str">
        <f t="shared" si="85"/>
        <v/>
      </c>
      <c r="G202" s="1" t="str">
        <f t="shared" si="75"/>
        <v/>
      </c>
      <c r="J202" s="64" t="str">
        <f t="shared" si="86"/>
        <v/>
      </c>
      <c r="K202" s="72" t="str">
        <f t="shared" si="76"/>
        <v/>
      </c>
      <c r="N202" s="64" t="str">
        <f t="shared" si="87"/>
        <v/>
      </c>
      <c r="O202" s="72" t="str">
        <f t="shared" si="77"/>
        <v/>
      </c>
      <c r="R202" s="64" t="str">
        <f t="shared" si="88"/>
        <v/>
      </c>
      <c r="S202" s="72" t="str">
        <f t="shared" si="78"/>
        <v/>
      </c>
      <c r="V202" s="64" t="str">
        <f t="shared" si="89"/>
        <v/>
      </c>
      <c r="W202" s="72" t="str">
        <f t="shared" si="79"/>
        <v/>
      </c>
      <c r="Z202" s="64" t="str">
        <f t="shared" si="90"/>
        <v/>
      </c>
      <c r="AA202" s="72" t="str">
        <f t="shared" si="80"/>
        <v/>
      </c>
      <c r="AD202" s="64" t="str">
        <f t="shared" si="91"/>
        <v/>
      </c>
      <c r="AE202" s="72" t="str">
        <f t="shared" si="81"/>
        <v/>
      </c>
      <c r="AH202" s="64" t="str">
        <f t="shared" si="92"/>
        <v/>
      </c>
      <c r="AI202" s="72" t="str">
        <f t="shared" si="82"/>
        <v/>
      </c>
      <c r="AL202" s="64" t="str">
        <f t="shared" si="93"/>
        <v/>
      </c>
      <c r="AM202" s="72" t="str">
        <f t="shared" si="83"/>
        <v/>
      </c>
      <c r="AP202" s="64" t="str">
        <f t="shared" si="94"/>
        <v/>
      </c>
      <c r="AQ202" s="72" t="str">
        <f t="shared" si="84"/>
        <v/>
      </c>
    </row>
    <row r="203" spans="1:43" x14ac:dyDescent="0.25">
      <c r="A203" s="49">
        <v>-40</v>
      </c>
      <c r="B203" s="50">
        <v>4.90059381963448E-15</v>
      </c>
      <c r="C203" s="38">
        <f t="shared" si="74"/>
        <v>40</v>
      </c>
      <c r="F203" s="1" t="str">
        <f t="shared" si="85"/>
        <v/>
      </c>
      <c r="G203" s="1" t="str">
        <f t="shared" si="75"/>
        <v/>
      </c>
      <c r="J203" s="64" t="str">
        <f t="shared" si="86"/>
        <v/>
      </c>
      <c r="K203" s="72" t="str">
        <f t="shared" si="76"/>
        <v/>
      </c>
      <c r="N203" s="64" t="str">
        <f t="shared" si="87"/>
        <v/>
      </c>
      <c r="O203" s="72" t="str">
        <f t="shared" si="77"/>
        <v/>
      </c>
      <c r="R203" s="64" t="str">
        <f t="shared" si="88"/>
        <v/>
      </c>
      <c r="S203" s="72" t="str">
        <f t="shared" si="78"/>
        <v/>
      </c>
      <c r="V203" s="64" t="str">
        <f t="shared" si="89"/>
        <v/>
      </c>
      <c r="W203" s="72" t="str">
        <f t="shared" si="79"/>
        <v/>
      </c>
      <c r="Z203" s="64" t="str">
        <f t="shared" si="90"/>
        <v/>
      </c>
      <c r="AA203" s="72" t="str">
        <f t="shared" si="80"/>
        <v/>
      </c>
      <c r="AD203" s="64" t="str">
        <f t="shared" si="91"/>
        <v/>
      </c>
      <c r="AE203" s="72" t="str">
        <f t="shared" si="81"/>
        <v/>
      </c>
      <c r="AH203" s="64" t="str">
        <f t="shared" si="92"/>
        <v/>
      </c>
      <c r="AI203" s="72" t="str">
        <f t="shared" si="82"/>
        <v/>
      </c>
      <c r="AL203" s="64" t="str">
        <f t="shared" si="93"/>
        <v/>
      </c>
      <c r="AM203" s="72" t="str">
        <f t="shared" si="83"/>
        <v/>
      </c>
      <c r="AP203" s="64" t="str">
        <f t="shared" si="94"/>
        <v/>
      </c>
      <c r="AQ203" s="72" t="str">
        <f t="shared" si="84"/>
        <v/>
      </c>
    </row>
    <row r="204" spans="1:43" x14ac:dyDescent="0.25">
      <c r="A204" s="49">
        <v>-39.392310120488318</v>
      </c>
      <c r="B204" s="50">
        <v>-6.9459271066772192</v>
      </c>
      <c r="C204" s="38">
        <f t="shared" si="74"/>
        <v>40</v>
      </c>
      <c r="F204" s="1" t="str">
        <f t="shared" si="85"/>
        <v/>
      </c>
      <c r="G204" s="1" t="str">
        <f t="shared" si="75"/>
        <v/>
      </c>
      <c r="J204" s="64" t="str">
        <f t="shared" si="86"/>
        <v/>
      </c>
      <c r="K204" s="72" t="str">
        <f t="shared" si="76"/>
        <v/>
      </c>
      <c r="N204" s="64" t="str">
        <f t="shared" si="87"/>
        <v/>
      </c>
      <c r="O204" s="72" t="str">
        <f t="shared" si="77"/>
        <v/>
      </c>
      <c r="R204" s="64" t="str">
        <f t="shared" si="88"/>
        <v/>
      </c>
      <c r="S204" s="72" t="str">
        <f t="shared" si="78"/>
        <v/>
      </c>
      <c r="V204" s="64" t="str">
        <f t="shared" si="89"/>
        <v/>
      </c>
      <c r="W204" s="72" t="str">
        <f t="shared" si="79"/>
        <v/>
      </c>
      <c r="Z204" s="64" t="str">
        <f t="shared" si="90"/>
        <v/>
      </c>
      <c r="AA204" s="72" t="str">
        <f t="shared" si="80"/>
        <v/>
      </c>
      <c r="AD204" s="64" t="str">
        <f t="shared" si="91"/>
        <v/>
      </c>
      <c r="AE204" s="72" t="str">
        <f t="shared" si="81"/>
        <v/>
      </c>
      <c r="AH204" s="64" t="str">
        <f t="shared" si="92"/>
        <v/>
      </c>
      <c r="AI204" s="72" t="str">
        <f t="shared" si="82"/>
        <v/>
      </c>
      <c r="AL204" s="64" t="str">
        <f t="shared" si="93"/>
        <v/>
      </c>
      <c r="AM204" s="72" t="str">
        <f t="shared" si="83"/>
        <v/>
      </c>
      <c r="AP204" s="64" t="str">
        <f t="shared" si="94"/>
        <v/>
      </c>
      <c r="AQ204" s="72" t="str">
        <f t="shared" si="84"/>
        <v/>
      </c>
    </row>
    <row r="205" spans="1:43" x14ac:dyDescent="0.25">
      <c r="A205" s="49">
        <v>-37.587704831436341</v>
      </c>
      <c r="B205" s="50">
        <v>-13.680805733026746</v>
      </c>
      <c r="C205" s="38">
        <f t="shared" si="74"/>
        <v>40</v>
      </c>
      <c r="F205" s="1" t="str">
        <f t="shared" si="85"/>
        <v/>
      </c>
      <c r="G205" s="1" t="str">
        <f t="shared" si="75"/>
        <v/>
      </c>
      <c r="J205" s="64" t="str">
        <f t="shared" si="86"/>
        <v/>
      </c>
      <c r="K205" s="72" t="str">
        <f t="shared" si="76"/>
        <v/>
      </c>
      <c r="N205" s="64" t="str">
        <f t="shared" si="87"/>
        <v/>
      </c>
      <c r="O205" s="72" t="str">
        <f t="shared" si="77"/>
        <v/>
      </c>
      <c r="R205" s="64" t="str">
        <f t="shared" si="88"/>
        <v/>
      </c>
      <c r="S205" s="72" t="str">
        <f t="shared" si="78"/>
        <v/>
      </c>
      <c r="V205" s="64" t="str">
        <f t="shared" si="89"/>
        <v/>
      </c>
      <c r="W205" s="72" t="str">
        <f t="shared" si="79"/>
        <v/>
      </c>
      <c r="Z205" s="64" t="str">
        <f t="shared" si="90"/>
        <v/>
      </c>
      <c r="AA205" s="72" t="str">
        <f t="shared" si="80"/>
        <v/>
      </c>
      <c r="AD205" s="64" t="str">
        <f t="shared" si="91"/>
        <v/>
      </c>
      <c r="AE205" s="72" t="str">
        <f t="shared" si="81"/>
        <v/>
      </c>
      <c r="AH205" s="64" t="str">
        <f t="shared" si="92"/>
        <v/>
      </c>
      <c r="AI205" s="72" t="str">
        <f t="shared" si="82"/>
        <v/>
      </c>
      <c r="AL205" s="64" t="str">
        <f t="shared" si="93"/>
        <v/>
      </c>
      <c r="AM205" s="72" t="str">
        <f t="shared" si="83"/>
        <v/>
      </c>
      <c r="AP205" s="64" t="str">
        <f t="shared" si="94"/>
        <v/>
      </c>
      <c r="AQ205" s="72" t="str">
        <f t="shared" si="84"/>
        <v/>
      </c>
    </row>
    <row r="206" spans="1:43" x14ac:dyDescent="0.25">
      <c r="A206" s="49">
        <v>-34.641016151377542</v>
      </c>
      <c r="B206" s="50">
        <v>-20.000000000000004</v>
      </c>
      <c r="C206" s="38">
        <f t="shared" si="74"/>
        <v>40</v>
      </c>
      <c r="F206" s="1" t="str">
        <f t="shared" si="85"/>
        <v/>
      </c>
      <c r="G206" s="1" t="str">
        <f t="shared" si="75"/>
        <v/>
      </c>
      <c r="J206" s="64" t="str">
        <f t="shared" si="86"/>
        <v/>
      </c>
      <c r="K206" s="72" t="str">
        <f t="shared" si="76"/>
        <v/>
      </c>
      <c r="N206" s="64" t="str">
        <f t="shared" si="87"/>
        <v/>
      </c>
      <c r="O206" s="72" t="str">
        <f t="shared" si="77"/>
        <v/>
      </c>
      <c r="R206" s="64" t="str">
        <f t="shared" si="88"/>
        <v/>
      </c>
      <c r="S206" s="72" t="str">
        <f t="shared" si="78"/>
        <v/>
      </c>
      <c r="V206" s="64" t="str">
        <f t="shared" si="89"/>
        <v/>
      </c>
      <c r="W206" s="72" t="str">
        <f t="shared" si="79"/>
        <v/>
      </c>
      <c r="Z206" s="64" t="str">
        <f t="shared" si="90"/>
        <v/>
      </c>
      <c r="AA206" s="72" t="str">
        <f t="shared" si="80"/>
        <v/>
      </c>
      <c r="AD206" s="64" t="str">
        <f t="shared" si="91"/>
        <v/>
      </c>
      <c r="AE206" s="72" t="str">
        <f t="shared" si="81"/>
        <v/>
      </c>
      <c r="AH206" s="64" t="str">
        <f t="shared" si="92"/>
        <v/>
      </c>
      <c r="AI206" s="72" t="str">
        <f t="shared" si="82"/>
        <v/>
      </c>
      <c r="AL206" s="64" t="str">
        <f t="shared" si="93"/>
        <v/>
      </c>
      <c r="AM206" s="72" t="str">
        <f t="shared" si="83"/>
        <v/>
      </c>
      <c r="AP206" s="64" t="str">
        <f t="shared" si="94"/>
        <v/>
      </c>
      <c r="AQ206" s="72" t="str">
        <f t="shared" si="84"/>
        <v/>
      </c>
    </row>
    <row r="207" spans="1:43" x14ac:dyDescent="0.25">
      <c r="A207" s="49">
        <v>-30.64177772475912</v>
      </c>
      <c r="B207" s="50">
        <v>-25.71150438746157</v>
      </c>
      <c r="C207" s="38">
        <f t="shared" si="74"/>
        <v>40</v>
      </c>
      <c r="F207" s="1" t="str">
        <f t="shared" si="85"/>
        <v/>
      </c>
      <c r="G207" s="1" t="str">
        <f t="shared" si="75"/>
        <v/>
      </c>
      <c r="J207" s="64" t="str">
        <f t="shared" si="86"/>
        <v/>
      </c>
      <c r="K207" s="72" t="str">
        <f t="shared" si="76"/>
        <v/>
      </c>
      <c r="N207" s="64" t="str">
        <f t="shared" si="87"/>
        <v/>
      </c>
      <c r="O207" s="72" t="str">
        <f t="shared" si="77"/>
        <v/>
      </c>
      <c r="R207" s="64" t="str">
        <f t="shared" si="88"/>
        <v/>
      </c>
      <c r="S207" s="72" t="str">
        <f t="shared" si="78"/>
        <v/>
      </c>
      <c r="V207" s="64" t="str">
        <f t="shared" si="89"/>
        <v/>
      </c>
      <c r="W207" s="72" t="str">
        <f t="shared" si="79"/>
        <v/>
      </c>
      <c r="Z207" s="64" t="str">
        <f t="shared" si="90"/>
        <v/>
      </c>
      <c r="AA207" s="72" t="str">
        <f t="shared" si="80"/>
        <v/>
      </c>
      <c r="AD207" s="64" t="str">
        <f t="shared" si="91"/>
        <v/>
      </c>
      <c r="AE207" s="72" t="str">
        <f t="shared" si="81"/>
        <v/>
      </c>
      <c r="AH207" s="64" t="str">
        <f t="shared" si="92"/>
        <v/>
      </c>
      <c r="AI207" s="72" t="str">
        <f t="shared" si="82"/>
        <v/>
      </c>
      <c r="AL207" s="64" t="str">
        <f t="shared" si="93"/>
        <v/>
      </c>
      <c r="AM207" s="72" t="str">
        <f t="shared" si="83"/>
        <v/>
      </c>
      <c r="AP207" s="64" t="str">
        <f t="shared" si="94"/>
        <v/>
      </c>
      <c r="AQ207" s="72" t="str">
        <f t="shared" si="84"/>
        <v/>
      </c>
    </row>
    <row r="208" spans="1:43" x14ac:dyDescent="0.25">
      <c r="A208" s="49">
        <v>-25.711504387461581</v>
      </c>
      <c r="B208" s="50">
        <v>-30.641777724759116</v>
      </c>
      <c r="C208" s="38">
        <f t="shared" si="74"/>
        <v>40</v>
      </c>
      <c r="F208" s="1" t="str">
        <f t="shared" si="85"/>
        <v/>
      </c>
      <c r="G208" s="1" t="str">
        <f t="shared" si="75"/>
        <v/>
      </c>
      <c r="J208" s="64" t="str">
        <f t="shared" si="86"/>
        <v/>
      </c>
      <c r="K208" s="72" t="str">
        <f t="shared" si="76"/>
        <v/>
      </c>
      <c r="N208" s="64" t="str">
        <f t="shared" si="87"/>
        <v/>
      </c>
      <c r="O208" s="72" t="str">
        <f t="shared" si="77"/>
        <v/>
      </c>
      <c r="R208" s="64" t="str">
        <f t="shared" si="88"/>
        <v/>
      </c>
      <c r="S208" s="72" t="str">
        <f t="shared" si="78"/>
        <v/>
      </c>
      <c r="V208" s="64" t="str">
        <f t="shared" si="89"/>
        <v/>
      </c>
      <c r="W208" s="72" t="str">
        <f t="shared" si="79"/>
        <v/>
      </c>
      <c r="Z208" s="64" t="str">
        <f t="shared" si="90"/>
        <v/>
      </c>
      <c r="AA208" s="72" t="str">
        <f t="shared" si="80"/>
        <v/>
      </c>
      <c r="AD208" s="64" t="str">
        <f t="shared" si="91"/>
        <v/>
      </c>
      <c r="AE208" s="72" t="str">
        <f t="shared" si="81"/>
        <v/>
      </c>
      <c r="AH208" s="64" t="str">
        <f t="shared" si="92"/>
        <v/>
      </c>
      <c r="AI208" s="72" t="str">
        <f t="shared" si="82"/>
        <v/>
      </c>
      <c r="AL208" s="64" t="str">
        <f t="shared" si="93"/>
        <v/>
      </c>
      <c r="AM208" s="72" t="str">
        <f t="shared" si="83"/>
        <v/>
      </c>
      <c r="AP208" s="64" t="str">
        <f t="shared" si="94"/>
        <v/>
      </c>
      <c r="AQ208" s="72" t="str">
        <f t="shared" si="84"/>
        <v/>
      </c>
    </row>
    <row r="209" spans="1:43" x14ac:dyDescent="0.25">
      <c r="A209" s="49">
        <v>-20.000000000000018</v>
      </c>
      <c r="B209" s="50">
        <v>-34.641016151377535</v>
      </c>
      <c r="C209" s="38">
        <f t="shared" si="74"/>
        <v>40</v>
      </c>
      <c r="F209" s="1" t="str">
        <f t="shared" si="85"/>
        <v/>
      </c>
      <c r="G209" s="1" t="str">
        <f t="shared" si="75"/>
        <v/>
      </c>
      <c r="J209" s="64" t="str">
        <f t="shared" si="86"/>
        <v/>
      </c>
      <c r="K209" s="72" t="str">
        <f t="shared" si="76"/>
        <v/>
      </c>
      <c r="N209" s="64" t="str">
        <f t="shared" si="87"/>
        <v/>
      </c>
      <c r="O209" s="72" t="str">
        <f t="shared" si="77"/>
        <v/>
      </c>
      <c r="R209" s="64" t="str">
        <f t="shared" si="88"/>
        <v/>
      </c>
      <c r="S209" s="72" t="str">
        <f t="shared" si="78"/>
        <v/>
      </c>
      <c r="V209" s="64" t="str">
        <f t="shared" si="89"/>
        <v/>
      </c>
      <c r="W209" s="72" t="str">
        <f t="shared" si="79"/>
        <v/>
      </c>
      <c r="Z209" s="64" t="str">
        <f t="shared" si="90"/>
        <v/>
      </c>
      <c r="AA209" s="72" t="str">
        <f t="shared" si="80"/>
        <v/>
      </c>
      <c r="AD209" s="64" t="str">
        <f t="shared" si="91"/>
        <v/>
      </c>
      <c r="AE209" s="72" t="str">
        <f t="shared" si="81"/>
        <v/>
      </c>
      <c r="AH209" s="64" t="str">
        <f t="shared" si="92"/>
        <v/>
      </c>
      <c r="AI209" s="72" t="str">
        <f t="shared" si="82"/>
        <v/>
      </c>
      <c r="AL209" s="64" t="str">
        <f t="shared" si="93"/>
        <v/>
      </c>
      <c r="AM209" s="72" t="str">
        <f t="shared" si="83"/>
        <v/>
      </c>
      <c r="AP209" s="64" t="str">
        <f t="shared" si="94"/>
        <v/>
      </c>
      <c r="AQ209" s="72" t="str">
        <f t="shared" si="84"/>
        <v/>
      </c>
    </row>
    <row r="210" spans="1:43" x14ac:dyDescent="0.25">
      <c r="A210" s="49">
        <v>-13.680805733026741</v>
      </c>
      <c r="B210" s="50">
        <v>-37.587704831436341</v>
      </c>
      <c r="C210" s="38">
        <f t="shared" si="74"/>
        <v>40</v>
      </c>
      <c r="F210" s="1" t="str">
        <f t="shared" si="85"/>
        <v/>
      </c>
      <c r="G210" s="1" t="str">
        <f t="shared" si="75"/>
        <v/>
      </c>
      <c r="J210" s="64" t="str">
        <f t="shared" si="86"/>
        <v/>
      </c>
      <c r="K210" s="72" t="str">
        <f t="shared" si="76"/>
        <v/>
      </c>
      <c r="N210" s="64" t="str">
        <f t="shared" si="87"/>
        <v/>
      </c>
      <c r="O210" s="72" t="str">
        <f t="shared" si="77"/>
        <v/>
      </c>
      <c r="R210" s="64" t="str">
        <f t="shared" si="88"/>
        <v/>
      </c>
      <c r="S210" s="72" t="str">
        <f t="shared" si="78"/>
        <v/>
      </c>
      <c r="V210" s="64" t="str">
        <f t="shared" si="89"/>
        <v/>
      </c>
      <c r="W210" s="72" t="str">
        <f t="shared" si="79"/>
        <v/>
      </c>
      <c r="Z210" s="64" t="str">
        <f t="shared" si="90"/>
        <v/>
      </c>
      <c r="AA210" s="72" t="str">
        <f t="shared" si="80"/>
        <v/>
      </c>
      <c r="AD210" s="64" t="str">
        <f t="shared" si="91"/>
        <v/>
      </c>
      <c r="AE210" s="72" t="str">
        <f t="shared" si="81"/>
        <v/>
      </c>
      <c r="AH210" s="64" t="str">
        <f t="shared" si="92"/>
        <v/>
      </c>
      <c r="AI210" s="72" t="str">
        <f t="shared" si="82"/>
        <v/>
      </c>
      <c r="AL210" s="64" t="str">
        <f t="shared" si="93"/>
        <v/>
      </c>
      <c r="AM210" s="72" t="str">
        <f t="shared" si="83"/>
        <v/>
      </c>
      <c r="AP210" s="64" t="str">
        <f t="shared" si="94"/>
        <v/>
      </c>
      <c r="AQ210" s="72" t="str">
        <f t="shared" si="84"/>
        <v/>
      </c>
    </row>
    <row r="211" spans="1:43" x14ac:dyDescent="0.25">
      <c r="A211" s="49">
        <v>-6.945927106677213</v>
      </c>
      <c r="B211" s="50">
        <v>-39.392310120488318</v>
      </c>
      <c r="C211" s="38">
        <f t="shared" si="74"/>
        <v>39.999999999999993</v>
      </c>
      <c r="F211" s="1" t="str">
        <f t="shared" si="85"/>
        <v/>
      </c>
      <c r="G211" s="1" t="str">
        <f t="shared" si="75"/>
        <v/>
      </c>
      <c r="J211" s="64" t="str">
        <f t="shared" si="86"/>
        <v/>
      </c>
      <c r="K211" s="72" t="str">
        <f t="shared" si="76"/>
        <v/>
      </c>
      <c r="N211" s="64" t="str">
        <f t="shared" si="87"/>
        <v/>
      </c>
      <c r="O211" s="72" t="str">
        <f t="shared" si="77"/>
        <v/>
      </c>
      <c r="R211" s="64" t="str">
        <f t="shared" si="88"/>
        <v/>
      </c>
      <c r="S211" s="72" t="str">
        <f t="shared" si="78"/>
        <v/>
      </c>
      <c r="V211" s="64" t="str">
        <f t="shared" si="89"/>
        <v/>
      </c>
      <c r="W211" s="72" t="str">
        <f t="shared" si="79"/>
        <v/>
      </c>
      <c r="Z211" s="64" t="str">
        <f t="shared" si="90"/>
        <v/>
      </c>
      <c r="AA211" s="72" t="str">
        <f t="shared" si="80"/>
        <v/>
      </c>
      <c r="AD211" s="64" t="str">
        <f t="shared" si="91"/>
        <v/>
      </c>
      <c r="AE211" s="72" t="str">
        <f t="shared" si="81"/>
        <v/>
      </c>
      <c r="AH211" s="64" t="str">
        <f t="shared" si="92"/>
        <v/>
      </c>
      <c r="AI211" s="72" t="str">
        <f t="shared" si="82"/>
        <v/>
      </c>
      <c r="AL211" s="64" t="str">
        <f t="shared" si="93"/>
        <v/>
      </c>
      <c r="AM211" s="72" t="str">
        <f t="shared" si="83"/>
        <v/>
      </c>
      <c r="AP211" s="64" t="str">
        <f t="shared" si="94"/>
        <v/>
      </c>
      <c r="AQ211" s="72" t="str">
        <f t="shared" si="84"/>
        <v/>
      </c>
    </row>
    <row r="212" spans="1:43" x14ac:dyDescent="0.25">
      <c r="A212" s="49">
        <v>-7.3508907294517201E-15</v>
      </c>
      <c r="B212" s="50">
        <v>-40</v>
      </c>
      <c r="C212" s="38">
        <f t="shared" si="74"/>
        <v>40</v>
      </c>
      <c r="F212" s="1" t="str">
        <f t="shared" si="85"/>
        <v/>
      </c>
      <c r="G212" s="1" t="str">
        <f t="shared" si="75"/>
        <v/>
      </c>
      <c r="J212" s="64" t="str">
        <f t="shared" si="86"/>
        <v/>
      </c>
      <c r="K212" s="72" t="str">
        <f t="shared" si="76"/>
        <v/>
      </c>
      <c r="N212" s="64" t="str">
        <f t="shared" si="87"/>
        <v/>
      </c>
      <c r="O212" s="72" t="str">
        <f t="shared" si="77"/>
        <v/>
      </c>
      <c r="R212" s="64" t="str">
        <f t="shared" si="88"/>
        <v/>
      </c>
      <c r="S212" s="72" t="str">
        <f t="shared" si="78"/>
        <v/>
      </c>
      <c r="V212" s="64" t="str">
        <f t="shared" si="89"/>
        <v/>
      </c>
      <c r="W212" s="72" t="str">
        <f t="shared" si="79"/>
        <v/>
      </c>
      <c r="Z212" s="64" t="str">
        <f t="shared" si="90"/>
        <v/>
      </c>
      <c r="AA212" s="72" t="str">
        <f t="shared" si="80"/>
        <v/>
      </c>
      <c r="AD212" s="64" t="str">
        <f t="shared" si="91"/>
        <v/>
      </c>
      <c r="AE212" s="72" t="str">
        <f t="shared" si="81"/>
        <v/>
      </c>
      <c r="AH212" s="64" t="str">
        <f t="shared" si="92"/>
        <v/>
      </c>
      <c r="AI212" s="72" t="str">
        <f t="shared" si="82"/>
        <v/>
      </c>
      <c r="AL212" s="64" t="str">
        <f t="shared" si="93"/>
        <v/>
      </c>
      <c r="AM212" s="72" t="str">
        <f t="shared" si="83"/>
        <v/>
      </c>
      <c r="AP212" s="64" t="str">
        <f t="shared" si="94"/>
        <v/>
      </c>
      <c r="AQ212" s="72" t="str">
        <f t="shared" si="84"/>
        <v/>
      </c>
    </row>
    <row r="213" spans="1:43" x14ac:dyDescent="0.25">
      <c r="A213" s="49">
        <v>6.9459271066771988</v>
      </c>
      <c r="B213" s="50">
        <v>-39.392310120488325</v>
      </c>
      <c r="C213" s="38">
        <f t="shared" si="74"/>
        <v>40</v>
      </c>
      <c r="F213" s="1" t="str">
        <f t="shared" si="85"/>
        <v/>
      </c>
      <c r="G213" s="1" t="str">
        <f t="shared" si="75"/>
        <v/>
      </c>
      <c r="J213" s="64" t="str">
        <f t="shared" si="86"/>
        <v/>
      </c>
      <c r="K213" s="72" t="str">
        <f t="shared" si="76"/>
        <v/>
      </c>
      <c r="N213" s="64" t="str">
        <f t="shared" si="87"/>
        <v/>
      </c>
      <c r="O213" s="72" t="str">
        <f t="shared" si="77"/>
        <v/>
      </c>
      <c r="R213" s="64" t="str">
        <f t="shared" si="88"/>
        <v/>
      </c>
      <c r="S213" s="72" t="str">
        <f t="shared" si="78"/>
        <v/>
      </c>
      <c r="V213" s="64" t="str">
        <f t="shared" si="89"/>
        <v/>
      </c>
      <c r="W213" s="72" t="str">
        <f t="shared" si="79"/>
        <v/>
      </c>
      <c r="Z213" s="64" t="str">
        <f t="shared" si="90"/>
        <v/>
      </c>
      <c r="AA213" s="72" t="str">
        <f t="shared" si="80"/>
        <v/>
      </c>
      <c r="AD213" s="64" t="str">
        <f t="shared" si="91"/>
        <v/>
      </c>
      <c r="AE213" s="72" t="str">
        <f t="shared" si="81"/>
        <v/>
      </c>
      <c r="AH213" s="64" t="str">
        <f t="shared" si="92"/>
        <v/>
      </c>
      <c r="AI213" s="72" t="str">
        <f t="shared" si="82"/>
        <v/>
      </c>
      <c r="AL213" s="64" t="str">
        <f t="shared" si="93"/>
        <v/>
      </c>
      <c r="AM213" s="72" t="str">
        <f t="shared" si="83"/>
        <v/>
      </c>
      <c r="AP213" s="64" t="str">
        <f t="shared" si="94"/>
        <v/>
      </c>
      <c r="AQ213" s="72" t="str">
        <f t="shared" si="84"/>
        <v/>
      </c>
    </row>
    <row r="214" spans="1:43" x14ac:dyDescent="0.25">
      <c r="A214" s="49">
        <v>13.680805733026759</v>
      </c>
      <c r="B214" s="50">
        <v>-37.587704831436334</v>
      </c>
      <c r="C214" s="38">
        <f t="shared" si="74"/>
        <v>40</v>
      </c>
      <c r="F214" s="1" t="str">
        <f t="shared" si="85"/>
        <v/>
      </c>
      <c r="G214" s="1" t="str">
        <f t="shared" si="75"/>
        <v/>
      </c>
      <c r="J214" s="64" t="str">
        <f t="shared" si="86"/>
        <v/>
      </c>
      <c r="K214" s="72" t="str">
        <f t="shared" si="76"/>
        <v/>
      </c>
      <c r="N214" s="64" t="str">
        <f t="shared" si="87"/>
        <v/>
      </c>
      <c r="O214" s="72" t="str">
        <f t="shared" si="77"/>
        <v/>
      </c>
      <c r="R214" s="64" t="str">
        <f t="shared" si="88"/>
        <v/>
      </c>
      <c r="S214" s="72" t="str">
        <f t="shared" si="78"/>
        <v/>
      </c>
      <c r="V214" s="64" t="str">
        <f t="shared" si="89"/>
        <v/>
      </c>
      <c r="W214" s="72" t="str">
        <f t="shared" si="79"/>
        <v/>
      </c>
      <c r="Z214" s="64" t="str">
        <f t="shared" si="90"/>
        <v/>
      </c>
      <c r="AA214" s="72" t="str">
        <f t="shared" si="80"/>
        <v/>
      </c>
      <c r="AD214" s="64" t="str">
        <f t="shared" si="91"/>
        <v/>
      </c>
      <c r="AE214" s="72" t="str">
        <f t="shared" si="81"/>
        <v/>
      </c>
      <c r="AH214" s="64" t="str">
        <f t="shared" si="92"/>
        <v/>
      </c>
      <c r="AI214" s="72" t="str">
        <f t="shared" si="82"/>
        <v/>
      </c>
      <c r="AL214" s="64" t="str">
        <f t="shared" si="93"/>
        <v/>
      </c>
      <c r="AM214" s="72" t="str">
        <f t="shared" si="83"/>
        <v/>
      </c>
      <c r="AP214" s="64" t="str">
        <f t="shared" si="94"/>
        <v/>
      </c>
      <c r="AQ214" s="72" t="str">
        <f t="shared" si="84"/>
        <v/>
      </c>
    </row>
    <row r="215" spans="1:43" x14ac:dyDescent="0.25">
      <c r="A215" s="49">
        <v>20.000000000000004</v>
      </c>
      <c r="B215" s="50">
        <v>-34.641016151377542</v>
      </c>
      <c r="C215" s="38">
        <f t="shared" si="74"/>
        <v>40</v>
      </c>
      <c r="F215" s="1" t="str">
        <f t="shared" si="85"/>
        <v/>
      </c>
      <c r="G215" s="1" t="str">
        <f t="shared" si="75"/>
        <v/>
      </c>
      <c r="J215" s="64" t="str">
        <f t="shared" si="86"/>
        <v/>
      </c>
      <c r="K215" s="72" t="str">
        <f t="shared" si="76"/>
        <v/>
      </c>
      <c r="N215" s="64" t="str">
        <f t="shared" si="87"/>
        <v/>
      </c>
      <c r="O215" s="72" t="str">
        <f t="shared" si="77"/>
        <v/>
      </c>
      <c r="R215" s="64" t="str">
        <f t="shared" si="88"/>
        <v/>
      </c>
      <c r="S215" s="72" t="str">
        <f t="shared" si="78"/>
        <v/>
      </c>
      <c r="V215" s="64" t="str">
        <f t="shared" si="89"/>
        <v/>
      </c>
      <c r="W215" s="72" t="str">
        <f t="shared" si="79"/>
        <v/>
      </c>
      <c r="Z215" s="64" t="str">
        <f t="shared" si="90"/>
        <v/>
      </c>
      <c r="AA215" s="72" t="str">
        <f t="shared" si="80"/>
        <v/>
      </c>
      <c r="AD215" s="64" t="str">
        <f t="shared" si="91"/>
        <v/>
      </c>
      <c r="AE215" s="72" t="str">
        <f t="shared" si="81"/>
        <v/>
      </c>
      <c r="AH215" s="64" t="str">
        <f t="shared" si="92"/>
        <v/>
      </c>
      <c r="AI215" s="72" t="str">
        <f t="shared" si="82"/>
        <v/>
      </c>
      <c r="AL215" s="64" t="str">
        <f t="shared" si="93"/>
        <v/>
      </c>
      <c r="AM215" s="72" t="str">
        <f t="shared" si="83"/>
        <v/>
      </c>
      <c r="AP215" s="64" t="str">
        <f t="shared" si="94"/>
        <v/>
      </c>
      <c r="AQ215" s="72" t="str">
        <f t="shared" si="84"/>
        <v/>
      </c>
    </row>
    <row r="216" spans="1:43" x14ac:dyDescent="0.25">
      <c r="A216" s="49">
        <v>25.71150438746157</v>
      </c>
      <c r="B216" s="50">
        <v>-30.641777724759123</v>
      </c>
      <c r="C216" s="38">
        <f t="shared" si="74"/>
        <v>40</v>
      </c>
      <c r="F216" s="1" t="str">
        <f t="shared" si="85"/>
        <v/>
      </c>
      <c r="G216" s="1" t="str">
        <f t="shared" si="75"/>
        <v/>
      </c>
      <c r="J216" s="64" t="str">
        <f t="shared" si="86"/>
        <v/>
      </c>
      <c r="K216" s="72" t="str">
        <f t="shared" si="76"/>
        <v/>
      </c>
      <c r="N216" s="64" t="str">
        <f t="shared" si="87"/>
        <v/>
      </c>
      <c r="O216" s="72" t="str">
        <f t="shared" si="77"/>
        <v/>
      </c>
      <c r="R216" s="64" t="str">
        <f t="shared" si="88"/>
        <v/>
      </c>
      <c r="S216" s="72" t="str">
        <f t="shared" si="78"/>
        <v/>
      </c>
      <c r="V216" s="64" t="str">
        <f t="shared" si="89"/>
        <v/>
      </c>
      <c r="W216" s="72" t="str">
        <f t="shared" si="79"/>
        <v/>
      </c>
      <c r="Z216" s="64" t="str">
        <f t="shared" si="90"/>
        <v/>
      </c>
      <c r="AA216" s="72" t="str">
        <f t="shared" si="80"/>
        <v/>
      </c>
      <c r="AD216" s="64" t="str">
        <f t="shared" si="91"/>
        <v/>
      </c>
      <c r="AE216" s="72" t="str">
        <f t="shared" si="81"/>
        <v/>
      </c>
      <c r="AH216" s="64" t="str">
        <f t="shared" si="92"/>
        <v/>
      </c>
      <c r="AI216" s="72" t="str">
        <f t="shared" si="82"/>
        <v/>
      </c>
      <c r="AL216" s="64" t="str">
        <f t="shared" si="93"/>
        <v/>
      </c>
      <c r="AM216" s="72" t="str">
        <f t="shared" si="83"/>
        <v/>
      </c>
      <c r="AP216" s="64" t="str">
        <f t="shared" si="94"/>
        <v/>
      </c>
      <c r="AQ216" s="72" t="str">
        <f t="shared" si="84"/>
        <v/>
      </c>
    </row>
    <row r="217" spans="1:43" x14ac:dyDescent="0.25">
      <c r="A217" s="49">
        <v>30.641777724759113</v>
      </c>
      <c r="B217" s="50">
        <v>-25.711504387461584</v>
      </c>
      <c r="C217" s="38">
        <f t="shared" si="74"/>
        <v>40</v>
      </c>
      <c r="F217" s="1" t="str">
        <f t="shared" si="85"/>
        <v/>
      </c>
      <c r="G217" s="1" t="str">
        <f t="shared" si="75"/>
        <v/>
      </c>
      <c r="J217" s="64" t="str">
        <f t="shared" si="86"/>
        <v/>
      </c>
      <c r="K217" s="72" t="str">
        <f t="shared" si="76"/>
        <v/>
      </c>
      <c r="N217" s="64" t="str">
        <f t="shared" si="87"/>
        <v/>
      </c>
      <c r="O217" s="72" t="str">
        <f t="shared" si="77"/>
        <v/>
      </c>
      <c r="R217" s="64" t="str">
        <f t="shared" si="88"/>
        <v/>
      </c>
      <c r="S217" s="72" t="str">
        <f t="shared" si="78"/>
        <v/>
      </c>
      <c r="V217" s="64" t="str">
        <f t="shared" si="89"/>
        <v/>
      </c>
      <c r="W217" s="72" t="str">
        <f t="shared" si="79"/>
        <v/>
      </c>
      <c r="Z217" s="64" t="str">
        <f t="shared" si="90"/>
        <v/>
      </c>
      <c r="AA217" s="72" t="str">
        <f t="shared" si="80"/>
        <v/>
      </c>
      <c r="AD217" s="64" t="str">
        <f t="shared" si="91"/>
        <v/>
      </c>
      <c r="AE217" s="72" t="str">
        <f t="shared" si="81"/>
        <v/>
      </c>
      <c r="AH217" s="64" t="str">
        <f t="shared" si="92"/>
        <v/>
      </c>
      <c r="AI217" s="72" t="str">
        <f t="shared" si="82"/>
        <v/>
      </c>
      <c r="AL217" s="64" t="str">
        <f t="shared" si="93"/>
        <v/>
      </c>
      <c r="AM217" s="72" t="str">
        <f t="shared" si="83"/>
        <v/>
      </c>
      <c r="AP217" s="64" t="str">
        <f t="shared" si="94"/>
        <v/>
      </c>
      <c r="AQ217" s="72" t="str">
        <f t="shared" si="84"/>
        <v/>
      </c>
    </row>
    <row r="218" spans="1:43" x14ac:dyDescent="0.25">
      <c r="A218" s="49">
        <v>34.641016151377535</v>
      </c>
      <c r="B218" s="50">
        <v>-20.000000000000018</v>
      </c>
      <c r="C218" s="38">
        <f t="shared" si="74"/>
        <v>40</v>
      </c>
      <c r="F218" s="1" t="str">
        <f t="shared" si="85"/>
        <v/>
      </c>
      <c r="G218" s="1" t="str">
        <f t="shared" si="75"/>
        <v/>
      </c>
      <c r="J218" s="64" t="str">
        <f t="shared" si="86"/>
        <v/>
      </c>
      <c r="K218" s="72" t="str">
        <f t="shared" si="76"/>
        <v/>
      </c>
      <c r="N218" s="64" t="str">
        <f t="shared" si="87"/>
        <v/>
      </c>
      <c r="O218" s="72" t="str">
        <f t="shared" si="77"/>
        <v/>
      </c>
      <c r="R218" s="64" t="str">
        <f t="shared" si="88"/>
        <v/>
      </c>
      <c r="S218" s="72" t="str">
        <f t="shared" si="78"/>
        <v/>
      </c>
      <c r="V218" s="64" t="str">
        <f t="shared" si="89"/>
        <v/>
      </c>
      <c r="W218" s="72" t="str">
        <f t="shared" si="79"/>
        <v/>
      </c>
      <c r="Z218" s="64" t="str">
        <f t="shared" si="90"/>
        <v/>
      </c>
      <c r="AA218" s="72" t="str">
        <f t="shared" si="80"/>
        <v/>
      </c>
      <c r="AD218" s="64" t="str">
        <f t="shared" si="91"/>
        <v/>
      </c>
      <c r="AE218" s="72" t="str">
        <f t="shared" si="81"/>
        <v/>
      </c>
      <c r="AH218" s="64" t="str">
        <f t="shared" si="92"/>
        <v/>
      </c>
      <c r="AI218" s="72" t="str">
        <f t="shared" si="82"/>
        <v/>
      </c>
      <c r="AL218" s="64" t="str">
        <f t="shared" si="93"/>
        <v/>
      </c>
      <c r="AM218" s="72" t="str">
        <f t="shared" si="83"/>
        <v/>
      </c>
      <c r="AP218" s="64" t="str">
        <f t="shared" si="94"/>
        <v/>
      </c>
      <c r="AQ218" s="72" t="str">
        <f t="shared" si="84"/>
        <v/>
      </c>
    </row>
    <row r="219" spans="1:43" x14ac:dyDescent="0.25">
      <c r="A219" s="49">
        <v>37.587704831436341</v>
      </c>
      <c r="B219" s="50">
        <v>-13.680805733026745</v>
      </c>
      <c r="C219" s="38">
        <f t="shared" si="74"/>
        <v>40</v>
      </c>
      <c r="F219" s="1" t="str">
        <f t="shared" si="85"/>
        <v/>
      </c>
      <c r="G219" s="1" t="str">
        <f t="shared" si="75"/>
        <v/>
      </c>
      <c r="J219" s="64" t="str">
        <f t="shared" si="86"/>
        <v/>
      </c>
      <c r="K219" s="72" t="str">
        <f t="shared" si="76"/>
        <v/>
      </c>
      <c r="N219" s="64" t="str">
        <f t="shared" si="87"/>
        <v/>
      </c>
      <c r="O219" s="72" t="str">
        <f t="shared" si="77"/>
        <v/>
      </c>
      <c r="R219" s="64" t="str">
        <f t="shared" si="88"/>
        <v/>
      </c>
      <c r="S219" s="72" t="str">
        <f t="shared" si="78"/>
        <v/>
      </c>
      <c r="V219" s="64" t="str">
        <f t="shared" si="89"/>
        <v/>
      </c>
      <c r="W219" s="72" t="str">
        <f t="shared" si="79"/>
        <v/>
      </c>
      <c r="Z219" s="64" t="str">
        <f t="shared" si="90"/>
        <v/>
      </c>
      <c r="AA219" s="72" t="str">
        <f t="shared" si="80"/>
        <v/>
      </c>
      <c r="AD219" s="64" t="str">
        <f t="shared" si="91"/>
        <v/>
      </c>
      <c r="AE219" s="72" t="str">
        <f t="shared" si="81"/>
        <v/>
      </c>
      <c r="AH219" s="64" t="str">
        <f t="shared" si="92"/>
        <v/>
      </c>
      <c r="AI219" s="72" t="str">
        <f t="shared" si="82"/>
        <v/>
      </c>
      <c r="AL219" s="64" t="str">
        <f t="shared" si="93"/>
        <v/>
      </c>
      <c r="AM219" s="72" t="str">
        <f t="shared" si="83"/>
        <v/>
      </c>
      <c r="AP219" s="64" t="str">
        <f t="shared" si="94"/>
        <v/>
      </c>
      <c r="AQ219" s="72" t="str">
        <f t="shared" si="84"/>
        <v/>
      </c>
    </row>
    <row r="220" spans="1:43" x14ac:dyDescent="0.25">
      <c r="A220" s="49">
        <v>39.392310120488318</v>
      </c>
      <c r="B220" s="50">
        <v>-6.9459271066772157</v>
      </c>
      <c r="C220" s="38">
        <f t="shared" si="74"/>
        <v>39.999999999999993</v>
      </c>
      <c r="F220" s="1" t="str">
        <f t="shared" si="85"/>
        <v/>
      </c>
      <c r="G220" s="1" t="str">
        <f t="shared" si="75"/>
        <v/>
      </c>
      <c r="J220" s="64" t="str">
        <f t="shared" si="86"/>
        <v/>
      </c>
      <c r="K220" s="72" t="str">
        <f t="shared" si="76"/>
        <v/>
      </c>
      <c r="N220" s="64" t="str">
        <f t="shared" si="87"/>
        <v/>
      </c>
      <c r="O220" s="72" t="str">
        <f t="shared" si="77"/>
        <v/>
      </c>
      <c r="R220" s="64" t="str">
        <f t="shared" si="88"/>
        <v/>
      </c>
      <c r="S220" s="72" t="str">
        <f t="shared" si="78"/>
        <v/>
      </c>
      <c r="V220" s="64" t="str">
        <f t="shared" si="89"/>
        <v/>
      </c>
      <c r="W220" s="72" t="str">
        <f t="shared" si="79"/>
        <v/>
      </c>
      <c r="Z220" s="64" t="str">
        <f t="shared" si="90"/>
        <v/>
      </c>
      <c r="AA220" s="72" t="str">
        <f t="shared" si="80"/>
        <v/>
      </c>
      <c r="AD220" s="64" t="str">
        <f t="shared" si="91"/>
        <v/>
      </c>
      <c r="AE220" s="72" t="str">
        <f t="shared" si="81"/>
        <v/>
      </c>
      <c r="AH220" s="64" t="str">
        <f t="shared" si="92"/>
        <v/>
      </c>
      <c r="AI220" s="72" t="str">
        <f t="shared" si="82"/>
        <v/>
      </c>
      <c r="AL220" s="64" t="str">
        <f t="shared" si="93"/>
        <v/>
      </c>
      <c r="AM220" s="72" t="str">
        <f t="shared" si="83"/>
        <v/>
      </c>
      <c r="AP220" s="64" t="str">
        <f t="shared" si="94"/>
        <v/>
      </c>
      <c r="AQ220" s="72" t="str">
        <f t="shared" si="84"/>
        <v/>
      </c>
    </row>
    <row r="221" spans="1:43" x14ac:dyDescent="0.25">
      <c r="A221" s="49">
        <v>50</v>
      </c>
      <c r="B221" s="50">
        <v>0</v>
      </c>
      <c r="C221" s="38">
        <f t="shared" si="74"/>
        <v>50</v>
      </c>
      <c r="F221" s="1" t="str">
        <f t="shared" si="85"/>
        <v/>
      </c>
      <c r="G221" s="1" t="str">
        <f t="shared" si="75"/>
        <v/>
      </c>
      <c r="J221" s="64" t="str">
        <f t="shared" si="86"/>
        <v/>
      </c>
      <c r="K221" s="72" t="str">
        <f t="shared" si="76"/>
        <v/>
      </c>
      <c r="N221" s="64" t="str">
        <f t="shared" si="87"/>
        <v/>
      </c>
      <c r="O221" s="72" t="str">
        <f t="shared" si="77"/>
        <v/>
      </c>
      <c r="R221" s="64" t="str">
        <f t="shared" si="88"/>
        <v/>
      </c>
      <c r="S221" s="72" t="str">
        <f t="shared" si="78"/>
        <v/>
      </c>
      <c r="V221" s="64" t="str">
        <f t="shared" si="89"/>
        <v/>
      </c>
      <c r="W221" s="72" t="str">
        <f t="shared" si="79"/>
        <v/>
      </c>
      <c r="Z221" s="64" t="str">
        <f t="shared" si="90"/>
        <v/>
      </c>
      <c r="AA221" s="72" t="str">
        <f t="shared" si="80"/>
        <v/>
      </c>
      <c r="AD221" s="64" t="str">
        <f t="shared" si="91"/>
        <v/>
      </c>
      <c r="AE221" s="72" t="str">
        <f t="shared" si="81"/>
        <v/>
      </c>
      <c r="AH221" s="64" t="str">
        <f t="shared" si="92"/>
        <v/>
      </c>
      <c r="AI221" s="72" t="str">
        <f t="shared" si="82"/>
        <v/>
      </c>
      <c r="AL221" s="64" t="str">
        <f t="shared" si="93"/>
        <v/>
      </c>
      <c r="AM221" s="72" t="str">
        <f t="shared" si="83"/>
        <v/>
      </c>
      <c r="AP221" s="64" t="str">
        <f t="shared" si="94"/>
        <v/>
      </c>
      <c r="AQ221" s="72" t="str">
        <f t="shared" si="84"/>
        <v/>
      </c>
    </row>
    <row r="222" spans="1:43" x14ac:dyDescent="0.25">
      <c r="A222" s="49">
        <v>49.240387650610401</v>
      </c>
      <c r="B222" s="50">
        <v>8.6824088833465165</v>
      </c>
      <c r="C222" s="38">
        <f t="shared" si="74"/>
        <v>50</v>
      </c>
      <c r="F222" s="1" t="str">
        <f t="shared" si="85"/>
        <v/>
      </c>
      <c r="G222" s="1" t="str">
        <f t="shared" si="75"/>
        <v/>
      </c>
      <c r="J222" s="64" t="str">
        <f t="shared" si="86"/>
        <v/>
      </c>
      <c r="K222" s="72" t="str">
        <f t="shared" si="76"/>
        <v/>
      </c>
      <c r="N222" s="64" t="str">
        <f t="shared" si="87"/>
        <v/>
      </c>
      <c r="O222" s="72" t="str">
        <f t="shared" si="77"/>
        <v/>
      </c>
      <c r="R222" s="64" t="str">
        <f t="shared" si="88"/>
        <v/>
      </c>
      <c r="S222" s="72" t="str">
        <f t="shared" si="78"/>
        <v/>
      </c>
      <c r="V222" s="64" t="str">
        <f t="shared" si="89"/>
        <v/>
      </c>
      <c r="W222" s="72" t="str">
        <f t="shared" si="79"/>
        <v/>
      </c>
      <c r="Z222" s="64" t="str">
        <f t="shared" si="90"/>
        <v/>
      </c>
      <c r="AA222" s="72" t="str">
        <f t="shared" si="80"/>
        <v/>
      </c>
      <c r="AD222" s="64" t="str">
        <f t="shared" si="91"/>
        <v/>
      </c>
      <c r="AE222" s="72" t="str">
        <f t="shared" si="81"/>
        <v/>
      </c>
      <c r="AH222" s="64" t="str">
        <f t="shared" si="92"/>
        <v/>
      </c>
      <c r="AI222" s="72" t="str">
        <f t="shared" si="82"/>
        <v/>
      </c>
      <c r="AL222" s="64" t="str">
        <f t="shared" si="93"/>
        <v/>
      </c>
      <c r="AM222" s="72" t="str">
        <f t="shared" si="83"/>
        <v/>
      </c>
      <c r="AP222" s="64" t="str">
        <f t="shared" si="94"/>
        <v/>
      </c>
      <c r="AQ222" s="72" t="str">
        <f t="shared" si="84"/>
        <v/>
      </c>
    </row>
    <row r="223" spans="1:43" x14ac:dyDescent="0.25">
      <c r="A223" s="49">
        <v>46.984631039295422</v>
      </c>
      <c r="B223" s="50">
        <v>17.101007166283434</v>
      </c>
      <c r="C223" s="38">
        <f t="shared" si="74"/>
        <v>50</v>
      </c>
      <c r="F223" s="1" t="str">
        <f t="shared" si="85"/>
        <v/>
      </c>
      <c r="G223" s="1" t="str">
        <f t="shared" si="75"/>
        <v/>
      </c>
      <c r="J223" s="64" t="str">
        <f t="shared" si="86"/>
        <v/>
      </c>
      <c r="K223" s="72" t="str">
        <f t="shared" si="76"/>
        <v/>
      </c>
      <c r="N223" s="64" t="str">
        <f t="shared" si="87"/>
        <v/>
      </c>
      <c r="O223" s="72" t="str">
        <f t="shared" si="77"/>
        <v/>
      </c>
      <c r="R223" s="64" t="str">
        <f t="shared" si="88"/>
        <v/>
      </c>
      <c r="S223" s="72" t="str">
        <f t="shared" si="78"/>
        <v/>
      </c>
      <c r="V223" s="64" t="str">
        <f t="shared" si="89"/>
        <v/>
      </c>
      <c r="W223" s="72" t="str">
        <f t="shared" si="79"/>
        <v/>
      </c>
      <c r="Z223" s="64" t="str">
        <f t="shared" si="90"/>
        <v/>
      </c>
      <c r="AA223" s="72" t="str">
        <f t="shared" si="80"/>
        <v/>
      </c>
      <c r="AD223" s="64" t="str">
        <f t="shared" si="91"/>
        <v/>
      </c>
      <c r="AE223" s="72" t="str">
        <f t="shared" si="81"/>
        <v/>
      </c>
      <c r="AH223" s="64" t="str">
        <f t="shared" si="92"/>
        <v/>
      </c>
      <c r="AI223" s="72" t="str">
        <f t="shared" si="82"/>
        <v/>
      </c>
      <c r="AL223" s="64" t="str">
        <f t="shared" si="93"/>
        <v/>
      </c>
      <c r="AM223" s="72" t="str">
        <f t="shared" si="83"/>
        <v/>
      </c>
      <c r="AP223" s="64" t="str">
        <f t="shared" si="94"/>
        <v/>
      </c>
      <c r="AQ223" s="72" t="str">
        <f t="shared" si="84"/>
        <v/>
      </c>
    </row>
    <row r="224" spans="1:43" x14ac:dyDescent="0.25">
      <c r="A224" s="49">
        <v>43.301270189221938</v>
      </c>
      <c r="B224" s="50">
        <v>24.999999999999996</v>
      </c>
      <c r="C224" s="38">
        <f t="shared" si="74"/>
        <v>50</v>
      </c>
      <c r="F224" s="1" t="str">
        <f t="shared" si="85"/>
        <v/>
      </c>
      <c r="G224" s="1" t="str">
        <f t="shared" si="75"/>
        <v/>
      </c>
      <c r="J224" s="64" t="str">
        <f t="shared" si="86"/>
        <v/>
      </c>
      <c r="K224" s="72" t="str">
        <f t="shared" si="76"/>
        <v/>
      </c>
      <c r="N224" s="64" t="str">
        <f t="shared" si="87"/>
        <v/>
      </c>
      <c r="O224" s="72" t="str">
        <f t="shared" si="77"/>
        <v/>
      </c>
      <c r="R224" s="64" t="str">
        <f t="shared" si="88"/>
        <v/>
      </c>
      <c r="S224" s="72" t="str">
        <f t="shared" si="78"/>
        <v/>
      </c>
      <c r="V224" s="64" t="str">
        <f t="shared" si="89"/>
        <v/>
      </c>
      <c r="W224" s="72" t="str">
        <f t="shared" si="79"/>
        <v/>
      </c>
      <c r="Z224" s="64" t="str">
        <f t="shared" si="90"/>
        <v/>
      </c>
      <c r="AA224" s="72" t="str">
        <f t="shared" si="80"/>
        <v/>
      </c>
      <c r="AD224" s="64" t="str">
        <f t="shared" si="91"/>
        <v/>
      </c>
      <c r="AE224" s="72" t="str">
        <f t="shared" si="81"/>
        <v/>
      </c>
      <c r="AH224" s="64" t="str">
        <f t="shared" si="92"/>
        <v/>
      </c>
      <c r="AI224" s="72" t="str">
        <f t="shared" si="82"/>
        <v/>
      </c>
      <c r="AL224" s="64" t="str">
        <f t="shared" si="93"/>
        <v/>
      </c>
      <c r="AM224" s="72" t="str">
        <f t="shared" si="83"/>
        <v/>
      </c>
      <c r="AP224" s="64" t="str">
        <f t="shared" si="94"/>
        <v/>
      </c>
      <c r="AQ224" s="72" t="str">
        <f t="shared" si="84"/>
        <v/>
      </c>
    </row>
    <row r="225" spans="1:43" x14ac:dyDescent="0.25">
      <c r="A225" s="49">
        <v>38.302222155948904</v>
      </c>
      <c r="B225" s="50">
        <v>32.139380484326963</v>
      </c>
      <c r="C225" s="38">
        <f t="shared" si="74"/>
        <v>50</v>
      </c>
      <c r="F225" s="1" t="str">
        <f t="shared" si="85"/>
        <v/>
      </c>
      <c r="G225" s="1" t="str">
        <f t="shared" si="75"/>
        <v/>
      </c>
      <c r="J225" s="64" t="str">
        <f t="shared" si="86"/>
        <v/>
      </c>
      <c r="K225" s="72" t="str">
        <f t="shared" si="76"/>
        <v/>
      </c>
      <c r="N225" s="64" t="str">
        <f t="shared" si="87"/>
        <v/>
      </c>
      <c r="O225" s="72" t="str">
        <f t="shared" si="77"/>
        <v/>
      </c>
      <c r="R225" s="64" t="str">
        <f t="shared" si="88"/>
        <v/>
      </c>
      <c r="S225" s="72" t="str">
        <f t="shared" si="78"/>
        <v/>
      </c>
      <c r="V225" s="64" t="str">
        <f t="shared" si="89"/>
        <v/>
      </c>
      <c r="W225" s="72" t="str">
        <f t="shared" si="79"/>
        <v/>
      </c>
      <c r="Z225" s="64" t="str">
        <f t="shared" si="90"/>
        <v/>
      </c>
      <c r="AA225" s="72" t="str">
        <f t="shared" si="80"/>
        <v/>
      </c>
      <c r="AD225" s="64" t="str">
        <f t="shared" si="91"/>
        <v/>
      </c>
      <c r="AE225" s="72" t="str">
        <f t="shared" si="81"/>
        <v/>
      </c>
      <c r="AH225" s="64" t="str">
        <f t="shared" si="92"/>
        <v/>
      </c>
      <c r="AI225" s="72" t="str">
        <f t="shared" si="82"/>
        <v/>
      </c>
      <c r="AL225" s="64" t="str">
        <f t="shared" si="93"/>
        <v/>
      </c>
      <c r="AM225" s="72" t="str">
        <f t="shared" si="83"/>
        <v/>
      </c>
      <c r="AP225" s="64" t="str">
        <f t="shared" si="94"/>
        <v/>
      </c>
      <c r="AQ225" s="72" t="str">
        <f t="shared" si="84"/>
        <v/>
      </c>
    </row>
    <row r="226" spans="1:43" x14ac:dyDescent="0.25">
      <c r="A226" s="49">
        <v>32.139380484326971</v>
      </c>
      <c r="B226" s="50">
        <v>38.302222155948904</v>
      </c>
      <c r="C226" s="38">
        <f t="shared" si="74"/>
        <v>50.000000000000007</v>
      </c>
      <c r="F226" s="1" t="str">
        <f t="shared" si="85"/>
        <v/>
      </c>
      <c r="G226" s="1" t="str">
        <f t="shared" si="75"/>
        <v/>
      </c>
      <c r="J226" s="64" t="str">
        <f t="shared" si="86"/>
        <v/>
      </c>
      <c r="K226" s="72" t="str">
        <f t="shared" si="76"/>
        <v/>
      </c>
      <c r="N226" s="64" t="str">
        <f t="shared" si="87"/>
        <v/>
      </c>
      <c r="O226" s="72" t="str">
        <f t="shared" si="77"/>
        <v/>
      </c>
      <c r="R226" s="64" t="str">
        <f t="shared" si="88"/>
        <v/>
      </c>
      <c r="S226" s="72" t="str">
        <f t="shared" si="78"/>
        <v/>
      </c>
      <c r="V226" s="64" t="str">
        <f t="shared" si="89"/>
        <v/>
      </c>
      <c r="W226" s="72" t="str">
        <f t="shared" si="79"/>
        <v/>
      </c>
      <c r="Z226" s="64" t="str">
        <f t="shared" si="90"/>
        <v/>
      </c>
      <c r="AA226" s="72" t="str">
        <f t="shared" si="80"/>
        <v/>
      </c>
      <c r="AD226" s="64" t="str">
        <f t="shared" si="91"/>
        <v/>
      </c>
      <c r="AE226" s="72" t="str">
        <f t="shared" si="81"/>
        <v/>
      </c>
      <c r="AH226" s="64" t="str">
        <f t="shared" si="92"/>
        <v/>
      </c>
      <c r="AI226" s="72" t="str">
        <f t="shared" si="82"/>
        <v/>
      </c>
      <c r="AL226" s="64" t="str">
        <f t="shared" si="93"/>
        <v/>
      </c>
      <c r="AM226" s="72" t="str">
        <f t="shared" si="83"/>
        <v/>
      </c>
      <c r="AP226" s="64" t="str">
        <f t="shared" si="94"/>
        <v/>
      </c>
      <c r="AQ226" s="72" t="str">
        <f t="shared" si="84"/>
        <v/>
      </c>
    </row>
    <row r="227" spans="1:43" x14ac:dyDescent="0.25">
      <c r="A227" s="49">
        <v>25.000000000000007</v>
      </c>
      <c r="B227" s="50">
        <v>43.301270189221931</v>
      </c>
      <c r="C227" s="38">
        <f t="shared" si="74"/>
        <v>50.000000000000007</v>
      </c>
      <c r="F227" s="1" t="str">
        <f t="shared" si="85"/>
        <v/>
      </c>
      <c r="G227" s="1" t="str">
        <f t="shared" si="75"/>
        <v/>
      </c>
      <c r="J227" s="64" t="str">
        <f t="shared" si="86"/>
        <v/>
      </c>
      <c r="K227" s="72" t="str">
        <f t="shared" si="76"/>
        <v/>
      </c>
      <c r="N227" s="64" t="str">
        <f t="shared" si="87"/>
        <v/>
      </c>
      <c r="O227" s="72" t="str">
        <f t="shared" si="77"/>
        <v/>
      </c>
      <c r="R227" s="64" t="str">
        <f t="shared" si="88"/>
        <v/>
      </c>
      <c r="S227" s="72" t="str">
        <f t="shared" si="78"/>
        <v/>
      </c>
      <c r="V227" s="64" t="str">
        <f t="shared" si="89"/>
        <v/>
      </c>
      <c r="W227" s="72" t="str">
        <f t="shared" si="79"/>
        <v/>
      </c>
      <c r="Z227" s="64" t="str">
        <f t="shared" si="90"/>
        <v/>
      </c>
      <c r="AA227" s="72" t="str">
        <f t="shared" si="80"/>
        <v/>
      </c>
      <c r="AD227" s="64" t="str">
        <f t="shared" si="91"/>
        <v/>
      </c>
      <c r="AE227" s="72" t="str">
        <f t="shared" si="81"/>
        <v/>
      </c>
      <c r="AH227" s="64" t="str">
        <f t="shared" si="92"/>
        <v/>
      </c>
      <c r="AI227" s="72" t="str">
        <f t="shared" si="82"/>
        <v/>
      </c>
      <c r="AL227" s="64" t="str">
        <f t="shared" si="93"/>
        <v/>
      </c>
      <c r="AM227" s="72" t="str">
        <f t="shared" si="83"/>
        <v/>
      </c>
      <c r="AP227" s="64" t="str">
        <f t="shared" si="94"/>
        <v/>
      </c>
      <c r="AQ227" s="72" t="str">
        <f t="shared" si="84"/>
        <v/>
      </c>
    </row>
    <row r="228" spans="1:43" x14ac:dyDescent="0.25">
      <c r="A228" s="49">
        <v>17.101007166283441</v>
      </c>
      <c r="B228" s="50">
        <v>46.984631039295415</v>
      </c>
      <c r="C228" s="38">
        <f t="shared" si="74"/>
        <v>50</v>
      </c>
      <c r="F228" s="1" t="str">
        <f t="shared" si="85"/>
        <v/>
      </c>
      <c r="G228" s="1" t="str">
        <f t="shared" si="75"/>
        <v/>
      </c>
      <c r="J228" s="64" t="str">
        <f t="shared" si="86"/>
        <v/>
      </c>
      <c r="K228" s="72" t="str">
        <f t="shared" si="76"/>
        <v/>
      </c>
      <c r="N228" s="64" t="str">
        <f t="shared" si="87"/>
        <v/>
      </c>
      <c r="O228" s="72" t="str">
        <f t="shared" si="77"/>
        <v/>
      </c>
      <c r="R228" s="64" t="str">
        <f t="shared" si="88"/>
        <v/>
      </c>
      <c r="S228" s="72" t="str">
        <f t="shared" si="78"/>
        <v/>
      </c>
      <c r="V228" s="64" t="str">
        <f t="shared" si="89"/>
        <v/>
      </c>
      <c r="W228" s="72" t="str">
        <f t="shared" si="79"/>
        <v/>
      </c>
      <c r="Z228" s="64" t="str">
        <f t="shared" si="90"/>
        <v/>
      </c>
      <c r="AA228" s="72" t="str">
        <f t="shared" si="80"/>
        <v/>
      </c>
      <c r="AD228" s="64" t="str">
        <f t="shared" si="91"/>
        <v/>
      </c>
      <c r="AE228" s="72" t="str">
        <f t="shared" si="81"/>
        <v/>
      </c>
      <c r="AH228" s="64" t="str">
        <f t="shared" si="92"/>
        <v/>
      </c>
      <c r="AI228" s="72" t="str">
        <f t="shared" si="82"/>
        <v/>
      </c>
      <c r="AL228" s="64" t="str">
        <f t="shared" si="93"/>
        <v/>
      </c>
      <c r="AM228" s="72" t="str">
        <f t="shared" si="83"/>
        <v/>
      </c>
      <c r="AP228" s="64" t="str">
        <f t="shared" si="94"/>
        <v/>
      </c>
      <c r="AQ228" s="72" t="str">
        <f t="shared" si="84"/>
        <v/>
      </c>
    </row>
    <row r="229" spans="1:43" x14ac:dyDescent="0.25">
      <c r="A229" s="49">
        <v>8.6824088833465201</v>
      </c>
      <c r="B229" s="50">
        <v>49.240387650610401</v>
      </c>
      <c r="C229" s="38">
        <f t="shared" si="74"/>
        <v>50</v>
      </c>
      <c r="F229" s="1" t="str">
        <f t="shared" si="85"/>
        <v/>
      </c>
      <c r="G229" s="1" t="str">
        <f t="shared" si="75"/>
        <v/>
      </c>
      <c r="J229" s="64" t="str">
        <f t="shared" si="86"/>
        <v/>
      </c>
      <c r="K229" s="72" t="str">
        <f t="shared" si="76"/>
        <v/>
      </c>
      <c r="N229" s="64" t="str">
        <f t="shared" si="87"/>
        <v/>
      </c>
      <c r="O229" s="72" t="str">
        <f t="shared" si="77"/>
        <v/>
      </c>
      <c r="R229" s="64" t="str">
        <f t="shared" si="88"/>
        <v/>
      </c>
      <c r="S229" s="72" t="str">
        <f t="shared" si="78"/>
        <v/>
      </c>
      <c r="V229" s="64" t="str">
        <f t="shared" si="89"/>
        <v/>
      </c>
      <c r="W229" s="72" t="str">
        <f t="shared" si="79"/>
        <v/>
      </c>
      <c r="Z229" s="64" t="str">
        <f t="shared" si="90"/>
        <v/>
      </c>
      <c r="AA229" s="72" t="str">
        <f t="shared" si="80"/>
        <v/>
      </c>
      <c r="AD229" s="64" t="str">
        <f t="shared" si="91"/>
        <v/>
      </c>
      <c r="AE229" s="72" t="str">
        <f t="shared" si="81"/>
        <v/>
      </c>
      <c r="AH229" s="64" t="str">
        <f t="shared" si="92"/>
        <v/>
      </c>
      <c r="AI229" s="72" t="str">
        <f t="shared" si="82"/>
        <v/>
      </c>
      <c r="AL229" s="64" t="str">
        <f t="shared" si="93"/>
        <v/>
      </c>
      <c r="AM229" s="72" t="str">
        <f t="shared" si="83"/>
        <v/>
      </c>
      <c r="AP229" s="64" t="str">
        <f t="shared" si="94"/>
        <v/>
      </c>
      <c r="AQ229" s="72" t="str">
        <f t="shared" si="84"/>
        <v/>
      </c>
    </row>
    <row r="230" spans="1:43" x14ac:dyDescent="0.25">
      <c r="A230" s="49">
        <v>3.06287113727155E-15</v>
      </c>
      <c r="B230" s="50">
        <v>50</v>
      </c>
      <c r="C230" s="38">
        <f t="shared" si="74"/>
        <v>50</v>
      </c>
      <c r="F230" s="1" t="str">
        <f t="shared" si="85"/>
        <v/>
      </c>
      <c r="G230" s="1" t="str">
        <f t="shared" si="75"/>
        <v/>
      </c>
      <c r="J230" s="64" t="str">
        <f t="shared" si="86"/>
        <v/>
      </c>
      <c r="K230" s="72" t="str">
        <f t="shared" si="76"/>
        <v/>
      </c>
      <c r="N230" s="64" t="str">
        <f t="shared" si="87"/>
        <v/>
      </c>
      <c r="O230" s="72" t="str">
        <f t="shared" si="77"/>
        <v/>
      </c>
      <c r="R230" s="64" t="str">
        <f t="shared" si="88"/>
        <v/>
      </c>
      <c r="S230" s="72" t="str">
        <f t="shared" si="78"/>
        <v/>
      </c>
      <c r="V230" s="64" t="str">
        <f t="shared" si="89"/>
        <v/>
      </c>
      <c r="W230" s="72" t="str">
        <f t="shared" si="79"/>
        <v/>
      </c>
      <c r="Z230" s="64" t="str">
        <f t="shared" si="90"/>
        <v/>
      </c>
      <c r="AA230" s="72" t="str">
        <f t="shared" si="80"/>
        <v/>
      </c>
      <c r="AD230" s="64" t="str">
        <f t="shared" si="91"/>
        <v/>
      </c>
      <c r="AE230" s="72" t="str">
        <f t="shared" si="81"/>
        <v/>
      </c>
      <c r="AH230" s="64" t="str">
        <f t="shared" si="92"/>
        <v/>
      </c>
      <c r="AI230" s="72" t="str">
        <f t="shared" si="82"/>
        <v/>
      </c>
      <c r="AL230" s="64" t="str">
        <f t="shared" si="93"/>
        <v/>
      </c>
      <c r="AM230" s="72" t="str">
        <f t="shared" si="83"/>
        <v/>
      </c>
      <c r="AP230" s="64" t="str">
        <f t="shared" si="94"/>
        <v/>
      </c>
      <c r="AQ230" s="72" t="str">
        <f t="shared" si="84"/>
        <v/>
      </c>
    </row>
    <row r="231" spans="1:43" x14ac:dyDescent="0.25">
      <c r="A231" s="49">
        <v>-8.6824088833465147</v>
      </c>
      <c r="B231" s="50">
        <v>49.240387650610401</v>
      </c>
      <c r="C231" s="38">
        <f t="shared" si="74"/>
        <v>50</v>
      </c>
      <c r="F231" s="1" t="str">
        <f t="shared" si="85"/>
        <v/>
      </c>
      <c r="G231" s="1" t="str">
        <f t="shared" si="75"/>
        <v/>
      </c>
      <c r="J231" s="64" t="str">
        <f t="shared" si="86"/>
        <v/>
      </c>
      <c r="K231" s="72" t="str">
        <f t="shared" si="76"/>
        <v/>
      </c>
      <c r="N231" s="64" t="str">
        <f t="shared" si="87"/>
        <v/>
      </c>
      <c r="O231" s="72" t="str">
        <f t="shared" si="77"/>
        <v/>
      </c>
      <c r="R231" s="64" t="str">
        <f t="shared" si="88"/>
        <v/>
      </c>
      <c r="S231" s="72" t="str">
        <f t="shared" si="78"/>
        <v/>
      </c>
      <c r="V231" s="64" t="str">
        <f t="shared" si="89"/>
        <v/>
      </c>
      <c r="W231" s="72" t="str">
        <f t="shared" si="79"/>
        <v/>
      </c>
      <c r="Z231" s="64" t="str">
        <f t="shared" si="90"/>
        <v/>
      </c>
      <c r="AA231" s="72" t="str">
        <f t="shared" si="80"/>
        <v/>
      </c>
      <c r="AD231" s="64" t="str">
        <f t="shared" si="91"/>
        <v/>
      </c>
      <c r="AE231" s="72" t="str">
        <f t="shared" si="81"/>
        <v/>
      </c>
      <c r="AH231" s="64" t="str">
        <f t="shared" si="92"/>
        <v/>
      </c>
      <c r="AI231" s="72" t="str">
        <f t="shared" si="82"/>
        <v/>
      </c>
      <c r="AL231" s="64" t="str">
        <f t="shared" si="93"/>
        <v/>
      </c>
      <c r="AM231" s="72" t="str">
        <f t="shared" si="83"/>
        <v/>
      </c>
      <c r="AP231" s="64" t="str">
        <f t="shared" si="94"/>
        <v/>
      </c>
      <c r="AQ231" s="72" t="str">
        <f t="shared" si="84"/>
        <v/>
      </c>
    </row>
    <row r="232" spans="1:43" x14ac:dyDescent="0.25">
      <c r="A232" s="49">
        <v>-17.101007166283434</v>
      </c>
      <c r="B232" s="50">
        <v>46.984631039295422</v>
      </c>
      <c r="C232" s="38">
        <f t="shared" si="74"/>
        <v>50</v>
      </c>
      <c r="F232" s="1" t="str">
        <f t="shared" si="85"/>
        <v/>
      </c>
      <c r="G232" s="1" t="str">
        <f t="shared" si="75"/>
        <v/>
      </c>
      <c r="J232" s="64" t="str">
        <f t="shared" si="86"/>
        <v/>
      </c>
      <c r="K232" s="72" t="str">
        <f t="shared" si="76"/>
        <v/>
      </c>
      <c r="N232" s="64" t="str">
        <f t="shared" si="87"/>
        <v/>
      </c>
      <c r="O232" s="72" t="str">
        <f t="shared" si="77"/>
        <v/>
      </c>
      <c r="R232" s="64" t="str">
        <f t="shared" si="88"/>
        <v/>
      </c>
      <c r="S232" s="72" t="str">
        <f t="shared" si="78"/>
        <v/>
      </c>
      <c r="V232" s="64" t="str">
        <f t="shared" si="89"/>
        <v/>
      </c>
      <c r="W232" s="72" t="str">
        <f t="shared" si="79"/>
        <v/>
      </c>
      <c r="Z232" s="64" t="str">
        <f t="shared" si="90"/>
        <v/>
      </c>
      <c r="AA232" s="72" t="str">
        <f t="shared" si="80"/>
        <v/>
      </c>
      <c r="AD232" s="64" t="str">
        <f t="shared" si="91"/>
        <v/>
      </c>
      <c r="AE232" s="72" t="str">
        <f t="shared" si="81"/>
        <v/>
      </c>
      <c r="AH232" s="64" t="str">
        <f t="shared" si="92"/>
        <v/>
      </c>
      <c r="AI232" s="72" t="str">
        <f t="shared" si="82"/>
        <v/>
      </c>
      <c r="AL232" s="64" t="str">
        <f t="shared" si="93"/>
        <v/>
      </c>
      <c r="AM232" s="72" t="str">
        <f t="shared" si="83"/>
        <v/>
      </c>
      <c r="AP232" s="64" t="str">
        <f t="shared" si="94"/>
        <v/>
      </c>
      <c r="AQ232" s="72" t="str">
        <f t="shared" si="84"/>
        <v/>
      </c>
    </row>
    <row r="233" spans="1:43" x14ac:dyDescent="0.25">
      <c r="A233" s="49">
        <v>-24.999999999999989</v>
      </c>
      <c r="B233" s="50">
        <v>43.301270189221938</v>
      </c>
      <c r="C233" s="38">
        <f t="shared" si="74"/>
        <v>50</v>
      </c>
      <c r="F233" s="1" t="str">
        <f t="shared" si="85"/>
        <v/>
      </c>
      <c r="G233" s="1" t="str">
        <f t="shared" si="75"/>
        <v/>
      </c>
      <c r="J233" s="64" t="str">
        <f t="shared" si="86"/>
        <v/>
      </c>
      <c r="K233" s="72" t="str">
        <f t="shared" si="76"/>
        <v/>
      </c>
      <c r="N233" s="64" t="str">
        <f t="shared" si="87"/>
        <v/>
      </c>
      <c r="O233" s="72" t="str">
        <f t="shared" si="77"/>
        <v/>
      </c>
      <c r="R233" s="64" t="str">
        <f t="shared" si="88"/>
        <v/>
      </c>
      <c r="S233" s="72" t="str">
        <f t="shared" si="78"/>
        <v/>
      </c>
      <c r="V233" s="64" t="str">
        <f t="shared" si="89"/>
        <v/>
      </c>
      <c r="W233" s="72" t="str">
        <f t="shared" si="79"/>
        <v/>
      </c>
      <c r="Z233" s="64" t="str">
        <f t="shared" si="90"/>
        <v/>
      </c>
      <c r="AA233" s="72" t="str">
        <f t="shared" si="80"/>
        <v/>
      </c>
      <c r="AD233" s="64" t="str">
        <f t="shared" si="91"/>
        <v/>
      </c>
      <c r="AE233" s="72" t="str">
        <f t="shared" si="81"/>
        <v/>
      </c>
      <c r="AH233" s="64" t="str">
        <f t="shared" si="92"/>
        <v/>
      </c>
      <c r="AI233" s="72" t="str">
        <f t="shared" si="82"/>
        <v/>
      </c>
      <c r="AL233" s="64" t="str">
        <f t="shared" si="93"/>
        <v/>
      </c>
      <c r="AM233" s="72" t="str">
        <f t="shared" si="83"/>
        <v/>
      </c>
      <c r="AP233" s="64" t="str">
        <f t="shared" si="94"/>
        <v/>
      </c>
      <c r="AQ233" s="72" t="str">
        <f t="shared" si="84"/>
        <v/>
      </c>
    </row>
    <row r="234" spans="1:43" x14ac:dyDescent="0.25">
      <c r="A234" s="49">
        <v>-32.139380484326971</v>
      </c>
      <c r="B234" s="50">
        <v>38.302222155948904</v>
      </c>
      <c r="C234" s="38">
        <f t="shared" si="74"/>
        <v>50.000000000000007</v>
      </c>
      <c r="F234" s="1" t="str">
        <f t="shared" si="85"/>
        <v/>
      </c>
      <c r="G234" s="1" t="str">
        <f t="shared" si="75"/>
        <v/>
      </c>
      <c r="J234" s="64" t="str">
        <f t="shared" si="86"/>
        <v/>
      </c>
      <c r="K234" s="72" t="str">
        <f t="shared" si="76"/>
        <v/>
      </c>
      <c r="N234" s="64" t="str">
        <f t="shared" si="87"/>
        <v/>
      </c>
      <c r="O234" s="72" t="str">
        <f t="shared" si="77"/>
        <v/>
      </c>
      <c r="R234" s="64" t="str">
        <f t="shared" si="88"/>
        <v/>
      </c>
      <c r="S234" s="72" t="str">
        <f t="shared" si="78"/>
        <v/>
      </c>
      <c r="V234" s="64" t="str">
        <f t="shared" si="89"/>
        <v/>
      </c>
      <c r="W234" s="72" t="str">
        <f t="shared" si="79"/>
        <v/>
      </c>
      <c r="Z234" s="64" t="str">
        <f t="shared" si="90"/>
        <v/>
      </c>
      <c r="AA234" s="72" t="str">
        <f t="shared" si="80"/>
        <v/>
      </c>
      <c r="AD234" s="64" t="str">
        <f t="shared" si="91"/>
        <v/>
      </c>
      <c r="AE234" s="72" t="str">
        <f t="shared" si="81"/>
        <v/>
      </c>
      <c r="AH234" s="64" t="str">
        <f t="shared" si="92"/>
        <v/>
      </c>
      <c r="AI234" s="72" t="str">
        <f t="shared" si="82"/>
        <v/>
      </c>
      <c r="AL234" s="64" t="str">
        <f t="shared" si="93"/>
        <v/>
      </c>
      <c r="AM234" s="72" t="str">
        <f t="shared" si="83"/>
        <v/>
      </c>
      <c r="AP234" s="64" t="str">
        <f t="shared" si="94"/>
        <v/>
      </c>
      <c r="AQ234" s="72" t="str">
        <f t="shared" si="84"/>
        <v/>
      </c>
    </row>
    <row r="235" spans="1:43" x14ac:dyDescent="0.25">
      <c r="A235" s="49">
        <v>-38.302222155948897</v>
      </c>
      <c r="B235" s="50">
        <v>32.139380484326971</v>
      </c>
      <c r="C235" s="38">
        <f t="shared" si="74"/>
        <v>50</v>
      </c>
      <c r="F235" s="1" t="str">
        <f t="shared" si="85"/>
        <v/>
      </c>
      <c r="G235" s="1" t="str">
        <f t="shared" si="75"/>
        <v/>
      </c>
      <c r="J235" s="64" t="str">
        <f t="shared" si="86"/>
        <v/>
      </c>
      <c r="K235" s="72" t="str">
        <f t="shared" si="76"/>
        <v/>
      </c>
      <c r="N235" s="64" t="str">
        <f t="shared" si="87"/>
        <v/>
      </c>
      <c r="O235" s="72" t="str">
        <f t="shared" si="77"/>
        <v/>
      </c>
      <c r="R235" s="64" t="str">
        <f t="shared" si="88"/>
        <v/>
      </c>
      <c r="S235" s="72" t="str">
        <f t="shared" si="78"/>
        <v/>
      </c>
      <c r="V235" s="64" t="str">
        <f t="shared" si="89"/>
        <v/>
      </c>
      <c r="W235" s="72" t="str">
        <f t="shared" si="79"/>
        <v/>
      </c>
      <c r="Z235" s="64" t="str">
        <f t="shared" si="90"/>
        <v/>
      </c>
      <c r="AA235" s="72" t="str">
        <f t="shared" si="80"/>
        <v/>
      </c>
      <c r="AD235" s="64" t="str">
        <f t="shared" si="91"/>
        <v/>
      </c>
      <c r="AE235" s="72" t="str">
        <f t="shared" si="81"/>
        <v/>
      </c>
      <c r="AH235" s="64" t="str">
        <f t="shared" si="92"/>
        <v/>
      </c>
      <c r="AI235" s="72" t="str">
        <f t="shared" si="82"/>
        <v/>
      </c>
      <c r="AL235" s="64" t="str">
        <f t="shared" si="93"/>
        <v/>
      </c>
      <c r="AM235" s="72" t="str">
        <f t="shared" si="83"/>
        <v/>
      </c>
      <c r="AP235" s="64" t="str">
        <f t="shared" si="94"/>
        <v/>
      </c>
      <c r="AQ235" s="72" t="str">
        <f t="shared" si="84"/>
        <v/>
      </c>
    </row>
    <row r="236" spans="1:43" x14ac:dyDescent="0.25">
      <c r="A236" s="49">
        <v>-43.301270189221938</v>
      </c>
      <c r="B236" s="50">
        <v>24.999999999999996</v>
      </c>
      <c r="C236" s="38">
        <f t="shared" si="74"/>
        <v>50</v>
      </c>
      <c r="F236" s="1" t="str">
        <f t="shared" si="85"/>
        <v/>
      </c>
      <c r="G236" s="1" t="str">
        <f t="shared" si="75"/>
        <v/>
      </c>
      <c r="J236" s="64" t="str">
        <f t="shared" si="86"/>
        <v/>
      </c>
      <c r="K236" s="72" t="str">
        <f t="shared" si="76"/>
        <v/>
      </c>
      <c r="N236" s="64" t="str">
        <f t="shared" si="87"/>
        <v/>
      </c>
      <c r="O236" s="72" t="str">
        <f t="shared" si="77"/>
        <v/>
      </c>
      <c r="R236" s="64" t="str">
        <f t="shared" si="88"/>
        <v/>
      </c>
      <c r="S236" s="72" t="str">
        <f t="shared" si="78"/>
        <v/>
      </c>
      <c r="V236" s="64" t="str">
        <f t="shared" si="89"/>
        <v/>
      </c>
      <c r="W236" s="72" t="str">
        <f t="shared" si="79"/>
        <v/>
      </c>
      <c r="Z236" s="64" t="str">
        <f t="shared" si="90"/>
        <v/>
      </c>
      <c r="AA236" s="72" t="str">
        <f t="shared" si="80"/>
        <v/>
      </c>
      <c r="AD236" s="64" t="str">
        <f t="shared" si="91"/>
        <v/>
      </c>
      <c r="AE236" s="72" t="str">
        <f t="shared" si="81"/>
        <v/>
      </c>
      <c r="AH236" s="64" t="str">
        <f t="shared" si="92"/>
        <v/>
      </c>
      <c r="AI236" s="72" t="str">
        <f t="shared" si="82"/>
        <v/>
      </c>
      <c r="AL236" s="64" t="str">
        <f t="shared" si="93"/>
        <v/>
      </c>
      <c r="AM236" s="72" t="str">
        <f t="shared" si="83"/>
        <v/>
      </c>
      <c r="AP236" s="64" t="str">
        <f t="shared" si="94"/>
        <v/>
      </c>
      <c r="AQ236" s="72" t="str">
        <f t="shared" si="84"/>
        <v/>
      </c>
    </row>
    <row r="237" spans="1:43" x14ac:dyDescent="0.25">
      <c r="A237" s="49">
        <v>-46.984631039295415</v>
      </c>
      <c r="B237" s="50">
        <v>17.101007166283445</v>
      </c>
      <c r="C237" s="38">
        <f t="shared" si="74"/>
        <v>50</v>
      </c>
      <c r="F237" s="1" t="str">
        <f t="shared" si="85"/>
        <v/>
      </c>
      <c r="G237" s="1" t="str">
        <f t="shared" si="75"/>
        <v/>
      </c>
      <c r="J237" s="64" t="str">
        <f t="shared" si="86"/>
        <v/>
      </c>
      <c r="K237" s="72" t="str">
        <f t="shared" si="76"/>
        <v/>
      </c>
      <c r="N237" s="64" t="str">
        <f t="shared" si="87"/>
        <v/>
      </c>
      <c r="O237" s="72" t="str">
        <f t="shared" si="77"/>
        <v/>
      </c>
      <c r="R237" s="64" t="str">
        <f t="shared" si="88"/>
        <v/>
      </c>
      <c r="S237" s="72" t="str">
        <f t="shared" si="78"/>
        <v/>
      </c>
      <c r="V237" s="64" t="str">
        <f t="shared" si="89"/>
        <v/>
      </c>
      <c r="W237" s="72" t="str">
        <f t="shared" si="79"/>
        <v/>
      </c>
      <c r="Z237" s="64" t="str">
        <f t="shared" si="90"/>
        <v/>
      </c>
      <c r="AA237" s="72" t="str">
        <f t="shared" si="80"/>
        <v/>
      </c>
      <c r="AD237" s="64" t="str">
        <f t="shared" si="91"/>
        <v/>
      </c>
      <c r="AE237" s="72" t="str">
        <f t="shared" si="81"/>
        <v/>
      </c>
      <c r="AH237" s="64" t="str">
        <f t="shared" si="92"/>
        <v/>
      </c>
      <c r="AI237" s="72" t="str">
        <f t="shared" si="82"/>
        <v/>
      </c>
      <c r="AL237" s="64" t="str">
        <f t="shared" si="93"/>
        <v/>
      </c>
      <c r="AM237" s="72" t="str">
        <f t="shared" si="83"/>
        <v/>
      </c>
      <c r="AP237" s="64" t="str">
        <f t="shared" si="94"/>
        <v/>
      </c>
      <c r="AQ237" s="72" t="str">
        <f t="shared" si="84"/>
        <v/>
      </c>
    </row>
    <row r="238" spans="1:43" x14ac:dyDescent="0.25">
      <c r="A238" s="49">
        <v>-49.240387650610401</v>
      </c>
      <c r="B238" s="50">
        <v>8.682408883346513</v>
      </c>
      <c r="C238" s="38">
        <f t="shared" si="74"/>
        <v>50</v>
      </c>
      <c r="F238" s="1" t="str">
        <f t="shared" si="85"/>
        <v/>
      </c>
      <c r="G238" s="1" t="str">
        <f t="shared" si="75"/>
        <v/>
      </c>
      <c r="J238" s="64" t="str">
        <f t="shared" si="86"/>
        <v/>
      </c>
      <c r="K238" s="72" t="str">
        <f t="shared" si="76"/>
        <v/>
      </c>
      <c r="N238" s="64" t="str">
        <f t="shared" si="87"/>
        <v/>
      </c>
      <c r="O238" s="72" t="str">
        <f t="shared" si="77"/>
        <v/>
      </c>
      <c r="R238" s="64" t="str">
        <f t="shared" si="88"/>
        <v/>
      </c>
      <c r="S238" s="72" t="str">
        <f t="shared" si="78"/>
        <v/>
      </c>
      <c r="V238" s="64" t="str">
        <f t="shared" si="89"/>
        <v/>
      </c>
      <c r="W238" s="72" t="str">
        <f t="shared" si="79"/>
        <v/>
      </c>
      <c r="Z238" s="64" t="str">
        <f t="shared" si="90"/>
        <v/>
      </c>
      <c r="AA238" s="72" t="str">
        <f t="shared" si="80"/>
        <v/>
      </c>
      <c r="AD238" s="64" t="str">
        <f t="shared" si="91"/>
        <v/>
      </c>
      <c r="AE238" s="72" t="str">
        <f t="shared" si="81"/>
        <v/>
      </c>
      <c r="AH238" s="64" t="str">
        <f t="shared" si="92"/>
        <v/>
      </c>
      <c r="AI238" s="72" t="str">
        <f t="shared" si="82"/>
        <v/>
      </c>
      <c r="AL238" s="64" t="str">
        <f t="shared" si="93"/>
        <v/>
      </c>
      <c r="AM238" s="72" t="str">
        <f t="shared" si="83"/>
        <v/>
      </c>
      <c r="AP238" s="64" t="str">
        <f t="shared" si="94"/>
        <v/>
      </c>
      <c r="AQ238" s="72" t="str">
        <f t="shared" si="84"/>
        <v/>
      </c>
    </row>
    <row r="239" spans="1:43" x14ac:dyDescent="0.25">
      <c r="A239" s="49">
        <v>-50</v>
      </c>
      <c r="B239" s="50">
        <v>6.1257422745431001E-15</v>
      </c>
      <c r="C239" s="38">
        <f t="shared" si="74"/>
        <v>50</v>
      </c>
      <c r="F239" s="1" t="str">
        <f t="shared" si="85"/>
        <v/>
      </c>
      <c r="G239" s="1" t="str">
        <f t="shared" si="75"/>
        <v/>
      </c>
      <c r="J239" s="64" t="str">
        <f t="shared" si="86"/>
        <v/>
      </c>
      <c r="K239" s="72" t="str">
        <f t="shared" si="76"/>
        <v/>
      </c>
      <c r="N239" s="64" t="str">
        <f t="shared" si="87"/>
        <v/>
      </c>
      <c r="O239" s="72" t="str">
        <f t="shared" si="77"/>
        <v/>
      </c>
      <c r="R239" s="64" t="str">
        <f t="shared" si="88"/>
        <v/>
      </c>
      <c r="S239" s="72" t="str">
        <f t="shared" si="78"/>
        <v/>
      </c>
      <c r="V239" s="64" t="str">
        <f t="shared" si="89"/>
        <v/>
      </c>
      <c r="W239" s="72" t="str">
        <f t="shared" si="79"/>
        <v/>
      </c>
      <c r="Z239" s="64" t="str">
        <f t="shared" si="90"/>
        <v/>
      </c>
      <c r="AA239" s="72" t="str">
        <f t="shared" si="80"/>
        <v/>
      </c>
      <c r="AD239" s="64" t="str">
        <f t="shared" si="91"/>
        <v/>
      </c>
      <c r="AE239" s="72" t="str">
        <f t="shared" si="81"/>
        <v/>
      </c>
      <c r="AH239" s="64" t="str">
        <f t="shared" si="92"/>
        <v/>
      </c>
      <c r="AI239" s="72" t="str">
        <f t="shared" si="82"/>
        <v/>
      </c>
      <c r="AL239" s="64" t="str">
        <f t="shared" si="93"/>
        <v/>
      </c>
      <c r="AM239" s="72" t="str">
        <f t="shared" si="83"/>
        <v/>
      </c>
      <c r="AP239" s="64" t="str">
        <f t="shared" si="94"/>
        <v/>
      </c>
      <c r="AQ239" s="72" t="str">
        <f t="shared" si="84"/>
        <v/>
      </c>
    </row>
    <row r="240" spans="1:43" x14ac:dyDescent="0.25">
      <c r="A240" s="49">
        <v>-49.240387650610401</v>
      </c>
      <c r="B240" s="50">
        <v>-8.6824088833465236</v>
      </c>
      <c r="C240" s="38">
        <f t="shared" si="74"/>
        <v>50</v>
      </c>
      <c r="F240" s="1" t="str">
        <f t="shared" si="85"/>
        <v/>
      </c>
      <c r="G240" s="1" t="str">
        <f t="shared" si="75"/>
        <v/>
      </c>
      <c r="J240" s="64" t="str">
        <f t="shared" si="86"/>
        <v/>
      </c>
      <c r="K240" s="72" t="str">
        <f t="shared" si="76"/>
        <v/>
      </c>
      <c r="N240" s="64" t="str">
        <f t="shared" si="87"/>
        <v/>
      </c>
      <c r="O240" s="72" t="str">
        <f t="shared" si="77"/>
        <v/>
      </c>
      <c r="R240" s="64" t="str">
        <f t="shared" si="88"/>
        <v/>
      </c>
      <c r="S240" s="72" t="str">
        <f t="shared" si="78"/>
        <v/>
      </c>
      <c r="V240" s="64" t="str">
        <f t="shared" si="89"/>
        <v/>
      </c>
      <c r="W240" s="72" t="str">
        <f t="shared" si="79"/>
        <v/>
      </c>
      <c r="Z240" s="64" t="str">
        <f t="shared" si="90"/>
        <v/>
      </c>
      <c r="AA240" s="72" t="str">
        <f t="shared" si="80"/>
        <v/>
      </c>
      <c r="AD240" s="64" t="str">
        <f t="shared" si="91"/>
        <v/>
      </c>
      <c r="AE240" s="72" t="str">
        <f t="shared" si="81"/>
        <v/>
      </c>
      <c r="AH240" s="64" t="str">
        <f t="shared" si="92"/>
        <v/>
      </c>
      <c r="AI240" s="72" t="str">
        <f t="shared" si="82"/>
        <v/>
      </c>
      <c r="AL240" s="64" t="str">
        <f t="shared" si="93"/>
        <v/>
      </c>
      <c r="AM240" s="72" t="str">
        <f t="shared" si="83"/>
        <v/>
      </c>
      <c r="AP240" s="64" t="str">
        <f t="shared" si="94"/>
        <v/>
      </c>
      <c r="AQ240" s="72" t="str">
        <f t="shared" si="84"/>
        <v/>
      </c>
    </row>
    <row r="241" spans="1:43" x14ac:dyDescent="0.25">
      <c r="A241" s="49">
        <v>-46.984631039295422</v>
      </c>
      <c r="B241" s="50">
        <v>-17.101007166283434</v>
      </c>
      <c r="C241" s="38">
        <f t="shared" si="74"/>
        <v>50</v>
      </c>
      <c r="F241" s="1" t="str">
        <f t="shared" si="85"/>
        <v/>
      </c>
      <c r="G241" s="1" t="str">
        <f t="shared" si="75"/>
        <v/>
      </c>
      <c r="J241" s="64" t="str">
        <f t="shared" si="86"/>
        <v/>
      </c>
      <c r="K241" s="72" t="str">
        <f t="shared" si="76"/>
        <v/>
      </c>
      <c r="N241" s="64" t="str">
        <f t="shared" si="87"/>
        <v/>
      </c>
      <c r="O241" s="72" t="str">
        <f t="shared" si="77"/>
        <v/>
      </c>
      <c r="R241" s="64" t="str">
        <f t="shared" si="88"/>
        <v/>
      </c>
      <c r="S241" s="72" t="str">
        <f t="shared" si="78"/>
        <v/>
      </c>
      <c r="V241" s="64" t="str">
        <f t="shared" si="89"/>
        <v/>
      </c>
      <c r="W241" s="72" t="str">
        <f t="shared" si="79"/>
        <v/>
      </c>
      <c r="Z241" s="64" t="str">
        <f t="shared" si="90"/>
        <v/>
      </c>
      <c r="AA241" s="72" t="str">
        <f t="shared" si="80"/>
        <v/>
      </c>
      <c r="AD241" s="64" t="str">
        <f t="shared" si="91"/>
        <v/>
      </c>
      <c r="AE241" s="72" t="str">
        <f t="shared" si="81"/>
        <v/>
      </c>
      <c r="AH241" s="64" t="str">
        <f t="shared" si="92"/>
        <v/>
      </c>
      <c r="AI241" s="72" t="str">
        <f t="shared" si="82"/>
        <v/>
      </c>
      <c r="AL241" s="64" t="str">
        <f t="shared" si="93"/>
        <v/>
      </c>
      <c r="AM241" s="72" t="str">
        <f t="shared" si="83"/>
        <v/>
      </c>
      <c r="AP241" s="64" t="str">
        <f t="shared" si="94"/>
        <v/>
      </c>
      <c r="AQ241" s="72" t="str">
        <f t="shared" si="84"/>
        <v/>
      </c>
    </row>
    <row r="242" spans="1:43" x14ac:dyDescent="0.25">
      <c r="A242" s="49">
        <v>-43.301270189221931</v>
      </c>
      <c r="B242" s="50">
        <v>-25.000000000000007</v>
      </c>
      <c r="C242" s="38">
        <f t="shared" si="74"/>
        <v>50.000000000000007</v>
      </c>
      <c r="F242" s="1" t="str">
        <f t="shared" si="85"/>
        <v/>
      </c>
      <c r="G242" s="1" t="str">
        <f t="shared" si="75"/>
        <v/>
      </c>
      <c r="J242" s="64" t="str">
        <f t="shared" si="86"/>
        <v/>
      </c>
      <c r="K242" s="72" t="str">
        <f t="shared" si="76"/>
        <v/>
      </c>
      <c r="N242" s="64" t="str">
        <f t="shared" si="87"/>
        <v/>
      </c>
      <c r="O242" s="72" t="str">
        <f t="shared" si="77"/>
        <v/>
      </c>
      <c r="R242" s="64" t="str">
        <f t="shared" si="88"/>
        <v/>
      </c>
      <c r="S242" s="72" t="str">
        <f t="shared" si="78"/>
        <v/>
      </c>
      <c r="V242" s="64" t="str">
        <f t="shared" si="89"/>
        <v/>
      </c>
      <c r="W242" s="72" t="str">
        <f t="shared" si="79"/>
        <v/>
      </c>
      <c r="Z242" s="64" t="str">
        <f t="shared" si="90"/>
        <v/>
      </c>
      <c r="AA242" s="72" t="str">
        <f t="shared" si="80"/>
        <v/>
      </c>
      <c r="AD242" s="64" t="str">
        <f t="shared" si="91"/>
        <v/>
      </c>
      <c r="AE242" s="72" t="str">
        <f t="shared" si="81"/>
        <v/>
      </c>
      <c r="AH242" s="64" t="str">
        <f t="shared" si="92"/>
        <v/>
      </c>
      <c r="AI242" s="72" t="str">
        <f t="shared" si="82"/>
        <v/>
      </c>
      <c r="AL242" s="64" t="str">
        <f t="shared" si="93"/>
        <v/>
      </c>
      <c r="AM242" s="72" t="str">
        <f t="shared" si="83"/>
        <v/>
      </c>
      <c r="AP242" s="64" t="str">
        <f t="shared" si="94"/>
        <v/>
      </c>
      <c r="AQ242" s="72" t="str">
        <f t="shared" si="84"/>
        <v/>
      </c>
    </row>
    <row r="243" spans="1:43" x14ac:dyDescent="0.25">
      <c r="A243" s="49">
        <v>-38.302222155948904</v>
      </c>
      <c r="B243" s="50">
        <v>-32.139380484326963</v>
      </c>
      <c r="C243" s="38">
        <f t="shared" si="74"/>
        <v>50</v>
      </c>
      <c r="F243" s="1" t="str">
        <f t="shared" si="85"/>
        <v/>
      </c>
      <c r="G243" s="1" t="str">
        <f t="shared" si="75"/>
        <v/>
      </c>
      <c r="J243" s="64" t="str">
        <f t="shared" si="86"/>
        <v/>
      </c>
      <c r="K243" s="72" t="str">
        <f t="shared" si="76"/>
        <v/>
      </c>
      <c r="N243" s="64" t="str">
        <f t="shared" si="87"/>
        <v/>
      </c>
      <c r="O243" s="72" t="str">
        <f t="shared" si="77"/>
        <v/>
      </c>
      <c r="R243" s="64" t="str">
        <f t="shared" si="88"/>
        <v/>
      </c>
      <c r="S243" s="72" t="str">
        <f t="shared" si="78"/>
        <v/>
      </c>
      <c r="V243" s="64" t="str">
        <f t="shared" si="89"/>
        <v/>
      </c>
      <c r="W243" s="72" t="str">
        <f t="shared" si="79"/>
        <v/>
      </c>
      <c r="Z243" s="64" t="str">
        <f t="shared" si="90"/>
        <v/>
      </c>
      <c r="AA243" s="72" t="str">
        <f t="shared" si="80"/>
        <v/>
      </c>
      <c r="AD243" s="64" t="str">
        <f t="shared" si="91"/>
        <v/>
      </c>
      <c r="AE243" s="72" t="str">
        <f t="shared" si="81"/>
        <v/>
      </c>
      <c r="AH243" s="64" t="str">
        <f t="shared" si="92"/>
        <v/>
      </c>
      <c r="AI243" s="72" t="str">
        <f t="shared" si="82"/>
        <v/>
      </c>
      <c r="AL243" s="64" t="str">
        <f t="shared" si="93"/>
        <v/>
      </c>
      <c r="AM243" s="72" t="str">
        <f t="shared" si="83"/>
        <v/>
      </c>
      <c r="AP243" s="64" t="str">
        <f t="shared" si="94"/>
        <v/>
      </c>
      <c r="AQ243" s="72" t="str">
        <f t="shared" si="84"/>
        <v/>
      </c>
    </row>
    <row r="244" spans="1:43" x14ac:dyDescent="0.25">
      <c r="A244" s="49">
        <v>-32.139380484326971</v>
      </c>
      <c r="B244" s="50">
        <v>-38.302222155948897</v>
      </c>
      <c r="C244" s="38">
        <f t="shared" si="74"/>
        <v>50</v>
      </c>
      <c r="F244" s="1" t="str">
        <f t="shared" si="85"/>
        <v/>
      </c>
      <c r="G244" s="1" t="str">
        <f t="shared" si="75"/>
        <v/>
      </c>
      <c r="J244" s="64" t="str">
        <f t="shared" si="86"/>
        <v/>
      </c>
      <c r="K244" s="72" t="str">
        <f t="shared" si="76"/>
        <v/>
      </c>
      <c r="N244" s="64" t="str">
        <f t="shared" si="87"/>
        <v/>
      </c>
      <c r="O244" s="72" t="str">
        <f t="shared" si="77"/>
        <v/>
      </c>
      <c r="R244" s="64" t="str">
        <f t="shared" si="88"/>
        <v/>
      </c>
      <c r="S244" s="72" t="str">
        <f t="shared" si="78"/>
        <v/>
      </c>
      <c r="V244" s="64" t="str">
        <f t="shared" si="89"/>
        <v/>
      </c>
      <c r="W244" s="72" t="str">
        <f t="shared" si="79"/>
        <v/>
      </c>
      <c r="Z244" s="64" t="str">
        <f t="shared" si="90"/>
        <v/>
      </c>
      <c r="AA244" s="72" t="str">
        <f t="shared" si="80"/>
        <v/>
      </c>
      <c r="AD244" s="64" t="str">
        <f t="shared" si="91"/>
        <v/>
      </c>
      <c r="AE244" s="72" t="str">
        <f t="shared" si="81"/>
        <v/>
      </c>
      <c r="AH244" s="64" t="str">
        <f t="shared" si="92"/>
        <v/>
      </c>
      <c r="AI244" s="72" t="str">
        <f t="shared" si="82"/>
        <v/>
      </c>
      <c r="AL244" s="64" t="str">
        <f t="shared" si="93"/>
        <v/>
      </c>
      <c r="AM244" s="72" t="str">
        <f t="shared" si="83"/>
        <v/>
      </c>
      <c r="AP244" s="64" t="str">
        <f t="shared" si="94"/>
        <v/>
      </c>
      <c r="AQ244" s="72" t="str">
        <f t="shared" si="84"/>
        <v/>
      </c>
    </row>
    <row r="245" spans="1:43" x14ac:dyDescent="0.25">
      <c r="A245" s="49">
        <v>-25.000000000000021</v>
      </c>
      <c r="B245" s="50">
        <v>-43.301270189221917</v>
      </c>
      <c r="C245" s="38">
        <f t="shared" si="74"/>
        <v>49.999999999999993</v>
      </c>
      <c r="F245" s="1" t="str">
        <f t="shared" si="85"/>
        <v/>
      </c>
      <c r="G245" s="1" t="str">
        <f t="shared" si="75"/>
        <v/>
      </c>
      <c r="J245" s="64" t="str">
        <f t="shared" si="86"/>
        <v/>
      </c>
      <c r="K245" s="72" t="str">
        <f t="shared" si="76"/>
        <v/>
      </c>
      <c r="N245" s="64" t="str">
        <f t="shared" si="87"/>
        <v/>
      </c>
      <c r="O245" s="72" t="str">
        <f t="shared" si="77"/>
        <v/>
      </c>
      <c r="R245" s="64" t="str">
        <f t="shared" si="88"/>
        <v/>
      </c>
      <c r="S245" s="72" t="str">
        <f t="shared" si="78"/>
        <v/>
      </c>
      <c r="V245" s="64" t="str">
        <f t="shared" si="89"/>
        <v/>
      </c>
      <c r="W245" s="72" t="str">
        <f t="shared" si="79"/>
        <v/>
      </c>
      <c r="Z245" s="64" t="str">
        <f t="shared" si="90"/>
        <v/>
      </c>
      <c r="AA245" s="72" t="str">
        <f t="shared" si="80"/>
        <v/>
      </c>
      <c r="AD245" s="64" t="str">
        <f t="shared" si="91"/>
        <v/>
      </c>
      <c r="AE245" s="72" t="str">
        <f t="shared" si="81"/>
        <v/>
      </c>
      <c r="AH245" s="64" t="str">
        <f t="shared" si="92"/>
        <v/>
      </c>
      <c r="AI245" s="72" t="str">
        <f t="shared" si="82"/>
        <v/>
      </c>
      <c r="AL245" s="64" t="str">
        <f t="shared" si="93"/>
        <v/>
      </c>
      <c r="AM245" s="72" t="str">
        <f t="shared" si="83"/>
        <v/>
      </c>
      <c r="AP245" s="64" t="str">
        <f t="shared" si="94"/>
        <v/>
      </c>
      <c r="AQ245" s="72" t="str">
        <f t="shared" si="84"/>
        <v/>
      </c>
    </row>
    <row r="246" spans="1:43" x14ac:dyDescent="0.25">
      <c r="A246" s="49">
        <v>-17.101007166283427</v>
      </c>
      <c r="B246" s="50">
        <v>-46.984631039295422</v>
      </c>
      <c r="C246" s="38">
        <f t="shared" si="74"/>
        <v>50</v>
      </c>
      <c r="F246" s="1" t="str">
        <f t="shared" si="85"/>
        <v/>
      </c>
      <c r="G246" s="1" t="str">
        <f t="shared" si="75"/>
        <v/>
      </c>
      <c r="J246" s="64" t="str">
        <f t="shared" si="86"/>
        <v/>
      </c>
      <c r="K246" s="72" t="str">
        <f t="shared" si="76"/>
        <v/>
      </c>
      <c r="N246" s="64" t="str">
        <f t="shared" si="87"/>
        <v/>
      </c>
      <c r="O246" s="72" t="str">
        <f t="shared" si="77"/>
        <v/>
      </c>
      <c r="R246" s="64" t="str">
        <f t="shared" si="88"/>
        <v/>
      </c>
      <c r="S246" s="72" t="str">
        <f t="shared" si="78"/>
        <v/>
      </c>
      <c r="V246" s="64" t="str">
        <f t="shared" si="89"/>
        <v/>
      </c>
      <c r="W246" s="72" t="str">
        <f t="shared" si="79"/>
        <v/>
      </c>
      <c r="Z246" s="64" t="str">
        <f t="shared" si="90"/>
        <v/>
      </c>
      <c r="AA246" s="72" t="str">
        <f t="shared" si="80"/>
        <v/>
      </c>
      <c r="AD246" s="64" t="str">
        <f t="shared" si="91"/>
        <v/>
      </c>
      <c r="AE246" s="72" t="str">
        <f t="shared" si="81"/>
        <v/>
      </c>
      <c r="AH246" s="64" t="str">
        <f t="shared" si="92"/>
        <v/>
      </c>
      <c r="AI246" s="72" t="str">
        <f t="shared" si="82"/>
        <v/>
      </c>
      <c r="AL246" s="64" t="str">
        <f t="shared" si="93"/>
        <v/>
      </c>
      <c r="AM246" s="72" t="str">
        <f t="shared" si="83"/>
        <v/>
      </c>
      <c r="AP246" s="64" t="str">
        <f t="shared" si="94"/>
        <v/>
      </c>
      <c r="AQ246" s="72" t="str">
        <f t="shared" si="84"/>
        <v/>
      </c>
    </row>
    <row r="247" spans="1:43" x14ac:dyDescent="0.25">
      <c r="A247" s="49">
        <v>-8.6824088833465165</v>
      </c>
      <c r="B247" s="50">
        <v>-49.240387650610401</v>
      </c>
      <c r="C247" s="38">
        <f t="shared" si="74"/>
        <v>50</v>
      </c>
      <c r="F247" s="1" t="str">
        <f t="shared" si="85"/>
        <v/>
      </c>
      <c r="G247" s="1" t="str">
        <f t="shared" si="75"/>
        <v/>
      </c>
      <c r="J247" s="64" t="str">
        <f t="shared" si="86"/>
        <v/>
      </c>
      <c r="K247" s="72" t="str">
        <f t="shared" si="76"/>
        <v/>
      </c>
      <c r="N247" s="64" t="str">
        <f t="shared" si="87"/>
        <v/>
      </c>
      <c r="O247" s="72" t="str">
        <f t="shared" si="77"/>
        <v/>
      </c>
      <c r="R247" s="64" t="str">
        <f t="shared" si="88"/>
        <v/>
      </c>
      <c r="S247" s="72" t="str">
        <f t="shared" si="78"/>
        <v/>
      </c>
      <c r="V247" s="64" t="str">
        <f t="shared" si="89"/>
        <v/>
      </c>
      <c r="W247" s="72" t="str">
        <f t="shared" si="79"/>
        <v/>
      </c>
      <c r="Z247" s="64" t="str">
        <f t="shared" si="90"/>
        <v/>
      </c>
      <c r="AA247" s="72" t="str">
        <f t="shared" si="80"/>
        <v/>
      </c>
      <c r="AD247" s="64" t="str">
        <f t="shared" si="91"/>
        <v/>
      </c>
      <c r="AE247" s="72" t="str">
        <f t="shared" si="81"/>
        <v/>
      </c>
      <c r="AH247" s="64" t="str">
        <f t="shared" si="92"/>
        <v/>
      </c>
      <c r="AI247" s="72" t="str">
        <f t="shared" si="82"/>
        <v/>
      </c>
      <c r="AL247" s="64" t="str">
        <f t="shared" si="93"/>
        <v/>
      </c>
      <c r="AM247" s="72" t="str">
        <f t="shared" si="83"/>
        <v/>
      </c>
      <c r="AP247" s="64" t="str">
        <f t="shared" si="94"/>
        <v/>
      </c>
      <c r="AQ247" s="72" t="str">
        <f t="shared" si="84"/>
        <v/>
      </c>
    </row>
    <row r="248" spans="1:43" x14ac:dyDescent="0.25">
      <c r="A248" s="49">
        <v>-9.1886134118146501E-15</v>
      </c>
      <c r="B248" s="50">
        <v>-50</v>
      </c>
      <c r="C248" s="38">
        <f t="shared" si="74"/>
        <v>50</v>
      </c>
      <c r="F248" s="1" t="str">
        <f t="shared" si="85"/>
        <v/>
      </c>
      <c r="G248" s="1" t="str">
        <f t="shared" si="75"/>
        <v/>
      </c>
      <c r="J248" s="64" t="str">
        <f t="shared" si="86"/>
        <v/>
      </c>
      <c r="K248" s="72" t="str">
        <f t="shared" si="76"/>
        <v/>
      </c>
      <c r="N248" s="64" t="str">
        <f t="shared" si="87"/>
        <v/>
      </c>
      <c r="O248" s="72" t="str">
        <f t="shared" si="77"/>
        <v/>
      </c>
      <c r="R248" s="64" t="str">
        <f t="shared" si="88"/>
        <v/>
      </c>
      <c r="S248" s="72" t="str">
        <f t="shared" si="78"/>
        <v/>
      </c>
      <c r="V248" s="64" t="str">
        <f t="shared" si="89"/>
        <v/>
      </c>
      <c r="W248" s="72" t="str">
        <f t="shared" si="79"/>
        <v/>
      </c>
      <c r="Z248" s="64" t="str">
        <f t="shared" si="90"/>
        <v/>
      </c>
      <c r="AA248" s="72" t="str">
        <f t="shared" si="80"/>
        <v/>
      </c>
      <c r="AD248" s="64" t="str">
        <f t="shared" si="91"/>
        <v/>
      </c>
      <c r="AE248" s="72" t="str">
        <f t="shared" si="81"/>
        <v/>
      </c>
      <c r="AH248" s="64" t="str">
        <f t="shared" si="92"/>
        <v/>
      </c>
      <c r="AI248" s="72" t="str">
        <f t="shared" si="82"/>
        <v/>
      </c>
      <c r="AL248" s="64" t="str">
        <f t="shared" si="93"/>
        <v/>
      </c>
      <c r="AM248" s="72" t="str">
        <f t="shared" si="83"/>
        <v/>
      </c>
      <c r="AP248" s="64" t="str">
        <f t="shared" si="94"/>
        <v/>
      </c>
      <c r="AQ248" s="72" t="str">
        <f t="shared" si="84"/>
        <v/>
      </c>
    </row>
    <row r="249" spans="1:43" x14ac:dyDescent="0.25">
      <c r="A249" s="49">
        <v>8.6824088833464987</v>
      </c>
      <c r="B249" s="50">
        <v>-49.240387650610408</v>
      </c>
      <c r="C249" s="38">
        <f t="shared" si="74"/>
        <v>50</v>
      </c>
      <c r="F249" s="1" t="str">
        <f t="shared" si="85"/>
        <v/>
      </c>
      <c r="G249" s="1" t="str">
        <f t="shared" si="75"/>
        <v/>
      </c>
      <c r="J249" s="64" t="str">
        <f t="shared" si="86"/>
        <v/>
      </c>
      <c r="K249" s="72" t="str">
        <f t="shared" si="76"/>
        <v/>
      </c>
      <c r="N249" s="64" t="str">
        <f t="shared" si="87"/>
        <v/>
      </c>
      <c r="O249" s="72" t="str">
        <f t="shared" si="77"/>
        <v/>
      </c>
      <c r="R249" s="64" t="str">
        <f t="shared" si="88"/>
        <v/>
      </c>
      <c r="S249" s="72" t="str">
        <f t="shared" si="78"/>
        <v/>
      </c>
      <c r="V249" s="64" t="str">
        <f t="shared" si="89"/>
        <v/>
      </c>
      <c r="W249" s="72" t="str">
        <f t="shared" si="79"/>
        <v/>
      </c>
      <c r="Z249" s="64" t="str">
        <f t="shared" si="90"/>
        <v/>
      </c>
      <c r="AA249" s="72" t="str">
        <f t="shared" si="80"/>
        <v/>
      </c>
      <c r="AD249" s="64" t="str">
        <f t="shared" si="91"/>
        <v/>
      </c>
      <c r="AE249" s="72" t="str">
        <f t="shared" si="81"/>
        <v/>
      </c>
      <c r="AH249" s="64" t="str">
        <f t="shared" si="92"/>
        <v/>
      </c>
      <c r="AI249" s="72" t="str">
        <f t="shared" si="82"/>
        <v/>
      </c>
      <c r="AL249" s="64" t="str">
        <f t="shared" si="93"/>
        <v/>
      </c>
      <c r="AM249" s="72" t="str">
        <f t="shared" si="83"/>
        <v/>
      </c>
      <c r="AP249" s="64" t="str">
        <f t="shared" si="94"/>
        <v/>
      </c>
      <c r="AQ249" s="72" t="str">
        <f t="shared" si="84"/>
        <v/>
      </c>
    </row>
    <row r="250" spans="1:43" x14ac:dyDescent="0.25">
      <c r="A250" s="49">
        <v>17.101007166283448</v>
      </c>
      <c r="B250" s="50">
        <v>-46.984631039295415</v>
      </c>
      <c r="C250" s="38">
        <f t="shared" si="74"/>
        <v>50</v>
      </c>
      <c r="F250" s="1" t="str">
        <f t="shared" si="85"/>
        <v/>
      </c>
      <c r="G250" s="1" t="str">
        <f t="shared" si="75"/>
        <v/>
      </c>
      <c r="J250" s="64" t="str">
        <f t="shared" si="86"/>
        <v/>
      </c>
      <c r="K250" s="72" t="str">
        <f t="shared" si="76"/>
        <v/>
      </c>
      <c r="N250" s="64" t="str">
        <f t="shared" si="87"/>
        <v/>
      </c>
      <c r="O250" s="72" t="str">
        <f t="shared" si="77"/>
        <v/>
      </c>
      <c r="R250" s="64" t="str">
        <f t="shared" si="88"/>
        <v/>
      </c>
      <c r="S250" s="72" t="str">
        <f t="shared" si="78"/>
        <v/>
      </c>
      <c r="V250" s="64" t="str">
        <f t="shared" si="89"/>
        <v/>
      </c>
      <c r="W250" s="72" t="str">
        <f t="shared" si="79"/>
        <v/>
      </c>
      <c r="Z250" s="64" t="str">
        <f t="shared" si="90"/>
        <v/>
      </c>
      <c r="AA250" s="72" t="str">
        <f t="shared" si="80"/>
        <v/>
      </c>
      <c r="AD250" s="64" t="str">
        <f t="shared" si="91"/>
        <v/>
      </c>
      <c r="AE250" s="72" t="str">
        <f t="shared" si="81"/>
        <v/>
      </c>
      <c r="AH250" s="64" t="str">
        <f t="shared" si="92"/>
        <v/>
      </c>
      <c r="AI250" s="72" t="str">
        <f t="shared" si="82"/>
        <v/>
      </c>
      <c r="AL250" s="64" t="str">
        <f t="shared" si="93"/>
        <v/>
      </c>
      <c r="AM250" s="72" t="str">
        <f t="shared" si="83"/>
        <v/>
      </c>
      <c r="AP250" s="64" t="str">
        <f t="shared" si="94"/>
        <v/>
      </c>
      <c r="AQ250" s="72" t="str">
        <f t="shared" si="84"/>
        <v/>
      </c>
    </row>
    <row r="251" spans="1:43" x14ac:dyDescent="0.25">
      <c r="A251" s="49">
        <v>25.000000000000007</v>
      </c>
      <c r="B251" s="50">
        <v>-43.301270189221931</v>
      </c>
      <c r="C251" s="38">
        <f t="shared" si="74"/>
        <v>50.000000000000007</v>
      </c>
      <c r="F251" s="1" t="str">
        <f t="shared" si="85"/>
        <v/>
      </c>
      <c r="G251" s="1" t="str">
        <f t="shared" si="75"/>
        <v/>
      </c>
      <c r="J251" s="64" t="str">
        <f t="shared" si="86"/>
        <v/>
      </c>
      <c r="K251" s="72" t="str">
        <f t="shared" si="76"/>
        <v/>
      </c>
      <c r="N251" s="64" t="str">
        <f t="shared" si="87"/>
        <v/>
      </c>
      <c r="O251" s="72" t="str">
        <f t="shared" si="77"/>
        <v/>
      </c>
      <c r="R251" s="64" t="str">
        <f t="shared" si="88"/>
        <v/>
      </c>
      <c r="S251" s="72" t="str">
        <f t="shared" si="78"/>
        <v/>
      </c>
      <c r="V251" s="64" t="str">
        <f t="shared" si="89"/>
        <v/>
      </c>
      <c r="W251" s="72" t="str">
        <f t="shared" si="79"/>
        <v/>
      </c>
      <c r="Z251" s="64" t="str">
        <f t="shared" si="90"/>
        <v/>
      </c>
      <c r="AA251" s="72" t="str">
        <f t="shared" si="80"/>
        <v/>
      </c>
      <c r="AD251" s="64" t="str">
        <f t="shared" si="91"/>
        <v/>
      </c>
      <c r="AE251" s="72" t="str">
        <f t="shared" si="81"/>
        <v/>
      </c>
      <c r="AH251" s="64" t="str">
        <f t="shared" si="92"/>
        <v/>
      </c>
      <c r="AI251" s="72" t="str">
        <f t="shared" si="82"/>
        <v/>
      </c>
      <c r="AL251" s="64" t="str">
        <f t="shared" si="93"/>
        <v/>
      </c>
      <c r="AM251" s="72" t="str">
        <f t="shared" si="83"/>
        <v/>
      </c>
      <c r="AP251" s="64" t="str">
        <f t="shared" si="94"/>
        <v/>
      </c>
      <c r="AQ251" s="72" t="str">
        <f t="shared" si="84"/>
        <v/>
      </c>
    </row>
    <row r="252" spans="1:43" x14ac:dyDescent="0.25">
      <c r="A252" s="49">
        <v>32.139380484326963</v>
      </c>
      <c r="B252" s="50">
        <v>-38.302222155948904</v>
      </c>
      <c r="C252" s="38">
        <f t="shared" ref="C252:C315" si="95">(A252^2+B252^2)^(1/2)</f>
        <v>50</v>
      </c>
      <c r="F252" s="1" t="str">
        <f t="shared" si="85"/>
        <v/>
      </c>
      <c r="G252" s="1" t="str">
        <f t="shared" ref="G252:G315" si="96">IFERROR(IF(G$16="","",F252/(G$16/60)),"")</f>
        <v/>
      </c>
      <c r="J252" s="64" t="str">
        <f t="shared" si="86"/>
        <v/>
      </c>
      <c r="K252" s="72" t="str">
        <f t="shared" ref="K252:K315" si="97">IFERROR(IF(K$16="","",J252/(K$16/60)),"")</f>
        <v/>
      </c>
      <c r="N252" s="64" t="str">
        <f t="shared" si="87"/>
        <v/>
      </c>
      <c r="O252" s="72" t="str">
        <f t="shared" ref="O252:O315" si="98">IFERROR(IF(O$16="","",N252/(O$16/60)),"")</f>
        <v/>
      </c>
      <c r="R252" s="64" t="str">
        <f t="shared" si="88"/>
        <v/>
      </c>
      <c r="S252" s="72" t="str">
        <f t="shared" ref="S252:S315" si="99">IFERROR(IF(S$16="","",R252/(S$16/60)),"")</f>
        <v/>
      </c>
      <c r="V252" s="64" t="str">
        <f t="shared" si="89"/>
        <v/>
      </c>
      <c r="W252" s="72" t="str">
        <f t="shared" ref="W252:W315" si="100">IFERROR(IF(W$16="","",V252/(W$16/60)),"")</f>
        <v/>
      </c>
      <c r="Z252" s="64" t="str">
        <f t="shared" si="90"/>
        <v/>
      </c>
      <c r="AA252" s="72" t="str">
        <f t="shared" ref="AA252:AA315" si="101">IFERROR(IF(AA$16="","",Z252/(AA$16/60)),"")</f>
        <v/>
      </c>
      <c r="AD252" s="64" t="str">
        <f t="shared" si="91"/>
        <v/>
      </c>
      <c r="AE252" s="72" t="str">
        <f t="shared" ref="AE252:AE315" si="102">IFERROR(IF(AE$16="","",AD252/(AE$16/60)),"")</f>
        <v/>
      </c>
      <c r="AH252" s="64" t="str">
        <f t="shared" si="92"/>
        <v/>
      </c>
      <c r="AI252" s="72" t="str">
        <f t="shared" ref="AI252:AI315" si="103">IFERROR(IF(AI$16="","",AH252/(AI$16/60)),"")</f>
        <v/>
      </c>
      <c r="AL252" s="64" t="str">
        <f t="shared" si="93"/>
        <v/>
      </c>
      <c r="AM252" s="72" t="str">
        <f t="shared" ref="AM252:AM315" si="104">IFERROR(IF(AM$16="","",AL252/(AM$16/60)),"")</f>
        <v/>
      </c>
      <c r="AP252" s="64" t="str">
        <f t="shared" si="94"/>
        <v/>
      </c>
      <c r="AQ252" s="72" t="str">
        <f t="shared" ref="AQ252:AQ315" si="105">IFERROR(IF(AQ$16="","",AP252/(AQ$16/60)),"")</f>
        <v/>
      </c>
    </row>
    <row r="253" spans="1:43" x14ac:dyDescent="0.25">
      <c r="A253" s="49">
        <v>38.30222215594889</v>
      </c>
      <c r="B253" s="50">
        <v>-32.139380484326978</v>
      </c>
      <c r="C253" s="38">
        <f t="shared" si="95"/>
        <v>50</v>
      </c>
      <c r="F253" s="1" t="str">
        <f t="shared" ref="F253:F316" si="106">IF(D253="","",(D253-E253)/10)</f>
        <v/>
      </c>
      <c r="G253" s="1" t="str">
        <f t="shared" si="96"/>
        <v/>
      </c>
      <c r="J253" s="64" t="str">
        <f t="shared" ref="J253:J316" si="107">IF(H253="","",(H253-I253)/10)</f>
        <v/>
      </c>
      <c r="K253" s="72" t="str">
        <f t="shared" si="97"/>
        <v/>
      </c>
      <c r="N253" s="64" t="str">
        <f t="shared" ref="N253:N316" si="108">IF(L253="","",(L253-M253)/10)</f>
        <v/>
      </c>
      <c r="O253" s="72" t="str">
        <f t="shared" si="98"/>
        <v/>
      </c>
      <c r="R253" s="64" t="str">
        <f t="shared" ref="R253:R316" si="109">IF(P253="","",(P253-Q253)/10)</f>
        <v/>
      </c>
      <c r="S253" s="72" t="str">
        <f t="shared" si="99"/>
        <v/>
      </c>
      <c r="V253" s="64" t="str">
        <f t="shared" ref="V253:V316" si="110">IF(T253="","",(T253-U253)/10)</f>
        <v/>
      </c>
      <c r="W253" s="72" t="str">
        <f t="shared" si="100"/>
        <v/>
      </c>
      <c r="Z253" s="64" t="str">
        <f t="shared" ref="Z253:Z316" si="111">IF(X253="","",(X253-Y253)/10)</f>
        <v/>
      </c>
      <c r="AA253" s="72" t="str">
        <f t="shared" si="101"/>
        <v/>
      </c>
      <c r="AD253" s="64" t="str">
        <f t="shared" ref="AD253:AD316" si="112">IF(AB253="","",(AB253-AC253)/10)</f>
        <v/>
      </c>
      <c r="AE253" s="72" t="str">
        <f t="shared" si="102"/>
        <v/>
      </c>
      <c r="AH253" s="64" t="str">
        <f t="shared" ref="AH253:AH316" si="113">IF(AF253="","",(AF253-AG253)/10)</f>
        <v/>
      </c>
      <c r="AI253" s="72" t="str">
        <f t="shared" si="103"/>
        <v/>
      </c>
      <c r="AL253" s="64" t="str">
        <f t="shared" ref="AL253:AL316" si="114">IF(AJ253="","",(AJ253-AK253)/10)</f>
        <v/>
      </c>
      <c r="AM253" s="72" t="str">
        <f t="shared" si="104"/>
        <v/>
      </c>
      <c r="AP253" s="64" t="str">
        <f t="shared" ref="AP253:AP316" si="115">IF(AN253="","",(AN253-AO253)/10)</f>
        <v/>
      </c>
      <c r="AQ253" s="72" t="str">
        <f t="shared" si="105"/>
        <v/>
      </c>
    </row>
    <row r="254" spans="1:43" x14ac:dyDescent="0.25">
      <c r="A254" s="49">
        <v>43.301270189221917</v>
      </c>
      <c r="B254" s="50">
        <v>-25.000000000000021</v>
      </c>
      <c r="C254" s="38">
        <f t="shared" si="95"/>
        <v>49.999999999999993</v>
      </c>
      <c r="F254" s="1" t="str">
        <f t="shared" si="106"/>
        <v/>
      </c>
      <c r="G254" s="1" t="str">
        <f t="shared" si="96"/>
        <v/>
      </c>
      <c r="J254" s="64" t="str">
        <f t="shared" si="107"/>
        <v/>
      </c>
      <c r="K254" s="72" t="str">
        <f t="shared" si="97"/>
        <v/>
      </c>
      <c r="N254" s="64" t="str">
        <f t="shared" si="108"/>
        <v/>
      </c>
      <c r="O254" s="72" t="str">
        <f t="shared" si="98"/>
        <v/>
      </c>
      <c r="R254" s="64" t="str">
        <f t="shared" si="109"/>
        <v/>
      </c>
      <c r="S254" s="72" t="str">
        <f t="shared" si="99"/>
        <v/>
      </c>
      <c r="V254" s="64" t="str">
        <f t="shared" si="110"/>
        <v/>
      </c>
      <c r="W254" s="72" t="str">
        <f t="shared" si="100"/>
        <v/>
      </c>
      <c r="Z254" s="64" t="str">
        <f t="shared" si="111"/>
        <v/>
      </c>
      <c r="AA254" s="72" t="str">
        <f t="shared" si="101"/>
        <v/>
      </c>
      <c r="AD254" s="64" t="str">
        <f t="shared" si="112"/>
        <v/>
      </c>
      <c r="AE254" s="72" t="str">
        <f t="shared" si="102"/>
        <v/>
      </c>
      <c r="AH254" s="64" t="str">
        <f t="shared" si="113"/>
        <v/>
      </c>
      <c r="AI254" s="72" t="str">
        <f t="shared" si="103"/>
        <v/>
      </c>
      <c r="AL254" s="64" t="str">
        <f t="shared" si="114"/>
        <v/>
      </c>
      <c r="AM254" s="72" t="str">
        <f t="shared" si="104"/>
        <v/>
      </c>
      <c r="AP254" s="64" t="str">
        <f t="shared" si="115"/>
        <v/>
      </c>
      <c r="AQ254" s="72" t="str">
        <f t="shared" si="105"/>
        <v/>
      </c>
    </row>
    <row r="255" spans="1:43" x14ac:dyDescent="0.25">
      <c r="A255" s="49">
        <v>46.984631039295422</v>
      </c>
      <c r="B255" s="50">
        <v>-17.101007166283431</v>
      </c>
      <c r="C255" s="38">
        <f t="shared" si="95"/>
        <v>50</v>
      </c>
      <c r="F255" s="1" t="str">
        <f t="shared" si="106"/>
        <v/>
      </c>
      <c r="G255" s="1" t="str">
        <f t="shared" si="96"/>
        <v/>
      </c>
      <c r="J255" s="64" t="str">
        <f t="shared" si="107"/>
        <v/>
      </c>
      <c r="K255" s="72" t="str">
        <f t="shared" si="97"/>
        <v/>
      </c>
      <c r="N255" s="64" t="str">
        <f t="shared" si="108"/>
        <v/>
      </c>
      <c r="O255" s="72" t="str">
        <f t="shared" si="98"/>
        <v/>
      </c>
      <c r="R255" s="64" t="str">
        <f t="shared" si="109"/>
        <v/>
      </c>
      <c r="S255" s="72" t="str">
        <f t="shared" si="99"/>
        <v/>
      </c>
      <c r="V255" s="64" t="str">
        <f t="shared" si="110"/>
        <v/>
      </c>
      <c r="W255" s="72" t="str">
        <f t="shared" si="100"/>
        <v/>
      </c>
      <c r="Z255" s="64" t="str">
        <f t="shared" si="111"/>
        <v/>
      </c>
      <c r="AA255" s="72" t="str">
        <f t="shared" si="101"/>
        <v/>
      </c>
      <c r="AD255" s="64" t="str">
        <f t="shared" si="112"/>
        <v/>
      </c>
      <c r="AE255" s="72" t="str">
        <f t="shared" si="102"/>
        <v/>
      </c>
      <c r="AH255" s="64" t="str">
        <f t="shared" si="113"/>
        <v/>
      </c>
      <c r="AI255" s="72" t="str">
        <f t="shared" si="103"/>
        <v/>
      </c>
      <c r="AL255" s="64" t="str">
        <f t="shared" si="114"/>
        <v/>
      </c>
      <c r="AM255" s="72" t="str">
        <f t="shared" si="104"/>
        <v/>
      </c>
      <c r="AP255" s="64" t="str">
        <f t="shared" si="115"/>
        <v/>
      </c>
      <c r="AQ255" s="72" t="str">
        <f t="shared" si="105"/>
        <v/>
      </c>
    </row>
    <row r="256" spans="1:43" x14ac:dyDescent="0.25">
      <c r="A256" s="49">
        <v>49.240387650610401</v>
      </c>
      <c r="B256" s="50">
        <v>-8.6824088833465201</v>
      </c>
      <c r="C256" s="38">
        <f t="shared" si="95"/>
        <v>50</v>
      </c>
      <c r="F256" s="1" t="str">
        <f t="shared" si="106"/>
        <v/>
      </c>
      <c r="G256" s="1" t="str">
        <f t="shared" si="96"/>
        <v/>
      </c>
      <c r="J256" s="64" t="str">
        <f t="shared" si="107"/>
        <v/>
      </c>
      <c r="K256" s="72" t="str">
        <f t="shared" si="97"/>
        <v/>
      </c>
      <c r="N256" s="64" t="str">
        <f t="shared" si="108"/>
        <v/>
      </c>
      <c r="O256" s="72" t="str">
        <f t="shared" si="98"/>
        <v/>
      </c>
      <c r="R256" s="64" t="str">
        <f t="shared" si="109"/>
        <v/>
      </c>
      <c r="S256" s="72" t="str">
        <f t="shared" si="99"/>
        <v/>
      </c>
      <c r="V256" s="64" t="str">
        <f t="shared" si="110"/>
        <v/>
      </c>
      <c r="W256" s="72" t="str">
        <f t="shared" si="100"/>
        <v/>
      </c>
      <c r="Z256" s="64" t="str">
        <f t="shared" si="111"/>
        <v/>
      </c>
      <c r="AA256" s="72" t="str">
        <f t="shared" si="101"/>
        <v/>
      </c>
      <c r="AD256" s="64" t="str">
        <f t="shared" si="112"/>
        <v/>
      </c>
      <c r="AE256" s="72" t="str">
        <f t="shared" si="102"/>
        <v/>
      </c>
      <c r="AH256" s="64" t="str">
        <f t="shared" si="113"/>
        <v/>
      </c>
      <c r="AI256" s="72" t="str">
        <f t="shared" si="103"/>
        <v/>
      </c>
      <c r="AL256" s="64" t="str">
        <f t="shared" si="114"/>
        <v/>
      </c>
      <c r="AM256" s="72" t="str">
        <f t="shared" si="104"/>
        <v/>
      </c>
      <c r="AP256" s="64" t="str">
        <f t="shared" si="115"/>
        <v/>
      </c>
      <c r="AQ256" s="72" t="str">
        <f t="shared" si="105"/>
        <v/>
      </c>
    </row>
    <row r="257" spans="1:43" x14ac:dyDescent="0.25">
      <c r="A257" s="49">
        <v>60</v>
      </c>
      <c r="B257" s="50">
        <v>0</v>
      </c>
      <c r="C257" s="38">
        <f t="shared" si="95"/>
        <v>60</v>
      </c>
      <c r="F257" s="1" t="str">
        <f t="shared" si="106"/>
        <v/>
      </c>
      <c r="G257" s="1" t="str">
        <f t="shared" si="96"/>
        <v/>
      </c>
      <c r="J257" s="64" t="str">
        <f t="shared" si="107"/>
        <v/>
      </c>
      <c r="K257" s="72" t="str">
        <f t="shared" si="97"/>
        <v/>
      </c>
      <c r="N257" s="64" t="str">
        <f t="shared" si="108"/>
        <v/>
      </c>
      <c r="O257" s="72" t="str">
        <f t="shared" si="98"/>
        <v/>
      </c>
      <c r="R257" s="64" t="str">
        <f t="shared" si="109"/>
        <v/>
      </c>
      <c r="S257" s="72" t="str">
        <f t="shared" si="99"/>
        <v/>
      </c>
      <c r="V257" s="64" t="str">
        <f t="shared" si="110"/>
        <v/>
      </c>
      <c r="W257" s="72" t="str">
        <f t="shared" si="100"/>
        <v/>
      </c>
      <c r="Z257" s="64" t="str">
        <f t="shared" si="111"/>
        <v/>
      </c>
      <c r="AA257" s="72" t="str">
        <f t="shared" si="101"/>
        <v/>
      </c>
      <c r="AD257" s="64" t="str">
        <f t="shared" si="112"/>
        <v/>
      </c>
      <c r="AE257" s="72" t="str">
        <f t="shared" si="102"/>
        <v/>
      </c>
      <c r="AH257" s="64" t="str">
        <f t="shared" si="113"/>
        <v/>
      </c>
      <c r="AI257" s="72" t="str">
        <f t="shared" si="103"/>
        <v/>
      </c>
      <c r="AL257" s="64" t="str">
        <f t="shared" si="114"/>
        <v/>
      </c>
      <c r="AM257" s="72" t="str">
        <f t="shared" si="104"/>
        <v/>
      </c>
      <c r="AP257" s="64" t="str">
        <f t="shared" si="115"/>
        <v/>
      </c>
      <c r="AQ257" s="72" t="str">
        <f t="shared" si="105"/>
        <v/>
      </c>
    </row>
    <row r="258" spans="1:43" x14ac:dyDescent="0.25">
      <c r="A258" s="49">
        <v>59.088465180732484</v>
      </c>
      <c r="B258" s="50">
        <v>10.418890660015819</v>
      </c>
      <c r="C258" s="38">
        <f t="shared" si="95"/>
        <v>60</v>
      </c>
      <c r="F258" s="1" t="str">
        <f t="shared" si="106"/>
        <v/>
      </c>
      <c r="G258" s="1" t="str">
        <f t="shared" si="96"/>
        <v/>
      </c>
      <c r="J258" s="64" t="str">
        <f t="shared" si="107"/>
        <v/>
      </c>
      <c r="K258" s="72" t="str">
        <f t="shared" si="97"/>
        <v/>
      </c>
      <c r="N258" s="64" t="str">
        <f t="shared" si="108"/>
        <v/>
      </c>
      <c r="O258" s="72" t="str">
        <f t="shared" si="98"/>
        <v/>
      </c>
      <c r="R258" s="64" t="str">
        <f t="shared" si="109"/>
        <v/>
      </c>
      <c r="S258" s="72" t="str">
        <f t="shared" si="99"/>
        <v/>
      </c>
      <c r="V258" s="64" t="str">
        <f t="shared" si="110"/>
        <v/>
      </c>
      <c r="W258" s="72" t="str">
        <f t="shared" si="100"/>
        <v/>
      </c>
      <c r="Z258" s="64" t="str">
        <f t="shared" si="111"/>
        <v/>
      </c>
      <c r="AA258" s="72" t="str">
        <f t="shared" si="101"/>
        <v/>
      </c>
      <c r="AD258" s="64" t="str">
        <f t="shared" si="112"/>
        <v/>
      </c>
      <c r="AE258" s="72" t="str">
        <f t="shared" si="102"/>
        <v/>
      </c>
      <c r="AH258" s="64" t="str">
        <f t="shared" si="113"/>
        <v/>
      </c>
      <c r="AI258" s="72" t="str">
        <f t="shared" si="103"/>
        <v/>
      </c>
      <c r="AL258" s="64" t="str">
        <f t="shared" si="114"/>
        <v/>
      </c>
      <c r="AM258" s="72" t="str">
        <f t="shared" si="104"/>
        <v/>
      </c>
      <c r="AP258" s="64" t="str">
        <f t="shared" si="115"/>
        <v/>
      </c>
      <c r="AQ258" s="72" t="str">
        <f t="shared" si="105"/>
        <v/>
      </c>
    </row>
    <row r="259" spans="1:43" x14ac:dyDescent="0.25">
      <c r="A259" s="49">
        <v>56.381557247154504</v>
      </c>
      <c r="B259" s="50">
        <v>20.521208599540124</v>
      </c>
      <c r="C259" s="38">
        <f t="shared" si="95"/>
        <v>60</v>
      </c>
      <c r="F259" s="1" t="str">
        <f t="shared" si="106"/>
        <v/>
      </c>
      <c r="G259" s="1" t="str">
        <f t="shared" si="96"/>
        <v/>
      </c>
      <c r="J259" s="64" t="str">
        <f t="shared" si="107"/>
        <v/>
      </c>
      <c r="K259" s="72" t="str">
        <f t="shared" si="97"/>
        <v/>
      </c>
      <c r="N259" s="64" t="str">
        <f t="shared" si="108"/>
        <v/>
      </c>
      <c r="O259" s="72" t="str">
        <f t="shared" si="98"/>
        <v/>
      </c>
      <c r="R259" s="64" t="str">
        <f t="shared" si="109"/>
        <v/>
      </c>
      <c r="S259" s="72" t="str">
        <f t="shared" si="99"/>
        <v/>
      </c>
      <c r="V259" s="64" t="str">
        <f t="shared" si="110"/>
        <v/>
      </c>
      <c r="W259" s="72" t="str">
        <f t="shared" si="100"/>
        <v/>
      </c>
      <c r="Z259" s="64" t="str">
        <f t="shared" si="111"/>
        <v/>
      </c>
      <c r="AA259" s="72" t="str">
        <f t="shared" si="101"/>
        <v/>
      </c>
      <c r="AD259" s="64" t="str">
        <f t="shared" si="112"/>
        <v/>
      </c>
      <c r="AE259" s="72" t="str">
        <f t="shared" si="102"/>
        <v/>
      </c>
      <c r="AH259" s="64" t="str">
        <f t="shared" si="113"/>
        <v/>
      </c>
      <c r="AI259" s="72" t="str">
        <f t="shared" si="103"/>
        <v/>
      </c>
      <c r="AL259" s="64" t="str">
        <f t="shared" si="114"/>
        <v/>
      </c>
      <c r="AM259" s="72" t="str">
        <f t="shared" si="104"/>
        <v/>
      </c>
      <c r="AP259" s="64" t="str">
        <f t="shared" si="115"/>
        <v/>
      </c>
      <c r="AQ259" s="72" t="str">
        <f t="shared" si="105"/>
        <v/>
      </c>
    </row>
    <row r="260" spans="1:43" x14ac:dyDescent="0.25">
      <c r="A260" s="49">
        <v>51.96152422706632</v>
      </c>
      <c r="B260" s="50">
        <v>29.999999999999996</v>
      </c>
      <c r="C260" s="38">
        <f t="shared" si="95"/>
        <v>60</v>
      </c>
      <c r="F260" s="1" t="str">
        <f t="shared" si="106"/>
        <v/>
      </c>
      <c r="G260" s="1" t="str">
        <f t="shared" si="96"/>
        <v/>
      </c>
      <c r="J260" s="64" t="str">
        <f t="shared" si="107"/>
        <v/>
      </c>
      <c r="K260" s="72" t="str">
        <f t="shared" si="97"/>
        <v/>
      </c>
      <c r="N260" s="64" t="str">
        <f t="shared" si="108"/>
        <v/>
      </c>
      <c r="O260" s="72" t="str">
        <f t="shared" si="98"/>
        <v/>
      </c>
      <c r="R260" s="64" t="str">
        <f t="shared" si="109"/>
        <v/>
      </c>
      <c r="S260" s="72" t="str">
        <f t="shared" si="99"/>
        <v/>
      </c>
      <c r="V260" s="64" t="str">
        <f t="shared" si="110"/>
        <v/>
      </c>
      <c r="W260" s="72" t="str">
        <f t="shared" si="100"/>
        <v/>
      </c>
      <c r="Z260" s="64" t="str">
        <f t="shared" si="111"/>
        <v/>
      </c>
      <c r="AA260" s="72" t="str">
        <f t="shared" si="101"/>
        <v/>
      </c>
      <c r="AD260" s="64" t="str">
        <f t="shared" si="112"/>
        <v/>
      </c>
      <c r="AE260" s="72" t="str">
        <f t="shared" si="102"/>
        <v/>
      </c>
      <c r="AH260" s="64" t="str">
        <f t="shared" si="113"/>
        <v/>
      </c>
      <c r="AI260" s="72" t="str">
        <f t="shared" si="103"/>
        <v/>
      </c>
      <c r="AL260" s="64" t="str">
        <f t="shared" si="114"/>
        <v/>
      </c>
      <c r="AM260" s="72" t="str">
        <f t="shared" si="104"/>
        <v/>
      </c>
      <c r="AP260" s="64" t="str">
        <f t="shared" si="115"/>
        <v/>
      </c>
      <c r="AQ260" s="72" t="str">
        <f t="shared" si="105"/>
        <v/>
      </c>
    </row>
    <row r="261" spans="1:43" x14ac:dyDescent="0.25">
      <c r="A261" s="49">
        <v>45.962666587138678</v>
      </c>
      <c r="B261" s="50">
        <v>38.567256581192353</v>
      </c>
      <c r="C261" s="38">
        <f t="shared" si="95"/>
        <v>59.999999999999993</v>
      </c>
      <c r="F261" s="1" t="str">
        <f t="shared" si="106"/>
        <v/>
      </c>
      <c r="G261" s="1" t="str">
        <f t="shared" si="96"/>
        <v/>
      </c>
      <c r="J261" s="64" t="str">
        <f t="shared" si="107"/>
        <v/>
      </c>
      <c r="K261" s="72" t="str">
        <f t="shared" si="97"/>
        <v/>
      </c>
      <c r="N261" s="64" t="str">
        <f t="shared" si="108"/>
        <v/>
      </c>
      <c r="O261" s="72" t="str">
        <f t="shared" si="98"/>
        <v/>
      </c>
      <c r="R261" s="64" t="str">
        <f t="shared" si="109"/>
        <v/>
      </c>
      <c r="S261" s="72" t="str">
        <f t="shared" si="99"/>
        <v/>
      </c>
      <c r="V261" s="64" t="str">
        <f t="shared" si="110"/>
        <v/>
      </c>
      <c r="W261" s="72" t="str">
        <f t="shared" si="100"/>
        <v/>
      </c>
      <c r="Z261" s="64" t="str">
        <f t="shared" si="111"/>
        <v/>
      </c>
      <c r="AA261" s="72" t="str">
        <f t="shared" si="101"/>
        <v/>
      </c>
      <c r="AD261" s="64" t="str">
        <f t="shared" si="112"/>
        <v/>
      </c>
      <c r="AE261" s="72" t="str">
        <f t="shared" si="102"/>
        <v/>
      </c>
      <c r="AH261" s="64" t="str">
        <f t="shared" si="113"/>
        <v/>
      </c>
      <c r="AI261" s="72" t="str">
        <f t="shared" si="103"/>
        <v/>
      </c>
      <c r="AL261" s="64" t="str">
        <f t="shared" si="114"/>
        <v/>
      </c>
      <c r="AM261" s="72" t="str">
        <f t="shared" si="104"/>
        <v/>
      </c>
      <c r="AP261" s="64" t="str">
        <f t="shared" si="115"/>
        <v/>
      </c>
      <c r="AQ261" s="72" t="str">
        <f t="shared" si="105"/>
        <v/>
      </c>
    </row>
    <row r="262" spans="1:43" x14ac:dyDescent="0.25">
      <c r="A262" s="49">
        <v>38.56725658119236</v>
      </c>
      <c r="B262" s="50">
        <v>45.962666587138678</v>
      </c>
      <c r="C262" s="38">
        <f t="shared" si="95"/>
        <v>60</v>
      </c>
      <c r="F262" s="1" t="str">
        <f t="shared" si="106"/>
        <v/>
      </c>
      <c r="G262" s="1" t="str">
        <f t="shared" si="96"/>
        <v/>
      </c>
      <c r="J262" s="64" t="str">
        <f t="shared" si="107"/>
        <v/>
      </c>
      <c r="K262" s="72" t="str">
        <f t="shared" si="97"/>
        <v/>
      </c>
      <c r="N262" s="64" t="str">
        <f t="shared" si="108"/>
        <v/>
      </c>
      <c r="O262" s="72" t="str">
        <f t="shared" si="98"/>
        <v/>
      </c>
      <c r="R262" s="64" t="str">
        <f t="shared" si="109"/>
        <v/>
      </c>
      <c r="S262" s="72" t="str">
        <f t="shared" si="99"/>
        <v/>
      </c>
      <c r="V262" s="64" t="str">
        <f t="shared" si="110"/>
        <v/>
      </c>
      <c r="W262" s="72" t="str">
        <f t="shared" si="100"/>
        <v/>
      </c>
      <c r="Z262" s="64" t="str">
        <f t="shared" si="111"/>
        <v/>
      </c>
      <c r="AA262" s="72" t="str">
        <f t="shared" si="101"/>
        <v/>
      </c>
      <c r="AD262" s="64" t="str">
        <f t="shared" si="112"/>
        <v/>
      </c>
      <c r="AE262" s="72" t="str">
        <f t="shared" si="102"/>
        <v/>
      </c>
      <c r="AH262" s="64" t="str">
        <f t="shared" si="113"/>
        <v/>
      </c>
      <c r="AI262" s="72" t="str">
        <f t="shared" si="103"/>
        <v/>
      </c>
      <c r="AL262" s="64" t="str">
        <f t="shared" si="114"/>
        <v/>
      </c>
      <c r="AM262" s="72" t="str">
        <f t="shared" si="104"/>
        <v/>
      </c>
      <c r="AP262" s="64" t="str">
        <f t="shared" si="115"/>
        <v/>
      </c>
      <c r="AQ262" s="72" t="str">
        <f t="shared" si="105"/>
        <v/>
      </c>
    </row>
    <row r="263" spans="1:43" x14ac:dyDescent="0.25">
      <c r="A263" s="49">
        <v>30.000000000000007</v>
      </c>
      <c r="B263" s="50">
        <v>51.961524227066313</v>
      </c>
      <c r="C263" s="38">
        <f t="shared" si="95"/>
        <v>60</v>
      </c>
      <c r="F263" s="1" t="str">
        <f t="shared" si="106"/>
        <v/>
      </c>
      <c r="G263" s="1" t="str">
        <f t="shared" si="96"/>
        <v/>
      </c>
      <c r="J263" s="64" t="str">
        <f t="shared" si="107"/>
        <v/>
      </c>
      <c r="K263" s="72" t="str">
        <f t="shared" si="97"/>
        <v/>
      </c>
      <c r="N263" s="64" t="str">
        <f t="shared" si="108"/>
        <v/>
      </c>
      <c r="O263" s="72" t="str">
        <f t="shared" si="98"/>
        <v/>
      </c>
      <c r="R263" s="64" t="str">
        <f t="shared" si="109"/>
        <v/>
      </c>
      <c r="S263" s="72" t="str">
        <f t="shared" si="99"/>
        <v/>
      </c>
      <c r="V263" s="64" t="str">
        <f t="shared" si="110"/>
        <v/>
      </c>
      <c r="W263" s="72" t="str">
        <f t="shared" si="100"/>
        <v/>
      </c>
      <c r="Z263" s="64" t="str">
        <f t="shared" si="111"/>
        <v/>
      </c>
      <c r="AA263" s="72" t="str">
        <f t="shared" si="101"/>
        <v/>
      </c>
      <c r="AD263" s="64" t="str">
        <f t="shared" si="112"/>
        <v/>
      </c>
      <c r="AE263" s="72" t="str">
        <f t="shared" si="102"/>
        <v/>
      </c>
      <c r="AH263" s="64" t="str">
        <f t="shared" si="113"/>
        <v/>
      </c>
      <c r="AI263" s="72" t="str">
        <f t="shared" si="103"/>
        <v/>
      </c>
      <c r="AL263" s="64" t="str">
        <f t="shared" si="114"/>
        <v/>
      </c>
      <c r="AM263" s="72" t="str">
        <f t="shared" si="104"/>
        <v/>
      </c>
      <c r="AP263" s="64" t="str">
        <f t="shared" si="115"/>
        <v/>
      </c>
      <c r="AQ263" s="72" t="str">
        <f t="shared" si="105"/>
        <v/>
      </c>
    </row>
    <row r="264" spans="1:43" x14ac:dyDescent="0.25">
      <c r="A264" s="49">
        <v>20.521208599540131</v>
      </c>
      <c r="B264" s="50">
        <v>56.381557247154497</v>
      </c>
      <c r="C264" s="38">
        <f t="shared" si="95"/>
        <v>60</v>
      </c>
      <c r="F264" s="1" t="str">
        <f t="shared" si="106"/>
        <v/>
      </c>
      <c r="G264" s="1" t="str">
        <f t="shared" si="96"/>
        <v/>
      </c>
      <c r="J264" s="64" t="str">
        <f t="shared" si="107"/>
        <v/>
      </c>
      <c r="K264" s="72" t="str">
        <f t="shared" si="97"/>
        <v/>
      </c>
      <c r="N264" s="64" t="str">
        <f t="shared" si="108"/>
        <v/>
      </c>
      <c r="O264" s="72" t="str">
        <f t="shared" si="98"/>
        <v/>
      </c>
      <c r="R264" s="64" t="str">
        <f t="shared" si="109"/>
        <v/>
      </c>
      <c r="S264" s="72" t="str">
        <f t="shared" si="99"/>
        <v/>
      </c>
      <c r="V264" s="64" t="str">
        <f t="shared" si="110"/>
        <v/>
      </c>
      <c r="W264" s="72" t="str">
        <f t="shared" si="100"/>
        <v/>
      </c>
      <c r="Z264" s="64" t="str">
        <f t="shared" si="111"/>
        <v/>
      </c>
      <c r="AA264" s="72" t="str">
        <f t="shared" si="101"/>
        <v/>
      </c>
      <c r="AD264" s="64" t="str">
        <f t="shared" si="112"/>
        <v/>
      </c>
      <c r="AE264" s="72" t="str">
        <f t="shared" si="102"/>
        <v/>
      </c>
      <c r="AH264" s="64" t="str">
        <f t="shared" si="113"/>
        <v/>
      </c>
      <c r="AI264" s="72" t="str">
        <f t="shared" si="103"/>
        <v/>
      </c>
      <c r="AL264" s="64" t="str">
        <f t="shared" si="114"/>
        <v/>
      </c>
      <c r="AM264" s="72" t="str">
        <f t="shared" si="104"/>
        <v/>
      </c>
      <c r="AP264" s="64" t="str">
        <f t="shared" si="115"/>
        <v/>
      </c>
      <c r="AQ264" s="72" t="str">
        <f t="shared" si="105"/>
        <v/>
      </c>
    </row>
    <row r="265" spans="1:43" x14ac:dyDescent="0.25">
      <c r="A265" s="49">
        <v>10.418890660015824</v>
      </c>
      <c r="B265" s="50">
        <v>59.088465180732484</v>
      </c>
      <c r="C265" s="38">
        <f t="shared" si="95"/>
        <v>60.000000000000007</v>
      </c>
      <c r="F265" s="1" t="str">
        <f t="shared" si="106"/>
        <v/>
      </c>
      <c r="G265" s="1" t="str">
        <f t="shared" si="96"/>
        <v/>
      </c>
      <c r="J265" s="64" t="str">
        <f t="shared" si="107"/>
        <v/>
      </c>
      <c r="K265" s="72" t="str">
        <f t="shared" si="97"/>
        <v/>
      </c>
      <c r="N265" s="64" t="str">
        <f t="shared" si="108"/>
        <v/>
      </c>
      <c r="O265" s="72" t="str">
        <f t="shared" si="98"/>
        <v/>
      </c>
      <c r="R265" s="64" t="str">
        <f t="shared" si="109"/>
        <v/>
      </c>
      <c r="S265" s="72" t="str">
        <f t="shared" si="99"/>
        <v/>
      </c>
      <c r="V265" s="64" t="str">
        <f t="shared" si="110"/>
        <v/>
      </c>
      <c r="W265" s="72" t="str">
        <f t="shared" si="100"/>
        <v/>
      </c>
      <c r="Z265" s="64" t="str">
        <f t="shared" si="111"/>
        <v/>
      </c>
      <c r="AA265" s="72" t="str">
        <f t="shared" si="101"/>
        <v/>
      </c>
      <c r="AD265" s="64" t="str">
        <f t="shared" si="112"/>
        <v/>
      </c>
      <c r="AE265" s="72" t="str">
        <f t="shared" si="102"/>
        <v/>
      </c>
      <c r="AH265" s="64" t="str">
        <f t="shared" si="113"/>
        <v/>
      </c>
      <c r="AI265" s="72" t="str">
        <f t="shared" si="103"/>
        <v/>
      </c>
      <c r="AL265" s="64" t="str">
        <f t="shared" si="114"/>
        <v/>
      </c>
      <c r="AM265" s="72" t="str">
        <f t="shared" si="104"/>
        <v/>
      </c>
      <c r="AP265" s="64" t="str">
        <f t="shared" si="115"/>
        <v/>
      </c>
      <c r="AQ265" s="72" t="str">
        <f t="shared" si="105"/>
        <v/>
      </c>
    </row>
    <row r="266" spans="1:43" x14ac:dyDescent="0.25">
      <c r="A266" s="49">
        <v>3.67544536472586E-15</v>
      </c>
      <c r="B266" s="50">
        <v>60</v>
      </c>
      <c r="C266" s="38">
        <f t="shared" si="95"/>
        <v>60</v>
      </c>
      <c r="F266" s="1" t="str">
        <f t="shared" si="106"/>
        <v/>
      </c>
      <c r="G266" s="1" t="str">
        <f t="shared" si="96"/>
        <v/>
      </c>
      <c r="J266" s="64" t="str">
        <f t="shared" si="107"/>
        <v/>
      </c>
      <c r="K266" s="72" t="str">
        <f t="shared" si="97"/>
        <v/>
      </c>
      <c r="N266" s="64" t="str">
        <f t="shared" si="108"/>
        <v/>
      </c>
      <c r="O266" s="72" t="str">
        <f t="shared" si="98"/>
        <v/>
      </c>
      <c r="R266" s="64" t="str">
        <f t="shared" si="109"/>
        <v/>
      </c>
      <c r="S266" s="72" t="str">
        <f t="shared" si="99"/>
        <v/>
      </c>
      <c r="V266" s="64" t="str">
        <f t="shared" si="110"/>
        <v/>
      </c>
      <c r="W266" s="72" t="str">
        <f t="shared" si="100"/>
        <v/>
      </c>
      <c r="Z266" s="64" t="str">
        <f t="shared" si="111"/>
        <v/>
      </c>
      <c r="AA266" s="72" t="str">
        <f t="shared" si="101"/>
        <v/>
      </c>
      <c r="AD266" s="64" t="str">
        <f t="shared" si="112"/>
        <v/>
      </c>
      <c r="AE266" s="72" t="str">
        <f t="shared" si="102"/>
        <v/>
      </c>
      <c r="AH266" s="64" t="str">
        <f t="shared" si="113"/>
        <v/>
      </c>
      <c r="AI266" s="72" t="str">
        <f t="shared" si="103"/>
        <v/>
      </c>
      <c r="AL266" s="64" t="str">
        <f t="shared" si="114"/>
        <v/>
      </c>
      <c r="AM266" s="72" t="str">
        <f t="shared" si="104"/>
        <v/>
      </c>
      <c r="AP266" s="64" t="str">
        <f t="shared" si="115"/>
        <v/>
      </c>
      <c r="AQ266" s="72" t="str">
        <f t="shared" si="105"/>
        <v/>
      </c>
    </row>
    <row r="267" spans="1:43" x14ac:dyDescent="0.25">
      <c r="A267" s="49">
        <v>-10.418890660015819</v>
      </c>
      <c r="B267" s="50">
        <v>59.088465180732484</v>
      </c>
      <c r="C267" s="38">
        <f t="shared" si="95"/>
        <v>60</v>
      </c>
      <c r="F267" s="1" t="str">
        <f t="shared" si="106"/>
        <v/>
      </c>
      <c r="G267" s="1" t="str">
        <f t="shared" si="96"/>
        <v/>
      </c>
      <c r="J267" s="64" t="str">
        <f t="shared" si="107"/>
        <v/>
      </c>
      <c r="K267" s="72" t="str">
        <f t="shared" si="97"/>
        <v/>
      </c>
      <c r="N267" s="64" t="str">
        <f t="shared" si="108"/>
        <v/>
      </c>
      <c r="O267" s="72" t="str">
        <f t="shared" si="98"/>
        <v/>
      </c>
      <c r="R267" s="64" t="str">
        <f t="shared" si="109"/>
        <v/>
      </c>
      <c r="S267" s="72" t="str">
        <f t="shared" si="99"/>
        <v/>
      </c>
      <c r="V267" s="64" t="str">
        <f t="shared" si="110"/>
        <v/>
      </c>
      <c r="W267" s="72" t="str">
        <f t="shared" si="100"/>
        <v/>
      </c>
      <c r="Z267" s="64" t="str">
        <f t="shared" si="111"/>
        <v/>
      </c>
      <c r="AA267" s="72" t="str">
        <f t="shared" si="101"/>
        <v/>
      </c>
      <c r="AD267" s="64" t="str">
        <f t="shared" si="112"/>
        <v/>
      </c>
      <c r="AE267" s="72" t="str">
        <f t="shared" si="102"/>
        <v/>
      </c>
      <c r="AH267" s="64" t="str">
        <f t="shared" si="113"/>
        <v/>
      </c>
      <c r="AI267" s="72" t="str">
        <f t="shared" si="103"/>
        <v/>
      </c>
      <c r="AL267" s="64" t="str">
        <f t="shared" si="114"/>
        <v/>
      </c>
      <c r="AM267" s="72" t="str">
        <f t="shared" si="104"/>
        <v/>
      </c>
      <c r="AP267" s="64" t="str">
        <f t="shared" si="115"/>
        <v/>
      </c>
      <c r="AQ267" s="72" t="str">
        <f t="shared" si="105"/>
        <v/>
      </c>
    </row>
    <row r="268" spans="1:43" x14ac:dyDescent="0.25">
      <c r="A268" s="49">
        <v>-20.521208599540124</v>
      </c>
      <c r="B268" s="50">
        <v>56.381557247154504</v>
      </c>
      <c r="C268" s="38">
        <f t="shared" si="95"/>
        <v>60</v>
      </c>
      <c r="F268" s="1" t="str">
        <f t="shared" si="106"/>
        <v/>
      </c>
      <c r="G268" s="1" t="str">
        <f t="shared" si="96"/>
        <v/>
      </c>
      <c r="J268" s="64" t="str">
        <f t="shared" si="107"/>
        <v/>
      </c>
      <c r="K268" s="72" t="str">
        <f t="shared" si="97"/>
        <v/>
      </c>
      <c r="N268" s="64" t="str">
        <f t="shared" si="108"/>
        <v/>
      </c>
      <c r="O268" s="72" t="str">
        <f t="shared" si="98"/>
        <v/>
      </c>
      <c r="R268" s="64" t="str">
        <f t="shared" si="109"/>
        <v/>
      </c>
      <c r="S268" s="72" t="str">
        <f t="shared" si="99"/>
        <v/>
      </c>
      <c r="V268" s="64" t="str">
        <f t="shared" si="110"/>
        <v/>
      </c>
      <c r="W268" s="72" t="str">
        <f t="shared" si="100"/>
        <v/>
      </c>
      <c r="Z268" s="64" t="str">
        <f t="shared" si="111"/>
        <v/>
      </c>
      <c r="AA268" s="72" t="str">
        <f t="shared" si="101"/>
        <v/>
      </c>
      <c r="AD268" s="64" t="str">
        <f t="shared" si="112"/>
        <v/>
      </c>
      <c r="AE268" s="72" t="str">
        <f t="shared" si="102"/>
        <v/>
      </c>
      <c r="AH268" s="64" t="str">
        <f t="shared" si="113"/>
        <v/>
      </c>
      <c r="AI268" s="72" t="str">
        <f t="shared" si="103"/>
        <v/>
      </c>
      <c r="AL268" s="64" t="str">
        <f t="shared" si="114"/>
        <v/>
      </c>
      <c r="AM268" s="72" t="str">
        <f t="shared" si="104"/>
        <v/>
      </c>
      <c r="AP268" s="64" t="str">
        <f t="shared" si="115"/>
        <v/>
      </c>
      <c r="AQ268" s="72" t="str">
        <f t="shared" si="105"/>
        <v/>
      </c>
    </row>
    <row r="269" spans="1:43" x14ac:dyDescent="0.25">
      <c r="A269" s="49">
        <v>-29.999999999999986</v>
      </c>
      <c r="B269" s="50">
        <v>51.96152422706632</v>
      </c>
      <c r="C269" s="38">
        <f t="shared" si="95"/>
        <v>59.999999999999993</v>
      </c>
      <c r="F269" s="1" t="str">
        <f t="shared" si="106"/>
        <v/>
      </c>
      <c r="G269" s="1" t="str">
        <f t="shared" si="96"/>
        <v/>
      </c>
      <c r="J269" s="64" t="str">
        <f t="shared" si="107"/>
        <v/>
      </c>
      <c r="K269" s="72" t="str">
        <f t="shared" si="97"/>
        <v/>
      </c>
      <c r="N269" s="64" t="str">
        <f t="shared" si="108"/>
        <v/>
      </c>
      <c r="O269" s="72" t="str">
        <f t="shared" si="98"/>
        <v/>
      </c>
      <c r="R269" s="64" t="str">
        <f t="shared" si="109"/>
        <v/>
      </c>
      <c r="S269" s="72" t="str">
        <f t="shared" si="99"/>
        <v/>
      </c>
      <c r="V269" s="64" t="str">
        <f t="shared" si="110"/>
        <v/>
      </c>
      <c r="W269" s="72" t="str">
        <f t="shared" si="100"/>
        <v/>
      </c>
      <c r="Z269" s="64" t="str">
        <f t="shared" si="111"/>
        <v/>
      </c>
      <c r="AA269" s="72" t="str">
        <f t="shared" si="101"/>
        <v/>
      </c>
      <c r="AD269" s="64" t="str">
        <f t="shared" si="112"/>
        <v/>
      </c>
      <c r="AE269" s="72" t="str">
        <f t="shared" si="102"/>
        <v/>
      </c>
      <c r="AH269" s="64" t="str">
        <f t="shared" si="113"/>
        <v/>
      </c>
      <c r="AI269" s="72" t="str">
        <f t="shared" si="103"/>
        <v/>
      </c>
      <c r="AL269" s="64" t="str">
        <f t="shared" si="114"/>
        <v/>
      </c>
      <c r="AM269" s="72" t="str">
        <f t="shared" si="104"/>
        <v/>
      </c>
      <c r="AP269" s="64" t="str">
        <f t="shared" si="115"/>
        <v/>
      </c>
      <c r="AQ269" s="72" t="str">
        <f t="shared" si="105"/>
        <v/>
      </c>
    </row>
    <row r="270" spans="1:43" x14ac:dyDescent="0.25">
      <c r="A270" s="49">
        <v>-38.56725658119236</v>
      </c>
      <c r="B270" s="50">
        <v>45.962666587138678</v>
      </c>
      <c r="C270" s="38">
        <f t="shared" si="95"/>
        <v>60</v>
      </c>
      <c r="F270" s="1" t="str">
        <f t="shared" si="106"/>
        <v/>
      </c>
      <c r="G270" s="1" t="str">
        <f t="shared" si="96"/>
        <v/>
      </c>
      <c r="J270" s="64" t="str">
        <f t="shared" si="107"/>
        <v/>
      </c>
      <c r="K270" s="72" t="str">
        <f t="shared" si="97"/>
        <v/>
      </c>
      <c r="N270" s="64" t="str">
        <f t="shared" si="108"/>
        <v/>
      </c>
      <c r="O270" s="72" t="str">
        <f t="shared" si="98"/>
        <v/>
      </c>
      <c r="R270" s="64" t="str">
        <f t="shared" si="109"/>
        <v/>
      </c>
      <c r="S270" s="72" t="str">
        <f t="shared" si="99"/>
        <v/>
      </c>
      <c r="V270" s="64" t="str">
        <f t="shared" si="110"/>
        <v/>
      </c>
      <c r="W270" s="72" t="str">
        <f t="shared" si="100"/>
        <v/>
      </c>
      <c r="Z270" s="64" t="str">
        <f t="shared" si="111"/>
        <v/>
      </c>
      <c r="AA270" s="72" t="str">
        <f t="shared" si="101"/>
        <v/>
      </c>
      <c r="AD270" s="64" t="str">
        <f t="shared" si="112"/>
        <v/>
      </c>
      <c r="AE270" s="72" t="str">
        <f t="shared" si="102"/>
        <v/>
      </c>
      <c r="AH270" s="64" t="str">
        <f t="shared" si="113"/>
        <v/>
      </c>
      <c r="AI270" s="72" t="str">
        <f t="shared" si="103"/>
        <v/>
      </c>
      <c r="AL270" s="64" t="str">
        <f t="shared" si="114"/>
        <v/>
      </c>
      <c r="AM270" s="72" t="str">
        <f t="shared" si="104"/>
        <v/>
      </c>
      <c r="AP270" s="64" t="str">
        <f t="shared" si="115"/>
        <v/>
      </c>
      <c r="AQ270" s="72" t="str">
        <f t="shared" si="105"/>
        <v/>
      </c>
    </row>
    <row r="271" spans="1:43" x14ac:dyDescent="0.25">
      <c r="A271" s="49">
        <v>-45.962666587138671</v>
      </c>
      <c r="B271" s="50">
        <v>38.567256581192368</v>
      </c>
      <c r="C271" s="38">
        <f t="shared" si="95"/>
        <v>59.999999999999993</v>
      </c>
      <c r="F271" s="1" t="str">
        <f t="shared" si="106"/>
        <v/>
      </c>
      <c r="G271" s="1" t="str">
        <f t="shared" si="96"/>
        <v/>
      </c>
      <c r="J271" s="64" t="str">
        <f t="shared" si="107"/>
        <v/>
      </c>
      <c r="K271" s="72" t="str">
        <f t="shared" si="97"/>
        <v/>
      </c>
      <c r="N271" s="64" t="str">
        <f t="shared" si="108"/>
        <v/>
      </c>
      <c r="O271" s="72" t="str">
        <f t="shared" si="98"/>
        <v/>
      </c>
      <c r="R271" s="64" t="str">
        <f t="shared" si="109"/>
        <v/>
      </c>
      <c r="S271" s="72" t="str">
        <f t="shared" si="99"/>
        <v/>
      </c>
      <c r="V271" s="64" t="str">
        <f t="shared" si="110"/>
        <v/>
      </c>
      <c r="W271" s="72" t="str">
        <f t="shared" si="100"/>
        <v/>
      </c>
      <c r="Z271" s="64" t="str">
        <f t="shared" si="111"/>
        <v/>
      </c>
      <c r="AA271" s="72" t="str">
        <f t="shared" si="101"/>
        <v/>
      </c>
      <c r="AD271" s="64" t="str">
        <f t="shared" si="112"/>
        <v/>
      </c>
      <c r="AE271" s="72" t="str">
        <f t="shared" si="102"/>
        <v/>
      </c>
      <c r="AH271" s="64" t="str">
        <f t="shared" si="113"/>
        <v/>
      </c>
      <c r="AI271" s="72" t="str">
        <f t="shared" si="103"/>
        <v/>
      </c>
      <c r="AL271" s="64" t="str">
        <f t="shared" si="114"/>
        <v/>
      </c>
      <c r="AM271" s="72" t="str">
        <f t="shared" si="104"/>
        <v/>
      </c>
      <c r="AP271" s="64" t="str">
        <f t="shared" si="115"/>
        <v/>
      </c>
      <c r="AQ271" s="72" t="str">
        <f t="shared" si="105"/>
        <v/>
      </c>
    </row>
    <row r="272" spans="1:43" x14ac:dyDescent="0.25">
      <c r="A272" s="49">
        <v>-51.96152422706632</v>
      </c>
      <c r="B272" s="50">
        <v>29.999999999999996</v>
      </c>
      <c r="C272" s="38">
        <f t="shared" si="95"/>
        <v>60</v>
      </c>
      <c r="F272" s="1" t="str">
        <f t="shared" si="106"/>
        <v/>
      </c>
      <c r="G272" s="1" t="str">
        <f t="shared" si="96"/>
        <v/>
      </c>
      <c r="J272" s="64" t="str">
        <f t="shared" si="107"/>
        <v/>
      </c>
      <c r="K272" s="72" t="str">
        <f t="shared" si="97"/>
        <v/>
      </c>
      <c r="N272" s="64" t="str">
        <f t="shared" si="108"/>
        <v/>
      </c>
      <c r="O272" s="72" t="str">
        <f t="shared" si="98"/>
        <v/>
      </c>
      <c r="R272" s="64" t="str">
        <f t="shared" si="109"/>
        <v/>
      </c>
      <c r="S272" s="72" t="str">
        <f t="shared" si="99"/>
        <v/>
      </c>
      <c r="V272" s="64" t="str">
        <f t="shared" si="110"/>
        <v/>
      </c>
      <c r="W272" s="72" t="str">
        <f t="shared" si="100"/>
        <v/>
      </c>
      <c r="Z272" s="64" t="str">
        <f t="shared" si="111"/>
        <v/>
      </c>
      <c r="AA272" s="72" t="str">
        <f t="shared" si="101"/>
        <v/>
      </c>
      <c r="AD272" s="64" t="str">
        <f t="shared" si="112"/>
        <v/>
      </c>
      <c r="AE272" s="72" t="str">
        <f t="shared" si="102"/>
        <v/>
      </c>
      <c r="AH272" s="64" t="str">
        <f t="shared" si="113"/>
        <v/>
      </c>
      <c r="AI272" s="72" t="str">
        <f t="shared" si="103"/>
        <v/>
      </c>
      <c r="AL272" s="64" t="str">
        <f t="shared" si="114"/>
        <v/>
      </c>
      <c r="AM272" s="72" t="str">
        <f t="shared" si="104"/>
        <v/>
      </c>
      <c r="AP272" s="64" t="str">
        <f t="shared" si="115"/>
        <v/>
      </c>
      <c r="AQ272" s="72" t="str">
        <f t="shared" si="105"/>
        <v/>
      </c>
    </row>
    <row r="273" spans="1:43" x14ac:dyDescent="0.25">
      <c r="A273" s="49">
        <v>-56.381557247154497</v>
      </c>
      <c r="B273" s="50">
        <v>20.521208599540131</v>
      </c>
      <c r="C273" s="38">
        <f t="shared" si="95"/>
        <v>60</v>
      </c>
      <c r="F273" s="1" t="str">
        <f t="shared" si="106"/>
        <v/>
      </c>
      <c r="G273" s="1" t="str">
        <f t="shared" si="96"/>
        <v/>
      </c>
      <c r="J273" s="64" t="str">
        <f t="shared" si="107"/>
        <v/>
      </c>
      <c r="K273" s="72" t="str">
        <f t="shared" si="97"/>
        <v/>
      </c>
      <c r="N273" s="64" t="str">
        <f t="shared" si="108"/>
        <v/>
      </c>
      <c r="O273" s="72" t="str">
        <f t="shared" si="98"/>
        <v/>
      </c>
      <c r="R273" s="64" t="str">
        <f t="shared" si="109"/>
        <v/>
      </c>
      <c r="S273" s="72" t="str">
        <f t="shared" si="99"/>
        <v/>
      </c>
      <c r="V273" s="64" t="str">
        <f t="shared" si="110"/>
        <v/>
      </c>
      <c r="W273" s="72" t="str">
        <f t="shared" si="100"/>
        <v/>
      </c>
      <c r="Z273" s="64" t="str">
        <f t="shared" si="111"/>
        <v/>
      </c>
      <c r="AA273" s="72" t="str">
        <f t="shared" si="101"/>
        <v/>
      </c>
      <c r="AD273" s="64" t="str">
        <f t="shared" si="112"/>
        <v/>
      </c>
      <c r="AE273" s="72" t="str">
        <f t="shared" si="102"/>
        <v/>
      </c>
      <c r="AH273" s="64" t="str">
        <f t="shared" si="113"/>
        <v/>
      </c>
      <c r="AI273" s="72" t="str">
        <f t="shared" si="103"/>
        <v/>
      </c>
      <c r="AL273" s="64" t="str">
        <f t="shared" si="114"/>
        <v/>
      </c>
      <c r="AM273" s="72" t="str">
        <f t="shared" si="104"/>
        <v/>
      </c>
      <c r="AP273" s="64" t="str">
        <f t="shared" si="115"/>
        <v/>
      </c>
      <c r="AQ273" s="72" t="str">
        <f t="shared" si="105"/>
        <v/>
      </c>
    </row>
    <row r="274" spans="1:43" x14ac:dyDescent="0.25">
      <c r="A274" s="49">
        <v>-59.088465180732484</v>
      </c>
      <c r="B274" s="50">
        <v>10.418890660015817</v>
      </c>
      <c r="C274" s="38">
        <f t="shared" si="95"/>
        <v>60</v>
      </c>
      <c r="F274" s="1" t="str">
        <f t="shared" si="106"/>
        <v/>
      </c>
      <c r="G274" s="1" t="str">
        <f t="shared" si="96"/>
        <v/>
      </c>
      <c r="J274" s="64" t="str">
        <f t="shared" si="107"/>
        <v/>
      </c>
      <c r="K274" s="72" t="str">
        <f t="shared" si="97"/>
        <v/>
      </c>
      <c r="N274" s="64" t="str">
        <f t="shared" si="108"/>
        <v/>
      </c>
      <c r="O274" s="72" t="str">
        <f t="shared" si="98"/>
        <v/>
      </c>
      <c r="R274" s="64" t="str">
        <f t="shared" si="109"/>
        <v/>
      </c>
      <c r="S274" s="72" t="str">
        <f t="shared" si="99"/>
        <v/>
      </c>
      <c r="V274" s="64" t="str">
        <f t="shared" si="110"/>
        <v/>
      </c>
      <c r="W274" s="72" t="str">
        <f t="shared" si="100"/>
        <v/>
      </c>
      <c r="Z274" s="64" t="str">
        <f t="shared" si="111"/>
        <v/>
      </c>
      <c r="AA274" s="72" t="str">
        <f t="shared" si="101"/>
        <v/>
      </c>
      <c r="AD274" s="64" t="str">
        <f t="shared" si="112"/>
        <v/>
      </c>
      <c r="AE274" s="72" t="str">
        <f t="shared" si="102"/>
        <v/>
      </c>
      <c r="AH274" s="64" t="str">
        <f t="shared" si="113"/>
        <v/>
      </c>
      <c r="AI274" s="72" t="str">
        <f t="shared" si="103"/>
        <v/>
      </c>
      <c r="AL274" s="64" t="str">
        <f t="shared" si="114"/>
        <v/>
      </c>
      <c r="AM274" s="72" t="str">
        <f t="shared" si="104"/>
        <v/>
      </c>
      <c r="AP274" s="64" t="str">
        <f t="shared" si="115"/>
        <v/>
      </c>
      <c r="AQ274" s="72" t="str">
        <f t="shared" si="105"/>
        <v/>
      </c>
    </row>
    <row r="275" spans="1:43" x14ac:dyDescent="0.25">
      <c r="A275" s="49">
        <v>-60</v>
      </c>
      <c r="B275" s="50">
        <v>7.3508907294517201E-15</v>
      </c>
      <c r="C275" s="38">
        <f t="shared" si="95"/>
        <v>60</v>
      </c>
      <c r="F275" s="1" t="str">
        <f t="shared" si="106"/>
        <v/>
      </c>
      <c r="G275" s="1" t="str">
        <f t="shared" si="96"/>
        <v/>
      </c>
      <c r="J275" s="64" t="str">
        <f t="shared" si="107"/>
        <v/>
      </c>
      <c r="K275" s="72" t="str">
        <f t="shared" si="97"/>
        <v/>
      </c>
      <c r="N275" s="64" t="str">
        <f t="shared" si="108"/>
        <v/>
      </c>
      <c r="O275" s="72" t="str">
        <f t="shared" si="98"/>
        <v/>
      </c>
      <c r="R275" s="64" t="str">
        <f t="shared" si="109"/>
        <v/>
      </c>
      <c r="S275" s="72" t="str">
        <f t="shared" si="99"/>
        <v/>
      </c>
      <c r="V275" s="64" t="str">
        <f t="shared" si="110"/>
        <v/>
      </c>
      <c r="W275" s="72" t="str">
        <f t="shared" si="100"/>
        <v/>
      </c>
      <c r="Z275" s="64" t="str">
        <f t="shared" si="111"/>
        <v/>
      </c>
      <c r="AA275" s="72" t="str">
        <f t="shared" si="101"/>
        <v/>
      </c>
      <c r="AD275" s="64" t="str">
        <f t="shared" si="112"/>
        <v/>
      </c>
      <c r="AE275" s="72" t="str">
        <f t="shared" si="102"/>
        <v/>
      </c>
      <c r="AH275" s="64" t="str">
        <f t="shared" si="113"/>
        <v/>
      </c>
      <c r="AI275" s="72" t="str">
        <f t="shared" si="103"/>
        <v/>
      </c>
      <c r="AL275" s="64" t="str">
        <f t="shared" si="114"/>
        <v/>
      </c>
      <c r="AM275" s="72" t="str">
        <f t="shared" si="104"/>
        <v/>
      </c>
      <c r="AP275" s="64" t="str">
        <f t="shared" si="115"/>
        <v/>
      </c>
      <c r="AQ275" s="72" t="str">
        <f t="shared" si="105"/>
        <v/>
      </c>
    </row>
    <row r="276" spans="1:43" x14ac:dyDescent="0.25">
      <c r="A276" s="49">
        <v>-59.088465180732484</v>
      </c>
      <c r="B276" s="50">
        <v>-10.418890660015828</v>
      </c>
      <c r="C276" s="38">
        <f t="shared" si="95"/>
        <v>60.000000000000007</v>
      </c>
      <c r="F276" s="1" t="str">
        <f t="shared" si="106"/>
        <v/>
      </c>
      <c r="G276" s="1" t="str">
        <f t="shared" si="96"/>
        <v/>
      </c>
      <c r="J276" s="64" t="str">
        <f t="shared" si="107"/>
        <v/>
      </c>
      <c r="K276" s="72" t="str">
        <f t="shared" si="97"/>
        <v/>
      </c>
      <c r="N276" s="64" t="str">
        <f t="shared" si="108"/>
        <v/>
      </c>
      <c r="O276" s="72" t="str">
        <f t="shared" si="98"/>
        <v/>
      </c>
      <c r="R276" s="64" t="str">
        <f t="shared" si="109"/>
        <v/>
      </c>
      <c r="S276" s="72" t="str">
        <f t="shared" si="99"/>
        <v/>
      </c>
      <c r="V276" s="64" t="str">
        <f t="shared" si="110"/>
        <v/>
      </c>
      <c r="W276" s="72" t="str">
        <f t="shared" si="100"/>
        <v/>
      </c>
      <c r="Z276" s="64" t="str">
        <f t="shared" si="111"/>
        <v/>
      </c>
      <c r="AA276" s="72" t="str">
        <f t="shared" si="101"/>
        <v/>
      </c>
      <c r="AD276" s="64" t="str">
        <f t="shared" si="112"/>
        <v/>
      </c>
      <c r="AE276" s="72" t="str">
        <f t="shared" si="102"/>
        <v/>
      </c>
      <c r="AH276" s="64" t="str">
        <f t="shared" si="113"/>
        <v/>
      </c>
      <c r="AI276" s="72" t="str">
        <f t="shared" si="103"/>
        <v/>
      </c>
      <c r="AL276" s="64" t="str">
        <f t="shared" si="114"/>
        <v/>
      </c>
      <c r="AM276" s="72" t="str">
        <f t="shared" si="104"/>
        <v/>
      </c>
      <c r="AP276" s="64" t="str">
        <f t="shared" si="115"/>
        <v/>
      </c>
      <c r="AQ276" s="72" t="str">
        <f t="shared" si="105"/>
        <v/>
      </c>
    </row>
    <row r="277" spans="1:43" x14ac:dyDescent="0.25">
      <c r="A277" s="49">
        <v>-56.381557247154504</v>
      </c>
      <c r="B277" s="50">
        <v>-20.52120859954012</v>
      </c>
      <c r="C277" s="38">
        <f t="shared" si="95"/>
        <v>60</v>
      </c>
      <c r="F277" s="1" t="str">
        <f t="shared" si="106"/>
        <v/>
      </c>
      <c r="G277" s="1" t="str">
        <f t="shared" si="96"/>
        <v/>
      </c>
      <c r="J277" s="64" t="str">
        <f t="shared" si="107"/>
        <v/>
      </c>
      <c r="K277" s="72" t="str">
        <f t="shared" si="97"/>
        <v/>
      </c>
      <c r="N277" s="64" t="str">
        <f t="shared" si="108"/>
        <v/>
      </c>
      <c r="O277" s="72" t="str">
        <f t="shared" si="98"/>
        <v/>
      </c>
      <c r="R277" s="64" t="str">
        <f t="shared" si="109"/>
        <v/>
      </c>
      <c r="S277" s="72" t="str">
        <f t="shared" si="99"/>
        <v/>
      </c>
      <c r="V277" s="64" t="str">
        <f t="shared" si="110"/>
        <v/>
      </c>
      <c r="W277" s="72" t="str">
        <f t="shared" si="100"/>
        <v/>
      </c>
      <c r="Z277" s="64" t="str">
        <f t="shared" si="111"/>
        <v/>
      </c>
      <c r="AA277" s="72" t="str">
        <f t="shared" si="101"/>
        <v/>
      </c>
      <c r="AD277" s="64" t="str">
        <f t="shared" si="112"/>
        <v/>
      </c>
      <c r="AE277" s="72" t="str">
        <f t="shared" si="102"/>
        <v/>
      </c>
      <c r="AH277" s="64" t="str">
        <f t="shared" si="113"/>
        <v/>
      </c>
      <c r="AI277" s="72" t="str">
        <f t="shared" si="103"/>
        <v/>
      </c>
      <c r="AL277" s="64" t="str">
        <f t="shared" si="114"/>
        <v/>
      </c>
      <c r="AM277" s="72" t="str">
        <f t="shared" si="104"/>
        <v/>
      </c>
      <c r="AP277" s="64" t="str">
        <f t="shared" si="115"/>
        <v/>
      </c>
      <c r="AQ277" s="72" t="str">
        <f t="shared" si="105"/>
        <v/>
      </c>
    </row>
    <row r="278" spans="1:43" x14ac:dyDescent="0.25">
      <c r="A278" s="49">
        <v>-51.961524227066313</v>
      </c>
      <c r="B278" s="50">
        <v>-30.000000000000007</v>
      </c>
      <c r="C278" s="38">
        <f t="shared" si="95"/>
        <v>60</v>
      </c>
      <c r="F278" s="1" t="str">
        <f t="shared" si="106"/>
        <v/>
      </c>
      <c r="G278" s="1" t="str">
        <f t="shared" si="96"/>
        <v/>
      </c>
      <c r="J278" s="64" t="str">
        <f t="shared" si="107"/>
        <v/>
      </c>
      <c r="K278" s="72" t="str">
        <f t="shared" si="97"/>
        <v/>
      </c>
      <c r="N278" s="64" t="str">
        <f t="shared" si="108"/>
        <v/>
      </c>
      <c r="O278" s="72" t="str">
        <f t="shared" si="98"/>
        <v/>
      </c>
      <c r="R278" s="64" t="str">
        <f t="shared" si="109"/>
        <v/>
      </c>
      <c r="S278" s="72" t="str">
        <f t="shared" si="99"/>
        <v/>
      </c>
      <c r="V278" s="64" t="str">
        <f t="shared" si="110"/>
        <v/>
      </c>
      <c r="W278" s="72" t="str">
        <f t="shared" si="100"/>
        <v/>
      </c>
      <c r="Z278" s="64" t="str">
        <f t="shared" si="111"/>
        <v/>
      </c>
      <c r="AA278" s="72" t="str">
        <f t="shared" si="101"/>
        <v/>
      </c>
      <c r="AD278" s="64" t="str">
        <f t="shared" si="112"/>
        <v/>
      </c>
      <c r="AE278" s="72" t="str">
        <f t="shared" si="102"/>
        <v/>
      </c>
      <c r="AH278" s="64" t="str">
        <f t="shared" si="113"/>
        <v/>
      </c>
      <c r="AI278" s="72" t="str">
        <f t="shared" si="103"/>
        <v/>
      </c>
      <c r="AL278" s="64" t="str">
        <f t="shared" si="114"/>
        <v/>
      </c>
      <c r="AM278" s="72" t="str">
        <f t="shared" si="104"/>
        <v/>
      </c>
      <c r="AP278" s="64" t="str">
        <f t="shared" si="115"/>
        <v/>
      </c>
      <c r="AQ278" s="72" t="str">
        <f t="shared" si="105"/>
        <v/>
      </c>
    </row>
    <row r="279" spans="1:43" x14ac:dyDescent="0.25">
      <c r="A279" s="49">
        <v>-45.962666587138678</v>
      </c>
      <c r="B279" s="50">
        <v>-38.567256581192353</v>
      </c>
      <c r="C279" s="38">
        <f t="shared" si="95"/>
        <v>59.999999999999993</v>
      </c>
      <c r="F279" s="1" t="str">
        <f t="shared" si="106"/>
        <v/>
      </c>
      <c r="G279" s="1" t="str">
        <f t="shared" si="96"/>
        <v/>
      </c>
      <c r="J279" s="64" t="str">
        <f t="shared" si="107"/>
        <v/>
      </c>
      <c r="K279" s="72" t="str">
        <f t="shared" si="97"/>
        <v/>
      </c>
      <c r="N279" s="64" t="str">
        <f t="shared" si="108"/>
        <v/>
      </c>
      <c r="O279" s="72" t="str">
        <f t="shared" si="98"/>
        <v/>
      </c>
      <c r="R279" s="64" t="str">
        <f t="shared" si="109"/>
        <v/>
      </c>
      <c r="S279" s="72" t="str">
        <f t="shared" si="99"/>
        <v/>
      </c>
      <c r="V279" s="64" t="str">
        <f t="shared" si="110"/>
        <v/>
      </c>
      <c r="W279" s="72" t="str">
        <f t="shared" si="100"/>
        <v/>
      </c>
      <c r="Z279" s="64" t="str">
        <f t="shared" si="111"/>
        <v/>
      </c>
      <c r="AA279" s="72" t="str">
        <f t="shared" si="101"/>
        <v/>
      </c>
      <c r="AD279" s="64" t="str">
        <f t="shared" si="112"/>
        <v/>
      </c>
      <c r="AE279" s="72" t="str">
        <f t="shared" si="102"/>
        <v/>
      </c>
      <c r="AH279" s="64" t="str">
        <f t="shared" si="113"/>
        <v/>
      </c>
      <c r="AI279" s="72" t="str">
        <f t="shared" si="103"/>
        <v/>
      </c>
      <c r="AL279" s="64" t="str">
        <f t="shared" si="114"/>
        <v/>
      </c>
      <c r="AM279" s="72" t="str">
        <f t="shared" si="104"/>
        <v/>
      </c>
      <c r="AP279" s="64" t="str">
        <f t="shared" si="115"/>
        <v/>
      </c>
      <c r="AQ279" s="72" t="str">
        <f t="shared" si="105"/>
        <v/>
      </c>
    </row>
    <row r="280" spans="1:43" x14ac:dyDescent="0.25">
      <c r="A280" s="49">
        <v>-38.567256581192368</v>
      </c>
      <c r="B280" s="50">
        <v>-45.962666587138671</v>
      </c>
      <c r="C280" s="38">
        <f t="shared" si="95"/>
        <v>59.999999999999993</v>
      </c>
      <c r="F280" s="1" t="str">
        <f t="shared" si="106"/>
        <v/>
      </c>
      <c r="G280" s="1" t="str">
        <f t="shared" si="96"/>
        <v/>
      </c>
      <c r="J280" s="64" t="str">
        <f t="shared" si="107"/>
        <v/>
      </c>
      <c r="K280" s="72" t="str">
        <f t="shared" si="97"/>
        <v/>
      </c>
      <c r="N280" s="64" t="str">
        <f t="shared" si="108"/>
        <v/>
      </c>
      <c r="O280" s="72" t="str">
        <f t="shared" si="98"/>
        <v/>
      </c>
      <c r="R280" s="64" t="str">
        <f t="shared" si="109"/>
        <v/>
      </c>
      <c r="S280" s="72" t="str">
        <f t="shared" si="99"/>
        <v/>
      </c>
      <c r="V280" s="64" t="str">
        <f t="shared" si="110"/>
        <v/>
      </c>
      <c r="W280" s="72" t="str">
        <f t="shared" si="100"/>
        <v/>
      </c>
      <c r="Z280" s="64" t="str">
        <f t="shared" si="111"/>
        <v/>
      </c>
      <c r="AA280" s="72" t="str">
        <f t="shared" si="101"/>
        <v/>
      </c>
      <c r="AD280" s="64" t="str">
        <f t="shared" si="112"/>
        <v/>
      </c>
      <c r="AE280" s="72" t="str">
        <f t="shared" si="102"/>
        <v/>
      </c>
      <c r="AH280" s="64" t="str">
        <f t="shared" si="113"/>
        <v/>
      </c>
      <c r="AI280" s="72" t="str">
        <f t="shared" si="103"/>
        <v/>
      </c>
      <c r="AL280" s="64" t="str">
        <f t="shared" si="114"/>
        <v/>
      </c>
      <c r="AM280" s="72" t="str">
        <f t="shared" si="104"/>
        <v/>
      </c>
      <c r="AP280" s="64" t="str">
        <f t="shared" si="115"/>
        <v/>
      </c>
      <c r="AQ280" s="72" t="str">
        <f t="shared" si="105"/>
        <v/>
      </c>
    </row>
    <row r="281" spans="1:43" x14ac:dyDescent="0.25">
      <c r="A281" s="49">
        <v>-30.000000000000028</v>
      </c>
      <c r="B281" s="50">
        <v>-51.961524227066306</v>
      </c>
      <c r="C281" s="38">
        <f t="shared" si="95"/>
        <v>60.000000000000007</v>
      </c>
      <c r="F281" s="1" t="str">
        <f t="shared" si="106"/>
        <v/>
      </c>
      <c r="G281" s="1" t="str">
        <f t="shared" si="96"/>
        <v/>
      </c>
      <c r="J281" s="64" t="str">
        <f t="shared" si="107"/>
        <v/>
      </c>
      <c r="K281" s="72" t="str">
        <f t="shared" si="97"/>
        <v/>
      </c>
      <c r="N281" s="64" t="str">
        <f t="shared" si="108"/>
        <v/>
      </c>
      <c r="O281" s="72" t="str">
        <f t="shared" si="98"/>
        <v/>
      </c>
      <c r="R281" s="64" t="str">
        <f t="shared" si="109"/>
        <v/>
      </c>
      <c r="S281" s="72" t="str">
        <f t="shared" si="99"/>
        <v/>
      </c>
      <c r="V281" s="64" t="str">
        <f t="shared" si="110"/>
        <v/>
      </c>
      <c r="W281" s="72" t="str">
        <f t="shared" si="100"/>
        <v/>
      </c>
      <c r="Z281" s="64" t="str">
        <f t="shared" si="111"/>
        <v/>
      </c>
      <c r="AA281" s="72" t="str">
        <f t="shared" si="101"/>
        <v/>
      </c>
      <c r="AD281" s="64" t="str">
        <f t="shared" si="112"/>
        <v/>
      </c>
      <c r="AE281" s="72" t="str">
        <f t="shared" si="102"/>
        <v/>
      </c>
      <c r="AH281" s="64" t="str">
        <f t="shared" si="113"/>
        <v/>
      </c>
      <c r="AI281" s="72" t="str">
        <f t="shared" si="103"/>
        <v/>
      </c>
      <c r="AL281" s="64" t="str">
        <f t="shared" si="114"/>
        <v/>
      </c>
      <c r="AM281" s="72" t="str">
        <f t="shared" si="104"/>
        <v/>
      </c>
      <c r="AP281" s="64" t="str">
        <f t="shared" si="115"/>
        <v/>
      </c>
      <c r="AQ281" s="72" t="str">
        <f t="shared" si="105"/>
        <v/>
      </c>
    </row>
    <row r="282" spans="1:43" x14ac:dyDescent="0.25">
      <c r="A282" s="49">
        <v>-20.521208599540113</v>
      </c>
      <c r="B282" s="50">
        <v>-56.381557247154504</v>
      </c>
      <c r="C282" s="38">
        <f t="shared" si="95"/>
        <v>59.999999999999993</v>
      </c>
      <c r="F282" s="1" t="str">
        <f t="shared" si="106"/>
        <v/>
      </c>
      <c r="G282" s="1" t="str">
        <f t="shared" si="96"/>
        <v/>
      </c>
      <c r="J282" s="64" t="str">
        <f t="shared" si="107"/>
        <v/>
      </c>
      <c r="K282" s="72" t="str">
        <f t="shared" si="97"/>
        <v/>
      </c>
      <c r="N282" s="64" t="str">
        <f t="shared" si="108"/>
        <v/>
      </c>
      <c r="O282" s="72" t="str">
        <f t="shared" si="98"/>
        <v/>
      </c>
      <c r="R282" s="64" t="str">
        <f t="shared" si="109"/>
        <v/>
      </c>
      <c r="S282" s="72" t="str">
        <f t="shared" si="99"/>
        <v/>
      </c>
      <c r="V282" s="64" t="str">
        <f t="shared" si="110"/>
        <v/>
      </c>
      <c r="W282" s="72" t="str">
        <f t="shared" si="100"/>
        <v/>
      </c>
      <c r="Z282" s="64" t="str">
        <f t="shared" si="111"/>
        <v/>
      </c>
      <c r="AA282" s="72" t="str">
        <f t="shared" si="101"/>
        <v/>
      </c>
      <c r="AD282" s="64" t="str">
        <f t="shared" si="112"/>
        <v/>
      </c>
      <c r="AE282" s="72" t="str">
        <f t="shared" si="102"/>
        <v/>
      </c>
      <c r="AH282" s="64" t="str">
        <f t="shared" si="113"/>
        <v/>
      </c>
      <c r="AI282" s="72" t="str">
        <f t="shared" si="103"/>
        <v/>
      </c>
      <c r="AL282" s="64" t="str">
        <f t="shared" si="114"/>
        <v/>
      </c>
      <c r="AM282" s="72" t="str">
        <f t="shared" si="104"/>
        <v/>
      </c>
      <c r="AP282" s="64" t="str">
        <f t="shared" si="115"/>
        <v/>
      </c>
      <c r="AQ282" s="72" t="str">
        <f t="shared" si="105"/>
        <v/>
      </c>
    </row>
    <row r="283" spans="1:43" x14ac:dyDescent="0.25">
      <c r="A283" s="49">
        <v>-10.418890660015819</v>
      </c>
      <c r="B283" s="50">
        <v>-59.088465180732484</v>
      </c>
      <c r="C283" s="38">
        <f t="shared" si="95"/>
        <v>60</v>
      </c>
      <c r="F283" s="1" t="str">
        <f t="shared" si="106"/>
        <v/>
      </c>
      <c r="G283" s="1" t="str">
        <f t="shared" si="96"/>
        <v/>
      </c>
      <c r="J283" s="64" t="str">
        <f t="shared" si="107"/>
        <v/>
      </c>
      <c r="K283" s="72" t="str">
        <f t="shared" si="97"/>
        <v/>
      </c>
      <c r="N283" s="64" t="str">
        <f t="shared" si="108"/>
        <v/>
      </c>
      <c r="O283" s="72" t="str">
        <f t="shared" si="98"/>
        <v/>
      </c>
      <c r="R283" s="64" t="str">
        <f t="shared" si="109"/>
        <v/>
      </c>
      <c r="S283" s="72" t="str">
        <f t="shared" si="99"/>
        <v/>
      </c>
      <c r="V283" s="64" t="str">
        <f t="shared" si="110"/>
        <v/>
      </c>
      <c r="W283" s="72" t="str">
        <f t="shared" si="100"/>
        <v/>
      </c>
      <c r="Z283" s="64" t="str">
        <f t="shared" si="111"/>
        <v/>
      </c>
      <c r="AA283" s="72" t="str">
        <f t="shared" si="101"/>
        <v/>
      </c>
      <c r="AD283" s="64" t="str">
        <f t="shared" si="112"/>
        <v/>
      </c>
      <c r="AE283" s="72" t="str">
        <f t="shared" si="102"/>
        <v/>
      </c>
      <c r="AH283" s="64" t="str">
        <f t="shared" si="113"/>
        <v/>
      </c>
      <c r="AI283" s="72" t="str">
        <f t="shared" si="103"/>
        <v/>
      </c>
      <c r="AL283" s="64" t="str">
        <f t="shared" si="114"/>
        <v/>
      </c>
      <c r="AM283" s="72" t="str">
        <f t="shared" si="104"/>
        <v/>
      </c>
      <c r="AP283" s="64" t="str">
        <f t="shared" si="115"/>
        <v/>
      </c>
      <c r="AQ283" s="72" t="str">
        <f t="shared" si="105"/>
        <v/>
      </c>
    </row>
    <row r="284" spans="1:43" x14ac:dyDescent="0.25">
      <c r="A284" s="49">
        <v>-1.102633609417758E-14</v>
      </c>
      <c r="B284" s="50">
        <v>-60</v>
      </c>
      <c r="C284" s="38">
        <f t="shared" si="95"/>
        <v>60</v>
      </c>
      <c r="F284" s="1" t="str">
        <f t="shared" si="106"/>
        <v/>
      </c>
      <c r="G284" s="1" t="str">
        <f t="shared" si="96"/>
        <v/>
      </c>
      <c r="J284" s="64" t="str">
        <f t="shared" si="107"/>
        <v/>
      </c>
      <c r="K284" s="72" t="str">
        <f t="shared" si="97"/>
        <v/>
      </c>
      <c r="N284" s="64" t="str">
        <f t="shared" si="108"/>
        <v/>
      </c>
      <c r="O284" s="72" t="str">
        <f t="shared" si="98"/>
        <v/>
      </c>
      <c r="R284" s="64" t="str">
        <f t="shared" si="109"/>
        <v/>
      </c>
      <c r="S284" s="72" t="str">
        <f t="shared" si="99"/>
        <v/>
      </c>
      <c r="V284" s="64" t="str">
        <f t="shared" si="110"/>
        <v/>
      </c>
      <c r="W284" s="72" t="str">
        <f t="shared" si="100"/>
        <v/>
      </c>
      <c r="Z284" s="64" t="str">
        <f t="shared" si="111"/>
        <v/>
      </c>
      <c r="AA284" s="72" t="str">
        <f t="shared" si="101"/>
        <v/>
      </c>
      <c r="AD284" s="64" t="str">
        <f t="shared" si="112"/>
        <v/>
      </c>
      <c r="AE284" s="72" t="str">
        <f t="shared" si="102"/>
        <v/>
      </c>
      <c r="AH284" s="64" t="str">
        <f t="shared" si="113"/>
        <v/>
      </c>
      <c r="AI284" s="72" t="str">
        <f t="shared" si="103"/>
        <v/>
      </c>
      <c r="AL284" s="64" t="str">
        <f t="shared" si="114"/>
        <v/>
      </c>
      <c r="AM284" s="72" t="str">
        <f t="shared" si="104"/>
        <v/>
      </c>
      <c r="AP284" s="64" t="str">
        <f t="shared" si="115"/>
        <v/>
      </c>
      <c r="AQ284" s="72" t="str">
        <f t="shared" si="105"/>
        <v/>
      </c>
    </row>
    <row r="285" spans="1:43" x14ac:dyDescent="0.25">
      <c r="A285" s="49">
        <v>10.418890660015798</v>
      </c>
      <c r="B285" s="50">
        <v>-59.088465180732484</v>
      </c>
      <c r="C285" s="38">
        <f t="shared" si="95"/>
        <v>59.999999999999993</v>
      </c>
      <c r="F285" s="1" t="str">
        <f t="shared" si="106"/>
        <v/>
      </c>
      <c r="G285" s="1" t="str">
        <f t="shared" si="96"/>
        <v/>
      </c>
      <c r="J285" s="64" t="str">
        <f t="shared" si="107"/>
        <v/>
      </c>
      <c r="K285" s="72" t="str">
        <f t="shared" si="97"/>
        <v/>
      </c>
      <c r="N285" s="64" t="str">
        <f t="shared" si="108"/>
        <v/>
      </c>
      <c r="O285" s="72" t="str">
        <f t="shared" si="98"/>
        <v/>
      </c>
      <c r="R285" s="64" t="str">
        <f t="shared" si="109"/>
        <v/>
      </c>
      <c r="S285" s="72" t="str">
        <f t="shared" si="99"/>
        <v/>
      </c>
      <c r="V285" s="64" t="str">
        <f t="shared" si="110"/>
        <v/>
      </c>
      <c r="W285" s="72" t="str">
        <f t="shared" si="100"/>
        <v/>
      </c>
      <c r="Z285" s="64" t="str">
        <f t="shared" si="111"/>
        <v/>
      </c>
      <c r="AA285" s="72" t="str">
        <f t="shared" si="101"/>
        <v/>
      </c>
      <c r="AD285" s="64" t="str">
        <f t="shared" si="112"/>
        <v/>
      </c>
      <c r="AE285" s="72" t="str">
        <f t="shared" si="102"/>
        <v/>
      </c>
      <c r="AH285" s="64" t="str">
        <f t="shared" si="113"/>
        <v/>
      </c>
      <c r="AI285" s="72" t="str">
        <f t="shared" si="103"/>
        <v/>
      </c>
      <c r="AL285" s="64" t="str">
        <f t="shared" si="114"/>
        <v/>
      </c>
      <c r="AM285" s="72" t="str">
        <f t="shared" si="104"/>
        <v/>
      </c>
      <c r="AP285" s="64" t="str">
        <f t="shared" si="115"/>
        <v/>
      </c>
      <c r="AQ285" s="72" t="str">
        <f t="shared" si="105"/>
        <v/>
      </c>
    </row>
    <row r="286" spans="1:43" x14ac:dyDescent="0.25">
      <c r="A286" s="49">
        <v>20.521208599540138</v>
      </c>
      <c r="B286" s="50">
        <v>-56.381557247154497</v>
      </c>
      <c r="C286" s="38">
        <f t="shared" si="95"/>
        <v>60</v>
      </c>
      <c r="F286" s="1" t="str">
        <f t="shared" si="106"/>
        <v/>
      </c>
      <c r="G286" s="1" t="str">
        <f t="shared" si="96"/>
        <v/>
      </c>
      <c r="J286" s="64" t="str">
        <f t="shared" si="107"/>
        <v/>
      </c>
      <c r="K286" s="72" t="str">
        <f t="shared" si="97"/>
        <v/>
      </c>
      <c r="N286" s="64" t="str">
        <f t="shared" si="108"/>
        <v/>
      </c>
      <c r="O286" s="72" t="str">
        <f t="shared" si="98"/>
        <v/>
      </c>
      <c r="R286" s="64" t="str">
        <f t="shared" si="109"/>
        <v/>
      </c>
      <c r="S286" s="72" t="str">
        <f t="shared" si="99"/>
        <v/>
      </c>
      <c r="V286" s="64" t="str">
        <f t="shared" si="110"/>
        <v/>
      </c>
      <c r="W286" s="72" t="str">
        <f t="shared" si="100"/>
        <v/>
      </c>
      <c r="Z286" s="64" t="str">
        <f t="shared" si="111"/>
        <v/>
      </c>
      <c r="AA286" s="72" t="str">
        <f t="shared" si="101"/>
        <v/>
      </c>
      <c r="AD286" s="64" t="str">
        <f t="shared" si="112"/>
        <v/>
      </c>
      <c r="AE286" s="72" t="str">
        <f t="shared" si="102"/>
        <v/>
      </c>
      <c r="AH286" s="64" t="str">
        <f t="shared" si="113"/>
        <v/>
      </c>
      <c r="AI286" s="72" t="str">
        <f t="shared" si="103"/>
        <v/>
      </c>
      <c r="AL286" s="64" t="str">
        <f t="shared" si="114"/>
        <v/>
      </c>
      <c r="AM286" s="72" t="str">
        <f t="shared" si="104"/>
        <v/>
      </c>
      <c r="AP286" s="64" t="str">
        <f t="shared" si="115"/>
        <v/>
      </c>
      <c r="AQ286" s="72" t="str">
        <f t="shared" si="105"/>
        <v/>
      </c>
    </row>
    <row r="287" spans="1:43" x14ac:dyDescent="0.25">
      <c r="A287" s="49">
        <v>30.000000000000007</v>
      </c>
      <c r="B287" s="50">
        <v>-51.961524227066313</v>
      </c>
      <c r="C287" s="38">
        <f t="shared" si="95"/>
        <v>60</v>
      </c>
      <c r="F287" s="1" t="str">
        <f t="shared" si="106"/>
        <v/>
      </c>
      <c r="G287" s="1" t="str">
        <f t="shared" si="96"/>
        <v/>
      </c>
      <c r="J287" s="64" t="str">
        <f t="shared" si="107"/>
        <v/>
      </c>
      <c r="K287" s="72" t="str">
        <f t="shared" si="97"/>
        <v/>
      </c>
      <c r="N287" s="64" t="str">
        <f t="shared" si="108"/>
        <v/>
      </c>
      <c r="O287" s="72" t="str">
        <f t="shared" si="98"/>
        <v/>
      </c>
      <c r="R287" s="64" t="str">
        <f t="shared" si="109"/>
        <v/>
      </c>
      <c r="S287" s="72" t="str">
        <f t="shared" si="99"/>
        <v/>
      </c>
      <c r="V287" s="64" t="str">
        <f t="shared" si="110"/>
        <v/>
      </c>
      <c r="W287" s="72" t="str">
        <f t="shared" si="100"/>
        <v/>
      </c>
      <c r="Z287" s="64" t="str">
        <f t="shared" si="111"/>
        <v/>
      </c>
      <c r="AA287" s="72" t="str">
        <f t="shared" si="101"/>
        <v/>
      </c>
      <c r="AD287" s="64" t="str">
        <f t="shared" si="112"/>
        <v/>
      </c>
      <c r="AE287" s="72" t="str">
        <f t="shared" si="102"/>
        <v/>
      </c>
      <c r="AH287" s="64" t="str">
        <f t="shared" si="113"/>
        <v/>
      </c>
      <c r="AI287" s="72" t="str">
        <f t="shared" si="103"/>
        <v/>
      </c>
      <c r="AL287" s="64" t="str">
        <f t="shared" si="114"/>
        <v/>
      </c>
      <c r="AM287" s="72" t="str">
        <f t="shared" si="104"/>
        <v/>
      </c>
      <c r="AP287" s="64" t="str">
        <f t="shared" si="115"/>
        <v/>
      </c>
      <c r="AQ287" s="72" t="str">
        <f t="shared" si="105"/>
        <v/>
      </c>
    </row>
    <row r="288" spans="1:43" x14ac:dyDescent="0.25">
      <c r="A288" s="49">
        <v>38.567256581192353</v>
      </c>
      <c r="B288" s="50">
        <v>-45.962666587138685</v>
      </c>
      <c r="C288" s="38">
        <f t="shared" si="95"/>
        <v>60</v>
      </c>
      <c r="F288" s="1" t="str">
        <f t="shared" si="106"/>
        <v/>
      </c>
      <c r="G288" s="1" t="str">
        <f t="shared" si="96"/>
        <v/>
      </c>
      <c r="J288" s="64" t="str">
        <f t="shared" si="107"/>
        <v/>
      </c>
      <c r="K288" s="72" t="str">
        <f t="shared" si="97"/>
        <v/>
      </c>
      <c r="N288" s="64" t="str">
        <f t="shared" si="108"/>
        <v/>
      </c>
      <c r="O288" s="72" t="str">
        <f t="shared" si="98"/>
        <v/>
      </c>
      <c r="R288" s="64" t="str">
        <f t="shared" si="109"/>
        <v/>
      </c>
      <c r="S288" s="72" t="str">
        <f t="shared" si="99"/>
        <v/>
      </c>
      <c r="V288" s="64" t="str">
        <f t="shared" si="110"/>
        <v/>
      </c>
      <c r="W288" s="72" t="str">
        <f t="shared" si="100"/>
        <v/>
      </c>
      <c r="Z288" s="64" t="str">
        <f t="shared" si="111"/>
        <v/>
      </c>
      <c r="AA288" s="72" t="str">
        <f t="shared" si="101"/>
        <v/>
      </c>
      <c r="AD288" s="64" t="str">
        <f t="shared" si="112"/>
        <v/>
      </c>
      <c r="AE288" s="72" t="str">
        <f t="shared" si="102"/>
        <v/>
      </c>
      <c r="AH288" s="64" t="str">
        <f t="shared" si="113"/>
        <v/>
      </c>
      <c r="AI288" s="72" t="str">
        <f t="shared" si="103"/>
        <v/>
      </c>
      <c r="AL288" s="64" t="str">
        <f t="shared" si="114"/>
        <v/>
      </c>
      <c r="AM288" s="72" t="str">
        <f t="shared" si="104"/>
        <v/>
      </c>
      <c r="AP288" s="64" t="str">
        <f t="shared" si="115"/>
        <v/>
      </c>
      <c r="AQ288" s="72" t="str">
        <f t="shared" si="105"/>
        <v/>
      </c>
    </row>
    <row r="289" spans="1:43" x14ac:dyDescent="0.25">
      <c r="A289" s="49">
        <v>45.962666587138671</v>
      </c>
      <c r="B289" s="50">
        <v>-38.567256581192375</v>
      </c>
      <c r="C289" s="38">
        <f t="shared" si="95"/>
        <v>60</v>
      </c>
      <c r="F289" s="1" t="str">
        <f t="shared" si="106"/>
        <v/>
      </c>
      <c r="G289" s="1" t="str">
        <f t="shared" si="96"/>
        <v/>
      </c>
      <c r="J289" s="64" t="str">
        <f t="shared" si="107"/>
        <v/>
      </c>
      <c r="K289" s="72" t="str">
        <f t="shared" si="97"/>
        <v/>
      </c>
      <c r="N289" s="64" t="str">
        <f t="shared" si="108"/>
        <v/>
      </c>
      <c r="O289" s="72" t="str">
        <f t="shared" si="98"/>
        <v/>
      </c>
      <c r="R289" s="64" t="str">
        <f t="shared" si="109"/>
        <v/>
      </c>
      <c r="S289" s="72" t="str">
        <f t="shared" si="99"/>
        <v/>
      </c>
      <c r="V289" s="64" t="str">
        <f t="shared" si="110"/>
        <v/>
      </c>
      <c r="W289" s="72" t="str">
        <f t="shared" si="100"/>
        <v/>
      </c>
      <c r="Z289" s="64" t="str">
        <f t="shared" si="111"/>
        <v/>
      </c>
      <c r="AA289" s="72" t="str">
        <f t="shared" si="101"/>
        <v/>
      </c>
      <c r="AD289" s="64" t="str">
        <f t="shared" si="112"/>
        <v/>
      </c>
      <c r="AE289" s="72" t="str">
        <f t="shared" si="102"/>
        <v/>
      </c>
      <c r="AH289" s="64" t="str">
        <f t="shared" si="113"/>
        <v/>
      </c>
      <c r="AI289" s="72" t="str">
        <f t="shared" si="103"/>
        <v/>
      </c>
      <c r="AL289" s="64" t="str">
        <f t="shared" si="114"/>
        <v/>
      </c>
      <c r="AM289" s="72" t="str">
        <f t="shared" si="104"/>
        <v/>
      </c>
      <c r="AP289" s="64" t="str">
        <f t="shared" si="115"/>
        <v/>
      </c>
      <c r="AQ289" s="72" t="str">
        <f t="shared" si="105"/>
        <v/>
      </c>
    </row>
    <row r="290" spans="1:43" x14ac:dyDescent="0.25">
      <c r="A290" s="49">
        <v>51.961524227066306</v>
      </c>
      <c r="B290" s="50">
        <v>-30.000000000000028</v>
      </c>
      <c r="C290" s="38">
        <f t="shared" si="95"/>
        <v>60.000000000000007</v>
      </c>
      <c r="F290" s="1" t="str">
        <f t="shared" si="106"/>
        <v/>
      </c>
      <c r="G290" s="1" t="str">
        <f t="shared" si="96"/>
        <v/>
      </c>
      <c r="J290" s="64" t="str">
        <f t="shared" si="107"/>
        <v/>
      </c>
      <c r="K290" s="72" t="str">
        <f t="shared" si="97"/>
        <v/>
      </c>
      <c r="N290" s="64" t="str">
        <f t="shared" si="108"/>
        <v/>
      </c>
      <c r="O290" s="72" t="str">
        <f t="shared" si="98"/>
        <v/>
      </c>
      <c r="R290" s="64" t="str">
        <f t="shared" si="109"/>
        <v/>
      </c>
      <c r="S290" s="72" t="str">
        <f t="shared" si="99"/>
        <v/>
      </c>
      <c r="V290" s="64" t="str">
        <f t="shared" si="110"/>
        <v/>
      </c>
      <c r="W290" s="72" t="str">
        <f t="shared" si="100"/>
        <v/>
      </c>
      <c r="Z290" s="64" t="str">
        <f t="shared" si="111"/>
        <v/>
      </c>
      <c r="AA290" s="72" t="str">
        <f t="shared" si="101"/>
        <v/>
      </c>
      <c r="AD290" s="64" t="str">
        <f t="shared" si="112"/>
        <v/>
      </c>
      <c r="AE290" s="72" t="str">
        <f t="shared" si="102"/>
        <v/>
      </c>
      <c r="AH290" s="64" t="str">
        <f t="shared" si="113"/>
        <v/>
      </c>
      <c r="AI290" s="72" t="str">
        <f t="shared" si="103"/>
        <v/>
      </c>
      <c r="AL290" s="64" t="str">
        <f t="shared" si="114"/>
        <v/>
      </c>
      <c r="AM290" s="72" t="str">
        <f t="shared" si="104"/>
        <v/>
      </c>
      <c r="AP290" s="64" t="str">
        <f t="shared" si="115"/>
        <v/>
      </c>
      <c r="AQ290" s="72" t="str">
        <f t="shared" si="105"/>
        <v/>
      </c>
    </row>
    <row r="291" spans="1:43" x14ac:dyDescent="0.25">
      <c r="A291" s="49">
        <v>56.381557247154504</v>
      </c>
      <c r="B291" s="50">
        <v>-20.521208599540117</v>
      </c>
      <c r="C291" s="38">
        <f t="shared" si="95"/>
        <v>59.999999999999993</v>
      </c>
      <c r="F291" s="1" t="str">
        <f t="shared" si="106"/>
        <v/>
      </c>
      <c r="G291" s="1" t="str">
        <f t="shared" si="96"/>
        <v/>
      </c>
      <c r="J291" s="64" t="str">
        <f t="shared" si="107"/>
        <v/>
      </c>
      <c r="K291" s="72" t="str">
        <f t="shared" si="97"/>
        <v/>
      </c>
      <c r="N291" s="64" t="str">
        <f t="shared" si="108"/>
        <v/>
      </c>
      <c r="O291" s="72" t="str">
        <f t="shared" si="98"/>
        <v/>
      </c>
      <c r="R291" s="64" t="str">
        <f t="shared" si="109"/>
        <v/>
      </c>
      <c r="S291" s="72" t="str">
        <f t="shared" si="99"/>
        <v/>
      </c>
      <c r="V291" s="64" t="str">
        <f t="shared" si="110"/>
        <v/>
      </c>
      <c r="W291" s="72" t="str">
        <f t="shared" si="100"/>
        <v/>
      </c>
      <c r="Z291" s="64" t="str">
        <f t="shared" si="111"/>
        <v/>
      </c>
      <c r="AA291" s="72" t="str">
        <f t="shared" si="101"/>
        <v/>
      </c>
      <c r="AD291" s="64" t="str">
        <f t="shared" si="112"/>
        <v/>
      </c>
      <c r="AE291" s="72" t="str">
        <f t="shared" si="102"/>
        <v/>
      </c>
      <c r="AH291" s="64" t="str">
        <f t="shared" si="113"/>
        <v/>
      </c>
      <c r="AI291" s="72" t="str">
        <f t="shared" si="103"/>
        <v/>
      </c>
      <c r="AL291" s="64" t="str">
        <f t="shared" si="114"/>
        <v/>
      </c>
      <c r="AM291" s="72" t="str">
        <f t="shared" si="104"/>
        <v/>
      </c>
      <c r="AP291" s="64" t="str">
        <f t="shared" si="115"/>
        <v/>
      </c>
      <c r="AQ291" s="72" t="str">
        <f t="shared" si="105"/>
        <v/>
      </c>
    </row>
    <row r="292" spans="1:43" x14ac:dyDescent="0.25">
      <c r="A292" s="49">
        <v>59.088465180732484</v>
      </c>
      <c r="B292" s="50">
        <v>-10.418890660015823</v>
      </c>
      <c r="C292" s="38">
        <f t="shared" si="95"/>
        <v>60</v>
      </c>
      <c r="F292" s="1" t="str">
        <f t="shared" si="106"/>
        <v/>
      </c>
      <c r="G292" s="1" t="str">
        <f t="shared" si="96"/>
        <v/>
      </c>
      <c r="J292" s="64" t="str">
        <f t="shared" si="107"/>
        <v/>
      </c>
      <c r="K292" s="72" t="str">
        <f t="shared" si="97"/>
        <v/>
      </c>
      <c r="N292" s="64" t="str">
        <f t="shared" si="108"/>
        <v/>
      </c>
      <c r="O292" s="72" t="str">
        <f t="shared" si="98"/>
        <v/>
      </c>
      <c r="R292" s="64" t="str">
        <f t="shared" si="109"/>
        <v/>
      </c>
      <c r="S292" s="72" t="str">
        <f t="shared" si="99"/>
        <v/>
      </c>
      <c r="V292" s="64" t="str">
        <f t="shared" si="110"/>
        <v/>
      </c>
      <c r="W292" s="72" t="str">
        <f t="shared" si="100"/>
        <v/>
      </c>
      <c r="Z292" s="64" t="str">
        <f t="shared" si="111"/>
        <v/>
      </c>
      <c r="AA292" s="72" t="str">
        <f t="shared" si="101"/>
        <v/>
      </c>
      <c r="AD292" s="64" t="str">
        <f t="shared" si="112"/>
        <v/>
      </c>
      <c r="AE292" s="72" t="str">
        <f t="shared" si="102"/>
        <v/>
      </c>
      <c r="AH292" s="64" t="str">
        <f t="shared" si="113"/>
        <v/>
      </c>
      <c r="AI292" s="72" t="str">
        <f t="shared" si="103"/>
        <v/>
      </c>
      <c r="AL292" s="64" t="str">
        <f t="shared" si="114"/>
        <v/>
      </c>
      <c r="AM292" s="72" t="str">
        <f t="shared" si="104"/>
        <v/>
      </c>
      <c r="AP292" s="64" t="str">
        <f t="shared" si="115"/>
        <v/>
      </c>
      <c r="AQ292" s="72" t="str">
        <f t="shared" si="105"/>
        <v/>
      </c>
    </row>
    <row r="293" spans="1:43" x14ac:dyDescent="0.25">
      <c r="A293" s="49">
        <v>70</v>
      </c>
      <c r="B293" s="50">
        <v>0</v>
      </c>
      <c r="C293" s="38">
        <f t="shared" si="95"/>
        <v>70</v>
      </c>
      <c r="F293" s="1" t="str">
        <f t="shared" si="106"/>
        <v/>
      </c>
      <c r="G293" s="1" t="str">
        <f t="shared" si="96"/>
        <v/>
      </c>
      <c r="J293" s="64" t="str">
        <f t="shared" si="107"/>
        <v/>
      </c>
      <c r="K293" s="72" t="str">
        <f t="shared" si="97"/>
        <v/>
      </c>
      <c r="N293" s="64" t="str">
        <f t="shared" si="108"/>
        <v/>
      </c>
      <c r="O293" s="72" t="str">
        <f t="shared" si="98"/>
        <v/>
      </c>
      <c r="R293" s="64" t="str">
        <f t="shared" si="109"/>
        <v/>
      </c>
      <c r="S293" s="72" t="str">
        <f t="shared" si="99"/>
        <v/>
      </c>
      <c r="V293" s="64" t="str">
        <f t="shared" si="110"/>
        <v/>
      </c>
      <c r="W293" s="72" t="str">
        <f t="shared" si="100"/>
        <v/>
      </c>
      <c r="Z293" s="64" t="str">
        <f t="shared" si="111"/>
        <v/>
      </c>
      <c r="AA293" s="72" t="str">
        <f t="shared" si="101"/>
        <v/>
      </c>
      <c r="AD293" s="64" t="str">
        <f t="shared" si="112"/>
        <v/>
      </c>
      <c r="AE293" s="72" t="str">
        <f t="shared" si="102"/>
        <v/>
      </c>
      <c r="AH293" s="64" t="str">
        <f t="shared" si="113"/>
        <v/>
      </c>
      <c r="AI293" s="72" t="str">
        <f t="shared" si="103"/>
        <v/>
      </c>
      <c r="AL293" s="64" t="str">
        <f t="shared" si="114"/>
        <v/>
      </c>
      <c r="AM293" s="72" t="str">
        <f t="shared" si="104"/>
        <v/>
      </c>
      <c r="AP293" s="64" t="str">
        <f t="shared" si="115"/>
        <v/>
      </c>
      <c r="AQ293" s="72" t="str">
        <f t="shared" si="105"/>
        <v/>
      </c>
    </row>
    <row r="294" spans="1:43" x14ac:dyDescent="0.25">
      <c r="A294" s="49">
        <v>68.936542710854567</v>
      </c>
      <c r="B294" s="50">
        <v>12.155372436685123</v>
      </c>
      <c r="C294" s="38">
        <f t="shared" si="95"/>
        <v>70</v>
      </c>
      <c r="F294" s="1" t="str">
        <f t="shared" si="106"/>
        <v/>
      </c>
      <c r="G294" s="1" t="str">
        <f t="shared" si="96"/>
        <v/>
      </c>
      <c r="J294" s="64" t="str">
        <f t="shared" si="107"/>
        <v/>
      </c>
      <c r="K294" s="72" t="str">
        <f t="shared" si="97"/>
        <v/>
      </c>
      <c r="N294" s="64" t="str">
        <f t="shared" si="108"/>
        <v/>
      </c>
      <c r="O294" s="72" t="str">
        <f t="shared" si="98"/>
        <v/>
      </c>
      <c r="R294" s="64" t="str">
        <f t="shared" si="109"/>
        <v/>
      </c>
      <c r="S294" s="72" t="str">
        <f t="shared" si="99"/>
        <v/>
      </c>
      <c r="V294" s="64" t="str">
        <f t="shared" si="110"/>
        <v/>
      </c>
      <c r="W294" s="72" t="str">
        <f t="shared" si="100"/>
        <v/>
      </c>
      <c r="Z294" s="64" t="str">
        <f t="shared" si="111"/>
        <v/>
      </c>
      <c r="AA294" s="72" t="str">
        <f t="shared" si="101"/>
        <v/>
      </c>
      <c r="AD294" s="64" t="str">
        <f t="shared" si="112"/>
        <v/>
      </c>
      <c r="AE294" s="72" t="str">
        <f t="shared" si="102"/>
        <v/>
      </c>
      <c r="AH294" s="64" t="str">
        <f t="shared" si="113"/>
        <v/>
      </c>
      <c r="AI294" s="72" t="str">
        <f t="shared" si="103"/>
        <v/>
      </c>
      <c r="AL294" s="64" t="str">
        <f t="shared" si="114"/>
        <v/>
      </c>
      <c r="AM294" s="72" t="str">
        <f t="shared" si="104"/>
        <v/>
      </c>
      <c r="AP294" s="64" t="str">
        <f t="shared" si="115"/>
        <v/>
      </c>
      <c r="AQ294" s="72" t="str">
        <f t="shared" si="105"/>
        <v/>
      </c>
    </row>
    <row r="295" spans="1:43" x14ac:dyDescent="0.25">
      <c r="A295" s="49">
        <v>65.778483455013586</v>
      </c>
      <c r="B295" s="50">
        <v>23.94141003279681</v>
      </c>
      <c r="C295" s="38">
        <f t="shared" si="95"/>
        <v>70</v>
      </c>
      <c r="F295" s="1" t="str">
        <f t="shared" si="106"/>
        <v/>
      </c>
      <c r="G295" s="1" t="str">
        <f t="shared" si="96"/>
        <v/>
      </c>
      <c r="J295" s="64" t="str">
        <f t="shared" si="107"/>
        <v/>
      </c>
      <c r="K295" s="72" t="str">
        <f t="shared" si="97"/>
        <v/>
      </c>
      <c r="N295" s="64" t="str">
        <f t="shared" si="108"/>
        <v/>
      </c>
      <c r="O295" s="72" t="str">
        <f t="shared" si="98"/>
        <v/>
      </c>
      <c r="R295" s="64" t="str">
        <f t="shared" si="109"/>
        <v/>
      </c>
      <c r="S295" s="72" t="str">
        <f t="shared" si="99"/>
        <v/>
      </c>
      <c r="V295" s="64" t="str">
        <f t="shared" si="110"/>
        <v/>
      </c>
      <c r="W295" s="72" t="str">
        <f t="shared" si="100"/>
        <v/>
      </c>
      <c r="Z295" s="64" t="str">
        <f t="shared" si="111"/>
        <v/>
      </c>
      <c r="AA295" s="72" t="str">
        <f t="shared" si="101"/>
        <v/>
      </c>
      <c r="AD295" s="64" t="str">
        <f t="shared" si="112"/>
        <v/>
      </c>
      <c r="AE295" s="72" t="str">
        <f t="shared" si="102"/>
        <v/>
      </c>
      <c r="AH295" s="64" t="str">
        <f t="shared" si="113"/>
        <v/>
      </c>
      <c r="AI295" s="72" t="str">
        <f t="shared" si="103"/>
        <v/>
      </c>
      <c r="AL295" s="64" t="str">
        <f t="shared" si="114"/>
        <v/>
      </c>
      <c r="AM295" s="72" t="str">
        <f t="shared" si="104"/>
        <v/>
      </c>
      <c r="AP295" s="64" t="str">
        <f t="shared" si="115"/>
        <v/>
      </c>
      <c r="AQ295" s="72" t="str">
        <f t="shared" si="105"/>
        <v/>
      </c>
    </row>
    <row r="296" spans="1:43" x14ac:dyDescent="0.25">
      <c r="A296" s="49">
        <v>60.621778264910709</v>
      </c>
      <c r="B296" s="50">
        <v>34.999999999999993</v>
      </c>
      <c r="C296" s="38">
        <f t="shared" si="95"/>
        <v>70</v>
      </c>
      <c r="F296" s="1" t="str">
        <f t="shared" si="106"/>
        <v/>
      </c>
      <c r="G296" s="1" t="str">
        <f t="shared" si="96"/>
        <v/>
      </c>
      <c r="J296" s="64" t="str">
        <f t="shared" si="107"/>
        <v/>
      </c>
      <c r="K296" s="72" t="str">
        <f t="shared" si="97"/>
        <v/>
      </c>
      <c r="N296" s="64" t="str">
        <f t="shared" si="108"/>
        <v/>
      </c>
      <c r="O296" s="72" t="str">
        <f t="shared" si="98"/>
        <v/>
      </c>
      <c r="R296" s="64" t="str">
        <f t="shared" si="109"/>
        <v/>
      </c>
      <c r="S296" s="72" t="str">
        <f t="shared" si="99"/>
        <v/>
      </c>
      <c r="V296" s="64" t="str">
        <f t="shared" si="110"/>
        <v/>
      </c>
      <c r="W296" s="72" t="str">
        <f t="shared" si="100"/>
        <v/>
      </c>
      <c r="Z296" s="64" t="str">
        <f t="shared" si="111"/>
        <v/>
      </c>
      <c r="AA296" s="72" t="str">
        <f t="shared" si="101"/>
        <v/>
      </c>
      <c r="AD296" s="64" t="str">
        <f t="shared" si="112"/>
        <v/>
      </c>
      <c r="AE296" s="72" t="str">
        <f t="shared" si="102"/>
        <v/>
      </c>
      <c r="AH296" s="64" t="str">
        <f t="shared" si="113"/>
        <v/>
      </c>
      <c r="AI296" s="72" t="str">
        <f t="shared" si="103"/>
        <v/>
      </c>
      <c r="AL296" s="64" t="str">
        <f t="shared" si="114"/>
        <v/>
      </c>
      <c r="AM296" s="72" t="str">
        <f t="shared" si="104"/>
        <v/>
      </c>
      <c r="AP296" s="64" t="str">
        <f t="shared" si="115"/>
        <v/>
      </c>
      <c r="AQ296" s="72" t="str">
        <f t="shared" si="105"/>
        <v/>
      </c>
    </row>
    <row r="297" spans="1:43" x14ac:dyDescent="0.25">
      <c r="A297" s="49">
        <v>53.623111018328458</v>
      </c>
      <c r="B297" s="50">
        <v>44.99513267805775</v>
      </c>
      <c r="C297" s="38">
        <f t="shared" si="95"/>
        <v>70</v>
      </c>
      <c r="F297" s="1" t="str">
        <f t="shared" si="106"/>
        <v/>
      </c>
      <c r="G297" s="1" t="str">
        <f t="shared" si="96"/>
        <v/>
      </c>
      <c r="J297" s="64" t="str">
        <f t="shared" si="107"/>
        <v/>
      </c>
      <c r="K297" s="72" t="str">
        <f t="shared" si="97"/>
        <v/>
      </c>
      <c r="N297" s="64" t="str">
        <f t="shared" si="108"/>
        <v/>
      </c>
      <c r="O297" s="72" t="str">
        <f t="shared" si="98"/>
        <v/>
      </c>
      <c r="R297" s="64" t="str">
        <f t="shared" si="109"/>
        <v/>
      </c>
      <c r="S297" s="72" t="str">
        <f t="shared" si="99"/>
        <v/>
      </c>
      <c r="V297" s="64" t="str">
        <f t="shared" si="110"/>
        <v/>
      </c>
      <c r="W297" s="72" t="str">
        <f t="shared" si="100"/>
        <v/>
      </c>
      <c r="Z297" s="64" t="str">
        <f t="shared" si="111"/>
        <v/>
      </c>
      <c r="AA297" s="72" t="str">
        <f t="shared" si="101"/>
        <v/>
      </c>
      <c r="AD297" s="64" t="str">
        <f t="shared" si="112"/>
        <v/>
      </c>
      <c r="AE297" s="72" t="str">
        <f t="shared" si="102"/>
        <v/>
      </c>
      <c r="AH297" s="64" t="str">
        <f t="shared" si="113"/>
        <v/>
      </c>
      <c r="AI297" s="72" t="str">
        <f t="shared" si="103"/>
        <v/>
      </c>
      <c r="AL297" s="64" t="str">
        <f t="shared" si="114"/>
        <v/>
      </c>
      <c r="AM297" s="72" t="str">
        <f t="shared" si="104"/>
        <v/>
      </c>
      <c r="AP297" s="64" t="str">
        <f t="shared" si="115"/>
        <v/>
      </c>
      <c r="AQ297" s="72" t="str">
        <f t="shared" si="105"/>
        <v/>
      </c>
    </row>
    <row r="298" spans="1:43" x14ac:dyDescent="0.25">
      <c r="A298" s="49">
        <v>44.995132678057757</v>
      </c>
      <c r="B298" s="50">
        <v>53.623111018328458</v>
      </c>
      <c r="C298" s="38">
        <f t="shared" si="95"/>
        <v>70</v>
      </c>
      <c r="F298" s="1" t="str">
        <f t="shared" si="106"/>
        <v/>
      </c>
      <c r="G298" s="1" t="str">
        <f t="shared" si="96"/>
        <v/>
      </c>
      <c r="J298" s="64" t="str">
        <f t="shared" si="107"/>
        <v/>
      </c>
      <c r="K298" s="72" t="str">
        <f t="shared" si="97"/>
        <v/>
      </c>
      <c r="N298" s="64" t="str">
        <f t="shared" si="108"/>
        <v/>
      </c>
      <c r="O298" s="72" t="str">
        <f t="shared" si="98"/>
        <v/>
      </c>
      <c r="R298" s="64" t="str">
        <f t="shared" si="109"/>
        <v/>
      </c>
      <c r="S298" s="72" t="str">
        <f t="shared" si="99"/>
        <v/>
      </c>
      <c r="V298" s="64" t="str">
        <f t="shared" si="110"/>
        <v/>
      </c>
      <c r="W298" s="72" t="str">
        <f t="shared" si="100"/>
        <v/>
      </c>
      <c r="Z298" s="64" t="str">
        <f t="shared" si="111"/>
        <v/>
      </c>
      <c r="AA298" s="72" t="str">
        <f t="shared" si="101"/>
        <v/>
      </c>
      <c r="AD298" s="64" t="str">
        <f t="shared" si="112"/>
        <v/>
      </c>
      <c r="AE298" s="72" t="str">
        <f t="shared" si="102"/>
        <v/>
      </c>
      <c r="AH298" s="64" t="str">
        <f t="shared" si="113"/>
        <v/>
      </c>
      <c r="AI298" s="72" t="str">
        <f t="shared" si="103"/>
        <v/>
      </c>
      <c r="AL298" s="64" t="str">
        <f t="shared" si="114"/>
        <v/>
      </c>
      <c r="AM298" s="72" t="str">
        <f t="shared" si="104"/>
        <v/>
      </c>
      <c r="AP298" s="64" t="str">
        <f t="shared" si="115"/>
        <v/>
      </c>
      <c r="AQ298" s="72" t="str">
        <f t="shared" si="105"/>
        <v/>
      </c>
    </row>
    <row r="299" spans="1:43" x14ac:dyDescent="0.25">
      <c r="A299" s="49">
        <v>35.000000000000007</v>
      </c>
      <c r="B299" s="50">
        <v>60.621778264910702</v>
      </c>
      <c r="C299" s="38">
        <f t="shared" si="95"/>
        <v>70</v>
      </c>
      <c r="F299" s="1" t="str">
        <f t="shared" si="106"/>
        <v/>
      </c>
      <c r="G299" s="1" t="str">
        <f t="shared" si="96"/>
        <v/>
      </c>
      <c r="J299" s="64" t="str">
        <f t="shared" si="107"/>
        <v/>
      </c>
      <c r="K299" s="72" t="str">
        <f t="shared" si="97"/>
        <v/>
      </c>
      <c r="N299" s="64" t="str">
        <f t="shared" si="108"/>
        <v/>
      </c>
      <c r="O299" s="72" t="str">
        <f t="shared" si="98"/>
        <v/>
      </c>
      <c r="R299" s="64" t="str">
        <f t="shared" si="109"/>
        <v/>
      </c>
      <c r="S299" s="72" t="str">
        <f t="shared" si="99"/>
        <v/>
      </c>
      <c r="V299" s="64" t="str">
        <f t="shared" si="110"/>
        <v/>
      </c>
      <c r="W299" s="72" t="str">
        <f t="shared" si="100"/>
        <v/>
      </c>
      <c r="Z299" s="64" t="str">
        <f t="shared" si="111"/>
        <v/>
      </c>
      <c r="AA299" s="72" t="str">
        <f t="shared" si="101"/>
        <v/>
      </c>
      <c r="AD299" s="64" t="str">
        <f t="shared" si="112"/>
        <v/>
      </c>
      <c r="AE299" s="72" t="str">
        <f t="shared" si="102"/>
        <v/>
      </c>
      <c r="AH299" s="64" t="str">
        <f t="shared" si="113"/>
        <v/>
      </c>
      <c r="AI299" s="72" t="str">
        <f t="shared" si="103"/>
        <v/>
      </c>
      <c r="AL299" s="64" t="str">
        <f t="shared" si="114"/>
        <v/>
      </c>
      <c r="AM299" s="72" t="str">
        <f t="shared" si="104"/>
        <v/>
      </c>
      <c r="AP299" s="64" t="str">
        <f t="shared" si="115"/>
        <v/>
      </c>
      <c r="AQ299" s="72" t="str">
        <f t="shared" si="105"/>
        <v/>
      </c>
    </row>
    <row r="300" spans="1:43" x14ac:dyDescent="0.25">
      <c r="A300" s="49">
        <v>23.941410032796817</v>
      </c>
      <c r="B300" s="50">
        <v>65.778483455013586</v>
      </c>
      <c r="C300" s="38">
        <f t="shared" si="95"/>
        <v>70</v>
      </c>
      <c r="F300" s="1" t="str">
        <f t="shared" si="106"/>
        <v/>
      </c>
      <c r="G300" s="1" t="str">
        <f t="shared" si="96"/>
        <v/>
      </c>
      <c r="J300" s="64" t="str">
        <f t="shared" si="107"/>
        <v/>
      </c>
      <c r="K300" s="72" t="str">
        <f t="shared" si="97"/>
        <v/>
      </c>
      <c r="N300" s="64" t="str">
        <f t="shared" si="108"/>
        <v/>
      </c>
      <c r="O300" s="72" t="str">
        <f t="shared" si="98"/>
        <v/>
      </c>
      <c r="R300" s="64" t="str">
        <f t="shared" si="109"/>
        <v/>
      </c>
      <c r="S300" s="72" t="str">
        <f t="shared" si="99"/>
        <v/>
      </c>
      <c r="V300" s="64" t="str">
        <f t="shared" si="110"/>
        <v/>
      </c>
      <c r="W300" s="72" t="str">
        <f t="shared" si="100"/>
        <v/>
      </c>
      <c r="Z300" s="64" t="str">
        <f t="shared" si="111"/>
        <v/>
      </c>
      <c r="AA300" s="72" t="str">
        <f t="shared" si="101"/>
        <v/>
      </c>
      <c r="AD300" s="64" t="str">
        <f t="shared" si="112"/>
        <v/>
      </c>
      <c r="AE300" s="72" t="str">
        <f t="shared" si="102"/>
        <v/>
      </c>
      <c r="AH300" s="64" t="str">
        <f t="shared" si="113"/>
        <v/>
      </c>
      <c r="AI300" s="72" t="str">
        <f t="shared" si="103"/>
        <v/>
      </c>
      <c r="AL300" s="64" t="str">
        <f t="shared" si="114"/>
        <v/>
      </c>
      <c r="AM300" s="72" t="str">
        <f t="shared" si="104"/>
        <v/>
      </c>
      <c r="AP300" s="64" t="str">
        <f t="shared" si="115"/>
        <v/>
      </c>
      <c r="AQ300" s="72" t="str">
        <f t="shared" si="105"/>
        <v/>
      </c>
    </row>
    <row r="301" spans="1:43" x14ac:dyDescent="0.25">
      <c r="A301" s="49">
        <v>12.155372436685129</v>
      </c>
      <c r="B301" s="50">
        <v>68.936542710854567</v>
      </c>
      <c r="C301" s="38">
        <f t="shared" si="95"/>
        <v>70</v>
      </c>
      <c r="F301" s="1" t="str">
        <f t="shared" si="106"/>
        <v/>
      </c>
      <c r="G301" s="1" t="str">
        <f t="shared" si="96"/>
        <v/>
      </c>
      <c r="J301" s="64" t="str">
        <f t="shared" si="107"/>
        <v/>
      </c>
      <c r="K301" s="72" t="str">
        <f t="shared" si="97"/>
        <v/>
      </c>
      <c r="N301" s="64" t="str">
        <f t="shared" si="108"/>
        <v/>
      </c>
      <c r="O301" s="72" t="str">
        <f t="shared" si="98"/>
        <v/>
      </c>
      <c r="R301" s="64" t="str">
        <f t="shared" si="109"/>
        <v/>
      </c>
      <c r="S301" s="72" t="str">
        <f t="shared" si="99"/>
        <v/>
      </c>
      <c r="V301" s="64" t="str">
        <f t="shared" si="110"/>
        <v/>
      </c>
      <c r="W301" s="72" t="str">
        <f t="shared" si="100"/>
        <v/>
      </c>
      <c r="Z301" s="64" t="str">
        <f t="shared" si="111"/>
        <v/>
      </c>
      <c r="AA301" s="72" t="str">
        <f t="shared" si="101"/>
        <v/>
      </c>
      <c r="AD301" s="64" t="str">
        <f t="shared" si="112"/>
        <v/>
      </c>
      <c r="AE301" s="72" t="str">
        <f t="shared" si="102"/>
        <v/>
      </c>
      <c r="AH301" s="64" t="str">
        <f t="shared" si="113"/>
        <v/>
      </c>
      <c r="AI301" s="72" t="str">
        <f t="shared" si="103"/>
        <v/>
      </c>
      <c r="AL301" s="64" t="str">
        <f t="shared" si="114"/>
        <v/>
      </c>
      <c r="AM301" s="72" t="str">
        <f t="shared" si="104"/>
        <v/>
      </c>
      <c r="AP301" s="64" t="str">
        <f t="shared" si="115"/>
        <v/>
      </c>
      <c r="AQ301" s="72" t="str">
        <f t="shared" si="105"/>
        <v/>
      </c>
    </row>
    <row r="302" spans="1:43" x14ac:dyDescent="0.25">
      <c r="A302" s="49">
        <v>4.28801959218017E-15</v>
      </c>
      <c r="B302" s="50">
        <v>70</v>
      </c>
      <c r="C302" s="38">
        <f t="shared" si="95"/>
        <v>70</v>
      </c>
      <c r="F302" s="1" t="str">
        <f t="shared" si="106"/>
        <v/>
      </c>
      <c r="G302" s="1" t="str">
        <f t="shared" si="96"/>
        <v/>
      </c>
      <c r="J302" s="64" t="str">
        <f t="shared" si="107"/>
        <v/>
      </c>
      <c r="K302" s="72" t="str">
        <f t="shared" si="97"/>
        <v/>
      </c>
      <c r="N302" s="64" t="str">
        <f t="shared" si="108"/>
        <v/>
      </c>
      <c r="O302" s="72" t="str">
        <f t="shared" si="98"/>
        <v/>
      </c>
      <c r="R302" s="64" t="str">
        <f t="shared" si="109"/>
        <v/>
      </c>
      <c r="S302" s="72" t="str">
        <f t="shared" si="99"/>
        <v/>
      </c>
      <c r="V302" s="64" t="str">
        <f t="shared" si="110"/>
        <v/>
      </c>
      <c r="W302" s="72" t="str">
        <f t="shared" si="100"/>
        <v/>
      </c>
      <c r="Z302" s="64" t="str">
        <f t="shared" si="111"/>
        <v/>
      </c>
      <c r="AA302" s="72" t="str">
        <f t="shared" si="101"/>
        <v/>
      </c>
      <c r="AD302" s="64" t="str">
        <f t="shared" si="112"/>
        <v/>
      </c>
      <c r="AE302" s="72" t="str">
        <f t="shared" si="102"/>
        <v/>
      </c>
      <c r="AH302" s="64" t="str">
        <f t="shared" si="113"/>
        <v/>
      </c>
      <c r="AI302" s="72" t="str">
        <f t="shared" si="103"/>
        <v/>
      </c>
      <c r="AL302" s="64" t="str">
        <f t="shared" si="114"/>
        <v/>
      </c>
      <c r="AM302" s="72" t="str">
        <f t="shared" si="104"/>
        <v/>
      </c>
      <c r="AP302" s="64" t="str">
        <f t="shared" si="115"/>
        <v/>
      </c>
      <c r="AQ302" s="72" t="str">
        <f t="shared" si="105"/>
        <v/>
      </c>
    </row>
    <row r="303" spans="1:43" x14ac:dyDescent="0.25">
      <c r="A303" s="49">
        <v>-12.155372436685122</v>
      </c>
      <c r="B303" s="50">
        <v>68.936542710854567</v>
      </c>
      <c r="C303" s="38">
        <f t="shared" si="95"/>
        <v>70</v>
      </c>
      <c r="F303" s="1" t="str">
        <f t="shared" si="106"/>
        <v/>
      </c>
      <c r="G303" s="1" t="str">
        <f t="shared" si="96"/>
        <v/>
      </c>
      <c r="J303" s="64" t="str">
        <f t="shared" si="107"/>
        <v/>
      </c>
      <c r="K303" s="72" t="str">
        <f t="shared" si="97"/>
        <v/>
      </c>
      <c r="N303" s="64" t="str">
        <f t="shared" si="108"/>
        <v/>
      </c>
      <c r="O303" s="72" t="str">
        <f t="shared" si="98"/>
        <v/>
      </c>
      <c r="R303" s="64" t="str">
        <f t="shared" si="109"/>
        <v/>
      </c>
      <c r="S303" s="72" t="str">
        <f t="shared" si="99"/>
        <v/>
      </c>
      <c r="V303" s="64" t="str">
        <f t="shared" si="110"/>
        <v/>
      </c>
      <c r="W303" s="72" t="str">
        <f t="shared" si="100"/>
        <v/>
      </c>
      <c r="Z303" s="64" t="str">
        <f t="shared" si="111"/>
        <v/>
      </c>
      <c r="AA303" s="72" t="str">
        <f t="shared" si="101"/>
        <v/>
      </c>
      <c r="AD303" s="64" t="str">
        <f t="shared" si="112"/>
        <v/>
      </c>
      <c r="AE303" s="72" t="str">
        <f t="shared" si="102"/>
        <v/>
      </c>
      <c r="AH303" s="64" t="str">
        <f t="shared" si="113"/>
        <v/>
      </c>
      <c r="AI303" s="72" t="str">
        <f t="shared" si="103"/>
        <v/>
      </c>
      <c r="AL303" s="64" t="str">
        <f t="shared" si="114"/>
        <v/>
      </c>
      <c r="AM303" s="72" t="str">
        <f t="shared" si="104"/>
        <v/>
      </c>
      <c r="AP303" s="64" t="str">
        <f t="shared" si="115"/>
        <v/>
      </c>
      <c r="AQ303" s="72" t="str">
        <f t="shared" si="105"/>
        <v/>
      </c>
    </row>
    <row r="304" spans="1:43" x14ac:dyDescent="0.25">
      <c r="A304" s="49">
        <v>-23.94141003279681</v>
      </c>
      <c r="B304" s="50">
        <v>65.778483455013586</v>
      </c>
      <c r="C304" s="38">
        <f t="shared" si="95"/>
        <v>70</v>
      </c>
      <c r="F304" s="1" t="str">
        <f t="shared" si="106"/>
        <v/>
      </c>
      <c r="G304" s="1" t="str">
        <f t="shared" si="96"/>
        <v/>
      </c>
      <c r="J304" s="64" t="str">
        <f t="shared" si="107"/>
        <v/>
      </c>
      <c r="K304" s="72" t="str">
        <f t="shared" si="97"/>
        <v/>
      </c>
      <c r="N304" s="64" t="str">
        <f t="shared" si="108"/>
        <v/>
      </c>
      <c r="O304" s="72" t="str">
        <f t="shared" si="98"/>
        <v/>
      </c>
      <c r="R304" s="64" t="str">
        <f t="shared" si="109"/>
        <v/>
      </c>
      <c r="S304" s="72" t="str">
        <f t="shared" si="99"/>
        <v/>
      </c>
      <c r="V304" s="64" t="str">
        <f t="shared" si="110"/>
        <v/>
      </c>
      <c r="W304" s="72" t="str">
        <f t="shared" si="100"/>
        <v/>
      </c>
      <c r="Z304" s="64" t="str">
        <f t="shared" si="111"/>
        <v/>
      </c>
      <c r="AA304" s="72" t="str">
        <f t="shared" si="101"/>
        <v/>
      </c>
      <c r="AD304" s="64" t="str">
        <f t="shared" si="112"/>
        <v/>
      </c>
      <c r="AE304" s="72" t="str">
        <f t="shared" si="102"/>
        <v/>
      </c>
      <c r="AH304" s="64" t="str">
        <f t="shared" si="113"/>
        <v/>
      </c>
      <c r="AI304" s="72" t="str">
        <f t="shared" si="103"/>
        <v/>
      </c>
      <c r="AL304" s="64" t="str">
        <f t="shared" si="114"/>
        <v/>
      </c>
      <c r="AM304" s="72" t="str">
        <f t="shared" si="104"/>
        <v/>
      </c>
      <c r="AP304" s="64" t="str">
        <f t="shared" si="115"/>
        <v/>
      </c>
      <c r="AQ304" s="72" t="str">
        <f t="shared" si="105"/>
        <v/>
      </c>
    </row>
    <row r="305" spans="1:43" x14ac:dyDescent="0.25">
      <c r="A305" s="49">
        <v>-34.999999999999986</v>
      </c>
      <c r="B305" s="50">
        <v>60.621778264910709</v>
      </c>
      <c r="C305" s="38">
        <f t="shared" si="95"/>
        <v>70</v>
      </c>
      <c r="F305" s="1" t="str">
        <f t="shared" si="106"/>
        <v/>
      </c>
      <c r="G305" s="1" t="str">
        <f t="shared" si="96"/>
        <v/>
      </c>
      <c r="J305" s="64" t="str">
        <f t="shared" si="107"/>
        <v/>
      </c>
      <c r="K305" s="72" t="str">
        <f t="shared" si="97"/>
        <v/>
      </c>
      <c r="N305" s="64" t="str">
        <f t="shared" si="108"/>
        <v/>
      </c>
      <c r="O305" s="72" t="str">
        <f t="shared" si="98"/>
        <v/>
      </c>
      <c r="R305" s="64" t="str">
        <f t="shared" si="109"/>
        <v/>
      </c>
      <c r="S305" s="72" t="str">
        <f t="shared" si="99"/>
        <v/>
      </c>
      <c r="V305" s="64" t="str">
        <f t="shared" si="110"/>
        <v/>
      </c>
      <c r="W305" s="72" t="str">
        <f t="shared" si="100"/>
        <v/>
      </c>
      <c r="Z305" s="64" t="str">
        <f t="shared" si="111"/>
        <v/>
      </c>
      <c r="AA305" s="72" t="str">
        <f t="shared" si="101"/>
        <v/>
      </c>
      <c r="AD305" s="64" t="str">
        <f t="shared" si="112"/>
        <v/>
      </c>
      <c r="AE305" s="72" t="str">
        <f t="shared" si="102"/>
        <v/>
      </c>
      <c r="AH305" s="64" t="str">
        <f t="shared" si="113"/>
        <v/>
      </c>
      <c r="AI305" s="72" t="str">
        <f t="shared" si="103"/>
        <v/>
      </c>
      <c r="AL305" s="64" t="str">
        <f t="shared" si="114"/>
        <v/>
      </c>
      <c r="AM305" s="72" t="str">
        <f t="shared" si="104"/>
        <v/>
      </c>
      <c r="AP305" s="64" t="str">
        <f t="shared" si="115"/>
        <v/>
      </c>
      <c r="AQ305" s="72" t="str">
        <f t="shared" si="105"/>
        <v/>
      </c>
    </row>
    <row r="306" spans="1:43" x14ac:dyDescent="0.25">
      <c r="A306" s="49">
        <v>-44.995132678057757</v>
      </c>
      <c r="B306" s="50">
        <v>53.623111018328458</v>
      </c>
      <c r="C306" s="38">
        <f t="shared" si="95"/>
        <v>70</v>
      </c>
      <c r="F306" s="1" t="str">
        <f t="shared" si="106"/>
        <v/>
      </c>
      <c r="G306" s="1" t="str">
        <f t="shared" si="96"/>
        <v/>
      </c>
      <c r="J306" s="64" t="str">
        <f t="shared" si="107"/>
        <v/>
      </c>
      <c r="K306" s="72" t="str">
        <f t="shared" si="97"/>
        <v/>
      </c>
      <c r="N306" s="64" t="str">
        <f t="shared" si="108"/>
        <v/>
      </c>
      <c r="O306" s="72" t="str">
        <f t="shared" si="98"/>
        <v/>
      </c>
      <c r="R306" s="64" t="str">
        <f t="shared" si="109"/>
        <v/>
      </c>
      <c r="S306" s="72" t="str">
        <f t="shared" si="99"/>
        <v/>
      </c>
      <c r="V306" s="64" t="str">
        <f t="shared" si="110"/>
        <v/>
      </c>
      <c r="W306" s="72" t="str">
        <f t="shared" si="100"/>
        <v/>
      </c>
      <c r="Z306" s="64" t="str">
        <f t="shared" si="111"/>
        <v/>
      </c>
      <c r="AA306" s="72" t="str">
        <f t="shared" si="101"/>
        <v/>
      </c>
      <c r="AD306" s="64" t="str">
        <f t="shared" si="112"/>
        <v/>
      </c>
      <c r="AE306" s="72" t="str">
        <f t="shared" si="102"/>
        <v/>
      </c>
      <c r="AH306" s="64" t="str">
        <f t="shared" si="113"/>
        <v/>
      </c>
      <c r="AI306" s="72" t="str">
        <f t="shared" si="103"/>
        <v/>
      </c>
      <c r="AL306" s="64" t="str">
        <f t="shared" si="114"/>
        <v/>
      </c>
      <c r="AM306" s="72" t="str">
        <f t="shared" si="104"/>
        <v/>
      </c>
      <c r="AP306" s="64" t="str">
        <f t="shared" si="115"/>
        <v/>
      </c>
      <c r="AQ306" s="72" t="str">
        <f t="shared" si="105"/>
        <v/>
      </c>
    </row>
    <row r="307" spans="1:43" x14ac:dyDescent="0.25">
      <c r="A307" s="49">
        <v>-53.623111018328451</v>
      </c>
      <c r="B307" s="50">
        <v>44.995132678057765</v>
      </c>
      <c r="C307" s="38">
        <f t="shared" si="95"/>
        <v>70</v>
      </c>
      <c r="F307" s="1" t="str">
        <f t="shared" si="106"/>
        <v/>
      </c>
      <c r="G307" s="1" t="str">
        <f t="shared" si="96"/>
        <v/>
      </c>
      <c r="J307" s="64" t="str">
        <f t="shared" si="107"/>
        <v/>
      </c>
      <c r="K307" s="72" t="str">
        <f t="shared" si="97"/>
        <v/>
      </c>
      <c r="N307" s="64" t="str">
        <f t="shared" si="108"/>
        <v/>
      </c>
      <c r="O307" s="72" t="str">
        <f t="shared" si="98"/>
        <v/>
      </c>
      <c r="R307" s="64" t="str">
        <f t="shared" si="109"/>
        <v/>
      </c>
      <c r="S307" s="72" t="str">
        <f t="shared" si="99"/>
        <v/>
      </c>
      <c r="V307" s="64" t="str">
        <f t="shared" si="110"/>
        <v/>
      </c>
      <c r="W307" s="72" t="str">
        <f t="shared" si="100"/>
        <v/>
      </c>
      <c r="Z307" s="64" t="str">
        <f t="shared" si="111"/>
        <v/>
      </c>
      <c r="AA307" s="72" t="str">
        <f t="shared" si="101"/>
        <v/>
      </c>
      <c r="AD307" s="64" t="str">
        <f t="shared" si="112"/>
        <v/>
      </c>
      <c r="AE307" s="72" t="str">
        <f t="shared" si="102"/>
        <v/>
      </c>
      <c r="AH307" s="64" t="str">
        <f t="shared" si="113"/>
        <v/>
      </c>
      <c r="AI307" s="72" t="str">
        <f t="shared" si="103"/>
        <v/>
      </c>
      <c r="AL307" s="64" t="str">
        <f t="shared" si="114"/>
        <v/>
      </c>
      <c r="AM307" s="72" t="str">
        <f t="shared" si="104"/>
        <v/>
      </c>
      <c r="AP307" s="64" t="str">
        <f t="shared" si="115"/>
        <v/>
      </c>
      <c r="AQ307" s="72" t="str">
        <f t="shared" si="105"/>
        <v/>
      </c>
    </row>
    <row r="308" spans="1:43" x14ac:dyDescent="0.25">
      <c r="A308" s="49">
        <v>-60.621778264910709</v>
      </c>
      <c r="B308" s="50">
        <v>34.999999999999993</v>
      </c>
      <c r="C308" s="38">
        <f t="shared" si="95"/>
        <v>70</v>
      </c>
      <c r="F308" s="1" t="str">
        <f t="shared" si="106"/>
        <v/>
      </c>
      <c r="G308" s="1" t="str">
        <f t="shared" si="96"/>
        <v/>
      </c>
      <c r="J308" s="64" t="str">
        <f t="shared" si="107"/>
        <v/>
      </c>
      <c r="K308" s="72" t="str">
        <f t="shared" si="97"/>
        <v/>
      </c>
      <c r="N308" s="64" t="str">
        <f t="shared" si="108"/>
        <v/>
      </c>
      <c r="O308" s="72" t="str">
        <f t="shared" si="98"/>
        <v/>
      </c>
      <c r="R308" s="64" t="str">
        <f t="shared" si="109"/>
        <v/>
      </c>
      <c r="S308" s="72" t="str">
        <f t="shared" si="99"/>
        <v/>
      </c>
      <c r="V308" s="64" t="str">
        <f t="shared" si="110"/>
        <v/>
      </c>
      <c r="W308" s="72" t="str">
        <f t="shared" si="100"/>
        <v/>
      </c>
      <c r="Z308" s="64" t="str">
        <f t="shared" si="111"/>
        <v/>
      </c>
      <c r="AA308" s="72" t="str">
        <f t="shared" si="101"/>
        <v/>
      </c>
      <c r="AD308" s="64" t="str">
        <f t="shared" si="112"/>
        <v/>
      </c>
      <c r="AE308" s="72" t="str">
        <f t="shared" si="102"/>
        <v/>
      </c>
      <c r="AH308" s="64" t="str">
        <f t="shared" si="113"/>
        <v/>
      </c>
      <c r="AI308" s="72" t="str">
        <f t="shared" si="103"/>
        <v/>
      </c>
      <c r="AL308" s="64" t="str">
        <f t="shared" si="114"/>
        <v/>
      </c>
      <c r="AM308" s="72" t="str">
        <f t="shared" si="104"/>
        <v/>
      </c>
      <c r="AP308" s="64" t="str">
        <f t="shared" si="115"/>
        <v/>
      </c>
      <c r="AQ308" s="72" t="str">
        <f t="shared" si="105"/>
        <v/>
      </c>
    </row>
    <row r="309" spans="1:43" x14ac:dyDescent="0.25">
      <c r="A309" s="49">
        <v>-65.778483455013586</v>
      </c>
      <c r="B309" s="50">
        <v>23.941410032796821</v>
      </c>
      <c r="C309" s="38">
        <f t="shared" si="95"/>
        <v>70</v>
      </c>
      <c r="F309" s="1" t="str">
        <f t="shared" si="106"/>
        <v/>
      </c>
      <c r="G309" s="1" t="str">
        <f t="shared" si="96"/>
        <v/>
      </c>
      <c r="J309" s="64" t="str">
        <f t="shared" si="107"/>
        <v/>
      </c>
      <c r="K309" s="72" t="str">
        <f t="shared" si="97"/>
        <v/>
      </c>
      <c r="N309" s="64" t="str">
        <f t="shared" si="108"/>
        <v/>
      </c>
      <c r="O309" s="72" t="str">
        <f t="shared" si="98"/>
        <v/>
      </c>
      <c r="R309" s="64" t="str">
        <f t="shared" si="109"/>
        <v/>
      </c>
      <c r="S309" s="72" t="str">
        <f t="shared" si="99"/>
        <v/>
      </c>
      <c r="V309" s="64" t="str">
        <f t="shared" si="110"/>
        <v/>
      </c>
      <c r="W309" s="72" t="str">
        <f t="shared" si="100"/>
        <v/>
      </c>
      <c r="Z309" s="64" t="str">
        <f t="shared" si="111"/>
        <v/>
      </c>
      <c r="AA309" s="72" t="str">
        <f t="shared" si="101"/>
        <v/>
      </c>
      <c r="AD309" s="64" t="str">
        <f t="shared" si="112"/>
        <v/>
      </c>
      <c r="AE309" s="72" t="str">
        <f t="shared" si="102"/>
        <v/>
      </c>
      <c r="AH309" s="64" t="str">
        <f t="shared" si="113"/>
        <v/>
      </c>
      <c r="AI309" s="72" t="str">
        <f t="shared" si="103"/>
        <v/>
      </c>
      <c r="AL309" s="64" t="str">
        <f t="shared" si="114"/>
        <v/>
      </c>
      <c r="AM309" s="72" t="str">
        <f t="shared" si="104"/>
        <v/>
      </c>
      <c r="AP309" s="64" t="str">
        <f t="shared" si="115"/>
        <v/>
      </c>
      <c r="AQ309" s="72" t="str">
        <f t="shared" si="105"/>
        <v/>
      </c>
    </row>
    <row r="310" spans="1:43" x14ac:dyDescent="0.25">
      <c r="A310" s="49">
        <v>-68.936542710854567</v>
      </c>
      <c r="B310" s="50">
        <v>12.15537243668512</v>
      </c>
      <c r="C310" s="38">
        <f t="shared" si="95"/>
        <v>70</v>
      </c>
      <c r="F310" s="1" t="str">
        <f t="shared" si="106"/>
        <v/>
      </c>
      <c r="G310" s="1" t="str">
        <f t="shared" si="96"/>
        <v/>
      </c>
      <c r="J310" s="64" t="str">
        <f t="shared" si="107"/>
        <v/>
      </c>
      <c r="K310" s="72" t="str">
        <f t="shared" si="97"/>
        <v/>
      </c>
      <c r="N310" s="64" t="str">
        <f t="shared" si="108"/>
        <v/>
      </c>
      <c r="O310" s="72" t="str">
        <f t="shared" si="98"/>
        <v/>
      </c>
      <c r="R310" s="64" t="str">
        <f t="shared" si="109"/>
        <v/>
      </c>
      <c r="S310" s="72" t="str">
        <f t="shared" si="99"/>
        <v/>
      </c>
      <c r="V310" s="64" t="str">
        <f t="shared" si="110"/>
        <v/>
      </c>
      <c r="W310" s="72" t="str">
        <f t="shared" si="100"/>
        <v/>
      </c>
      <c r="Z310" s="64" t="str">
        <f t="shared" si="111"/>
        <v/>
      </c>
      <c r="AA310" s="72" t="str">
        <f t="shared" si="101"/>
        <v/>
      </c>
      <c r="AD310" s="64" t="str">
        <f t="shared" si="112"/>
        <v/>
      </c>
      <c r="AE310" s="72" t="str">
        <f t="shared" si="102"/>
        <v/>
      </c>
      <c r="AH310" s="64" t="str">
        <f t="shared" si="113"/>
        <v/>
      </c>
      <c r="AI310" s="72" t="str">
        <f t="shared" si="103"/>
        <v/>
      </c>
      <c r="AL310" s="64" t="str">
        <f t="shared" si="114"/>
        <v/>
      </c>
      <c r="AM310" s="72" t="str">
        <f t="shared" si="104"/>
        <v/>
      </c>
      <c r="AP310" s="64" t="str">
        <f t="shared" si="115"/>
        <v/>
      </c>
      <c r="AQ310" s="72" t="str">
        <f t="shared" si="105"/>
        <v/>
      </c>
    </row>
    <row r="311" spans="1:43" x14ac:dyDescent="0.25">
      <c r="A311" s="49">
        <v>-70</v>
      </c>
      <c r="B311" s="50">
        <v>8.5760391843603401E-15</v>
      </c>
      <c r="C311" s="38">
        <f t="shared" si="95"/>
        <v>70</v>
      </c>
      <c r="F311" s="1" t="str">
        <f t="shared" si="106"/>
        <v/>
      </c>
      <c r="G311" s="1" t="str">
        <f t="shared" si="96"/>
        <v/>
      </c>
      <c r="J311" s="64" t="str">
        <f t="shared" si="107"/>
        <v/>
      </c>
      <c r="K311" s="72" t="str">
        <f t="shared" si="97"/>
        <v/>
      </c>
      <c r="N311" s="64" t="str">
        <f t="shared" si="108"/>
        <v/>
      </c>
      <c r="O311" s="72" t="str">
        <f t="shared" si="98"/>
        <v/>
      </c>
      <c r="R311" s="64" t="str">
        <f t="shared" si="109"/>
        <v/>
      </c>
      <c r="S311" s="72" t="str">
        <f t="shared" si="99"/>
        <v/>
      </c>
      <c r="V311" s="64" t="str">
        <f t="shared" si="110"/>
        <v/>
      </c>
      <c r="W311" s="72" t="str">
        <f t="shared" si="100"/>
        <v/>
      </c>
      <c r="Z311" s="64" t="str">
        <f t="shared" si="111"/>
        <v/>
      </c>
      <c r="AA311" s="72" t="str">
        <f t="shared" si="101"/>
        <v/>
      </c>
      <c r="AD311" s="64" t="str">
        <f t="shared" si="112"/>
        <v/>
      </c>
      <c r="AE311" s="72" t="str">
        <f t="shared" si="102"/>
        <v/>
      </c>
      <c r="AH311" s="64" t="str">
        <f t="shared" si="113"/>
        <v/>
      </c>
      <c r="AI311" s="72" t="str">
        <f t="shared" si="103"/>
        <v/>
      </c>
      <c r="AL311" s="64" t="str">
        <f t="shared" si="114"/>
        <v/>
      </c>
      <c r="AM311" s="72" t="str">
        <f t="shared" si="104"/>
        <v/>
      </c>
      <c r="AP311" s="64" t="str">
        <f t="shared" si="115"/>
        <v/>
      </c>
      <c r="AQ311" s="72" t="str">
        <f t="shared" si="105"/>
        <v/>
      </c>
    </row>
    <row r="312" spans="1:43" x14ac:dyDescent="0.25">
      <c r="A312" s="49">
        <v>-68.936542710854567</v>
      </c>
      <c r="B312" s="50">
        <v>-12.155372436685132</v>
      </c>
      <c r="C312" s="38">
        <f t="shared" si="95"/>
        <v>70</v>
      </c>
      <c r="F312" s="1" t="str">
        <f t="shared" si="106"/>
        <v/>
      </c>
      <c r="G312" s="1" t="str">
        <f t="shared" si="96"/>
        <v/>
      </c>
      <c r="J312" s="64" t="str">
        <f t="shared" si="107"/>
        <v/>
      </c>
      <c r="K312" s="72" t="str">
        <f t="shared" si="97"/>
        <v/>
      </c>
      <c r="N312" s="64" t="str">
        <f t="shared" si="108"/>
        <v/>
      </c>
      <c r="O312" s="72" t="str">
        <f t="shared" si="98"/>
        <v/>
      </c>
      <c r="R312" s="64" t="str">
        <f t="shared" si="109"/>
        <v/>
      </c>
      <c r="S312" s="72" t="str">
        <f t="shared" si="99"/>
        <v/>
      </c>
      <c r="V312" s="64" t="str">
        <f t="shared" si="110"/>
        <v/>
      </c>
      <c r="W312" s="72" t="str">
        <f t="shared" si="100"/>
        <v/>
      </c>
      <c r="Z312" s="64" t="str">
        <f t="shared" si="111"/>
        <v/>
      </c>
      <c r="AA312" s="72" t="str">
        <f t="shared" si="101"/>
        <v/>
      </c>
      <c r="AD312" s="64" t="str">
        <f t="shared" si="112"/>
        <v/>
      </c>
      <c r="AE312" s="72" t="str">
        <f t="shared" si="102"/>
        <v/>
      </c>
      <c r="AH312" s="64" t="str">
        <f t="shared" si="113"/>
        <v/>
      </c>
      <c r="AI312" s="72" t="str">
        <f t="shared" si="103"/>
        <v/>
      </c>
      <c r="AL312" s="64" t="str">
        <f t="shared" si="114"/>
        <v/>
      </c>
      <c r="AM312" s="72" t="str">
        <f t="shared" si="104"/>
        <v/>
      </c>
      <c r="AP312" s="64" t="str">
        <f t="shared" si="115"/>
        <v/>
      </c>
      <c r="AQ312" s="72" t="str">
        <f t="shared" si="105"/>
        <v/>
      </c>
    </row>
    <row r="313" spans="1:43" x14ac:dyDescent="0.25">
      <c r="A313" s="49">
        <v>-65.778483455013586</v>
      </c>
      <c r="B313" s="50">
        <v>-23.941410032796806</v>
      </c>
      <c r="C313" s="38">
        <f t="shared" si="95"/>
        <v>70</v>
      </c>
      <c r="F313" s="1" t="str">
        <f t="shared" si="106"/>
        <v/>
      </c>
      <c r="G313" s="1" t="str">
        <f t="shared" si="96"/>
        <v/>
      </c>
      <c r="J313" s="64" t="str">
        <f t="shared" si="107"/>
        <v/>
      </c>
      <c r="K313" s="72" t="str">
        <f t="shared" si="97"/>
        <v/>
      </c>
      <c r="N313" s="64" t="str">
        <f t="shared" si="108"/>
        <v/>
      </c>
      <c r="O313" s="72" t="str">
        <f t="shared" si="98"/>
        <v/>
      </c>
      <c r="R313" s="64" t="str">
        <f t="shared" si="109"/>
        <v/>
      </c>
      <c r="S313" s="72" t="str">
        <f t="shared" si="99"/>
        <v/>
      </c>
      <c r="V313" s="64" t="str">
        <f t="shared" si="110"/>
        <v/>
      </c>
      <c r="W313" s="72" t="str">
        <f t="shared" si="100"/>
        <v/>
      </c>
      <c r="Z313" s="64" t="str">
        <f t="shared" si="111"/>
        <v/>
      </c>
      <c r="AA313" s="72" t="str">
        <f t="shared" si="101"/>
        <v/>
      </c>
      <c r="AD313" s="64" t="str">
        <f t="shared" si="112"/>
        <v/>
      </c>
      <c r="AE313" s="72" t="str">
        <f t="shared" si="102"/>
        <v/>
      </c>
      <c r="AH313" s="64" t="str">
        <f t="shared" si="113"/>
        <v/>
      </c>
      <c r="AI313" s="72" t="str">
        <f t="shared" si="103"/>
        <v/>
      </c>
      <c r="AL313" s="64" t="str">
        <f t="shared" si="114"/>
        <v/>
      </c>
      <c r="AM313" s="72" t="str">
        <f t="shared" si="104"/>
        <v/>
      </c>
      <c r="AP313" s="64" t="str">
        <f t="shared" si="115"/>
        <v/>
      </c>
      <c r="AQ313" s="72" t="str">
        <f t="shared" si="105"/>
        <v/>
      </c>
    </row>
    <row r="314" spans="1:43" x14ac:dyDescent="0.25">
      <c r="A314" s="49">
        <v>-60.621778264910702</v>
      </c>
      <c r="B314" s="50">
        <v>-35.000000000000007</v>
      </c>
      <c r="C314" s="38">
        <f t="shared" si="95"/>
        <v>70</v>
      </c>
      <c r="F314" s="1" t="str">
        <f t="shared" si="106"/>
        <v/>
      </c>
      <c r="G314" s="1" t="str">
        <f t="shared" si="96"/>
        <v/>
      </c>
      <c r="J314" s="64" t="str">
        <f t="shared" si="107"/>
        <v/>
      </c>
      <c r="K314" s="72" t="str">
        <f t="shared" si="97"/>
        <v/>
      </c>
      <c r="N314" s="64" t="str">
        <f t="shared" si="108"/>
        <v/>
      </c>
      <c r="O314" s="72" t="str">
        <f t="shared" si="98"/>
        <v/>
      </c>
      <c r="R314" s="64" t="str">
        <f t="shared" si="109"/>
        <v/>
      </c>
      <c r="S314" s="72" t="str">
        <f t="shared" si="99"/>
        <v/>
      </c>
      <c r="V314" s="64" t="str">
        <f t="shared" si="110"/>
        <v/>
      </c>
      <c r="W314" s="72" t="str">
        <f t="shared" si="100"/>
        <v/>
      </c>
      <c r="Z314" s="64" t="str">
        <f t="shared" si="111"/>
        <v/>
      </c>
      <c r="AA314" s="72" t="str">
        <f t="shared" si="101"/>
        <v/>
      </c>
      <c r="AD314" s="64" t="str">
        <f t="shared" si="112"/>
        <v/>
      </c>
      <c r="AE314" s="72" t="str">
        <f t="shared" si="102"/>
        <v/>
      </c>
      <c r="AH314" s="64" t="str">
        <f t="shared" si="113"/>
        <v/>
      </c>
      <c r="AI314" s="72" t="str">
        <f t="shared" si="103"/>
        <v/>
      </c>
      <c r="AL314" s="64" t="str">
        <f t="shared" si="114"/>
        <v/>
      </c>
      <c r="AM314" s="72" t="str">
        <f t="shared" si="104"/>
        <v/>
      </c>
      <c r="AP314" s="64" t="str">
        <f t="shared" si="115"/>
        <v/>
      </c>
      <c r="AQ314" s="72" t="str">
        <f t="shared" si="105"/>
        <v/>
      </c>
    </row>
    <row r="315" spans="1:43" x14ac:dyDescent="0.25">
      <c r="A315" s="49">
        <v>-53.623111018328458</v>
      </c>
      <c r="B315" s="50">
        <v>-44.99513267805775</v>
      </c>
      <c r="C315" s="38">
        <f t="shared" si="95"/>
        <v>70</v>
      </c>
      <c r="F315" s="1" t="str">
        <f t="shared" si="106"/>
        <v/>
      </c>
      <c r="G315" s="1" t="str">
        <f t="shared" si="96"/>
        <v/>
      </c>
      <c r="J315" s="64" t="str">
        <f t="shared" si="107"/>
        <v/>
      </c>
      <c r="K315" s="72" t="str">
        <f t="shared" si="97"/>
        <v/>
      </c>
      <c r="N315" s="64" t="str">
        <f t="shared" si="108"/>
        <v/>
      </c>
      <c r="O315" s="72" t="str">
        <f t="shared" si="98"/>
        <v/>
      </c>
      <c r="R315" s="64" t="str">
        <f t="shared" si="109"/>
        <v/>
      </c>
      <c r="S315" s="72" t="str">
        <f t="shared" si="99"/>
        <v/>
      </c>
      <c r="V315" s="64" t="str">
        <f t="shared" si="110"/>
        <v/>
      </c>
      <c r="W315" s="72" t="str">
        <f t="shared" si="100"/>
        <v/>
      </c>
      <c r="Z315" s="64" t="str">
        <f t="shared" si="111"/>
        <v/>
      </c>
      <c r="AA315" s="72" t="str">
        <f t="shared" si="101"/>
        <v/>
      </c>
      <c r="AD315" s="64" t="str">
        <f t="shared" si="112"/>
        <v/>
      </c>
      <c r="AE315" s="72" t="str">
        <f t="shared" si="102"/>
        <v/>
      </c>
      <c r="AH315" s="64" t="str">
        <f t="shared" si="113"/>
        <v/>
      </c>
      <c r="AI315" s="72" t="str">
        <f t="shared" si="103"/>
        <v/>
      </c>
      <c r="AL315" s="64" t="str">
        <f t="shared" si="114"/>
        <v/>
      </c>
      <c r="AM315" s="72" t="str">
        <f t="shared" si="104"/>
        <v/>
      </c>
      <c r="AP315" s="64" t="str">
        <f t="shared" si="115"/>
        <v/>
      </c>
      <c r="AQ315" s="72" t="str">
        <f t="shared" si="105"/>
        <v/>
      </c>
    </row>
    <row r="316" spans="1:43" x14ac:dyDescent="0.25">
      <c r="A316" s="49">
        <v>-44.995132678057765</v>
      </c>
      <c r="B316" s="50">
        <v>-53.623111018328451</v>
      </c>
      <c r="C316" s="38">
        <f t="shared" ref="C316:C379" si="116">(A316^2+B316^2)^(1/2)</f>
        <v>70</v>
      </c>
      <c r="F316" s="1" t="str">
        <f t="shared" si="106"/>
        <v/>
      </c>
      <c r="G316" s="1" t="str">
        <f t="shared" ref="G316:G379" si="117">IFERROR(IF(G$16="","",F316/(G$16/60)),"")</f>
        <v/>
      </c>
      <c r="J316" s="64" t="str">
        <f t="shared" si="107"/>
        <v/>
      </c>
      <c r="K316" s="72" t="str">
        <f t="shared" ref="K316:K379" si="118">IFERROR(IF(K$16="","",J316/(K$16/60)),"")</f>
        <v/>
      </c>
      <c r="N316" s="64" t="str">
        <f t="shared" si="108"/>
        <v/>
      </c>
      <c r="O316" s="72" t="str">
        <f t="shared" ref="O316:O379" si="119">IFERROR(IF(O$16="","",N316/(O$16/60)),"")</f>
        <v/>
      </c>
      <c r="R316" s="64" t="str">
        <f t="shared" si="109"/>
        <v/>
      </c>
      <c r="S316" s="72" t="str">
        <f t="shared" ref="S316:S379" si="120">IFERROR(IF(S$16="","",R316/(S$16/60)),"")</f>
        <v/>
      </c>
      <c r="V316" s="64" t="str">
        <f t="shared" si="110"/>
        <v/>
      </c>
      <c r="W316" s="72" t="str">
        <f t="shared" ref="W316:W379" si="121">IFERROR(IF(W$16="","",V316/(W$16/60)),"")</f>
        <v/>
      </c>
      <c r="Z316" s="64" t="str">
        <f t="shared" si="111"/>
        <v/>
      </c>
      <c r="AA316" s="72" t="str">
        <f t="shared" ref="AA316:AA379" si="122">IFERROR(IF(AA$16="","",Z316/(AA$16/60)),"")</f>
        <v/>
      </c>
      <c r="AD316" s="64" t="str">
        <f t="shared" si="112"/>
        <v/>
      </c>
      <c r="AE316" s="72" t="str">
        <f t="shared" ref="AE316:AE379" si="123">IFERROR(IF(AE$16="","",AD316/(AE$16/60)),"")</f>
        <v/>
      </c>
      <c r="AH316" s="64" t="str">
        <f t="shared" si="113"/>
        <v/>
      </c>
      <c r="AI316" s="72" t="str">
        <f t="shared" ref="AI316:AI379" si="124">IFERROR(IF(AI$16="","",AH316/(AI$16/60)),"")</f>
        <v/>
      </c>
      <c r="AL316" s="64" t="str">
        <f t="shared" si="114"/>
        <v/>
      </c>
      <c r="AM316" s="72" t="str">
        <f t="shared" ref="AM316:AM379" si="125">IFERROR(IF(AM$16="","",AL316/(AM$16/60)),"")</f>
        <v/>
      </c>
      <c r="AP316" s="64" t="str">
        <f t="shared" si="115"/>
        <v/>
      </c>
      <c r="AQ316" s="72" t="str">
        <f t="shared" ref="AQ316:AQ379" si="126">IFERROR(IF(AQ$16="","",AP316/(AQ$16/60)),"")</f>
        <v/>
      </c>
    </row>
    <row r="317" spans="1:43" x14ac:dyDescent="0.25">
      <c r="A317" s="49">
        <v>-35.000000000000028</v>
      </c>
      <c r="B317" s="50">
        <v>-60.621778264910688</v>
      </c>
      <c r="C317" s="38">
        <f t="shared" si="116"/>
        <v>70</v>
      </c>
      <c r="F317" s="1" t="str">
        <f t="shared" ref="F317:F380" si="127">IF(D317="","",(D317-E317)/10)</f>
        <v/>
      </c>
      <c r="G317" s="1" t="str">
        <f t="shared" si="117"/>
        <v/>
      </c>
      <c r="J317" s="64" t="str">
        <f t="shared" ref="J317:J380" si="128">IF(H317="","",(H317-I317)/10)</f>
        <v/>
      </c>
      <c r="K317" s="72" t="str">
        <f t="shared" si="118"/>
        <v/>
      </c>
      <c r="N317" s="64" t="str">
        <f t="shared" ref="N317:N380" si="129">IF(L317="","",(L317-M317)/10)</f>
        <v/>
      </c>
      <c r="O317" s="72" t="str">
        <f t="shared" si="119"/>
        <v/>
      </c>
      <c r="R317" s="64" t="str">
        <f t="shared" ref="R317:R380" si="130">IF(P317="","",(P317-Q317)/10)</f>
        <v/>
      </c>
      <c r="S317" s="72" t="str">
        <f t="shared" si="120"/>
        <v/>
      </c>
      <c r="V317" s="64" t="str">
        <f t="shared" ref="V317:V380" si="131">IF(T317="","",(T317-U317)/10)</f>
        <v/>
      </c>
      <c r="W317" s="72" t="str">
        <f t="shared" si="121"/>
        <v/>
      </c>
      <c r="Z317" s="64" t="str">
        <f t="shared" ref="Z317:Z380" si="132">IF(X317="","",(X317-Y317)/10)</f>
        <v/>
      </c>
      <c r="AA317" s="72" t="str">
        <f t="shared" si="122"/>
        <v/>
      </c>
      <c r="AD317" s="64" t="str">
        <f t="shared" ref="AD317:AD380" si="133">IF(AB317="","",(AB317-AC317)/10)</f>
        <v/>
      </c>
      <c r="AE317" s="72" t="str">
        <f t="shared" si="123"/>
        <v/>
      </c>
      <c r="AH317" s="64" t="str">
        <f t="shared" ref="AH317:AH380" si="134">IF(AF317="","",(AF317-AG317)/10)</f>
        <v/>
      </c>
      <c r="AI317" s="72" t="str">
        <f t="shared" si="124"/>
        <v/>
      </c>
      <c r="AL317" s="64" t="str">
        <f t="shared" ref="AL317:AL380" si="135">IF(AJ317="","",(AJ317-AK317)/10)</f>
        <v/>
      </c>
      <c r="AM317" s="72" t="str">
        <f t="shared" si="125"/>
        <v/>
      </c>
      <c r="AP317" s="64" t="str">
        <f t="shared" ref="AP317:AP380" si="136">IF(AN317="","",(AN317-AO317)/10)</f>
        <v/>
      </c>
      <c r="AQ317" s="72" t="str">
        <f t="shared" si="126"/>
        <v/>
      </c>
    </row>
    <row r="318" spans="1:43" x14ac:dyDescent="0.25">
      <c r="A318" s="49">
        <v>-23.941410032796799</v>
      </c>
      <c r="B318" s="50">
        <v>-65.778483455013586</v>
      </c>
      <c r="C318" s="38">
        <f t="shared" si="116"/>
        <v>70</v>
      </c>
      <c r="F318" s="1" t="str">
        <f t="shared" si="127"/>
        <v/>
      </c>
      <c r="G318" s="1" t="str">
        <f t="shared" si="117"/>
        <v/>
      </c>
      <c r="J318" s="64" t="str">
        <f t="shared" si="128"/>
        <v/>
      </c>
      <c r="K318" s="72" t="str">
        <f t="shared" si="118"/>
        <v/>
      </c>
      <c r="N318" s="64" t="str">
        <f t="shared" si="129"/>
        <v/>
      </c>
      <c r="O318" s="72" t="str">
        <f t="shared" si="119"/>
        <v/>
      </c>
      <c r="R318" s="64" t="str">
        <f t="shared" si="130"/>
        <v/>
      </c>
      <c r="S318" s="72" t="str">
        <f t="shared" si="120"/>
        <v/>
      </c>
      <c r="V318" s="64" t="str">
        <f t="shared" si="131"/>
        <v/>
      </c>
      <c r="W318" s="72" t="str">
        <f t="shared" si="121"/>
        <v/>
      </c>
      <c r="Z318" s="64" t="str">
        <f t="shared" si="132"/>
        <v/>
      </c>
      <c r="AA318" s="72" t="str">
        <f t="shared" si="122"/>
        <v/>
      </c>
      <c r="AD318" s="64" t="str">
        <f t="shared" si="133"/>
        <v/>
      </c>
      <c r="AE318" s="72" t="str">
        <f t="shared" si="123"/>
        <v/>
      </c>
      <c r="AH318" s="64" t="str">
        <f t="shared" si="134"/>
        <v/>
      </c>
      <c r="AI318" s="72" t="str">
        <f t="shared" si="124"/>
        <v/>
      </c>
      <c r="AL318" s="64" t="str">
        <f t="shared" si="135"/>
        <v/>
      </c>
      <c r="AM318" s="72" t="str">
        <f t="shared" si="125"/>
        <v/>
      </c>
      <c r="AP318" s="64" t="str">
        <f t="shared" si="136"/>
        <v/>
      </c>
      <c r="AQ318" s="72" t="str">
        <f t="shared" si="126"/>
        <v/>
      </c>
    </row>
    <row r="319" spans="1:43" x14ac:dyDescent="0.25">
      <c r="A319" s="49">
        <v>-12.155372436685123</v>
      </c>
      <c r="B319" s="50">
        <v>-68.936542710854567</v>
      </c>
      <c r="C319" s="38">
        <f t="shared" si="116"/>
        <v>70</v>
      </c>
      <c r="F319" s="1" t="str">
        <f t="shared" si="127"/>
        <v/>
      </c>
      <c r="G319" s="1" t="str">
        <f t="shared" si="117"/>
        <v/>
      </c>
      <c r="J319" s="64" t="str">
        <f t="shared" si="128"/>
        <v/>
      </c>
      <c r="K319" s="72" t="str">
        <f t="shared" si="118"/>
        <v/>
      </c>
      <c r="N319" s="64" t="str">
        <f t="shared" si="129"/>
        <v/>
      </c>
      <c r="O319" s="72" t="str">
        <f t="shared" si="119"/>
        <v/>
      </c>
      <c r="R319" s="64" t="str">
        <f t="shared" si="130"/>
        <v/>
      </c>
      <c r="S319" s="72" t="str">
        <f t="shared" si="120"/>
        <v/>
      </c>
      <c r="V319" s="64" t="str">
        <f t="shared" si="131"/>
        <v/>
      </c>
      <c r="W319" s="72" t="str">
        <f t="shared" si="121"/>
        <v/>
      </c>
      <c r="Z319" s="64" t="str">
        <f t="shared" si="132"/>
        <v/>
      </c>
      <c r="AA319" s="72" t="str">
        <f t="shared" si="122"/>
        <v/>
      </c>
      <c r="AD319" s="64" t="str">
        <f t="shared" si="133"/>
        <v/>
      </c>
      <c r="AE319" s="72" t="str">
        <f t="shared" si="123"/>
        <v/>
      </c>
      <c r="AH319" s="64" t="str">
        <f t="shared" si="134"/>
        <v/>
      </c>
      <c r="AI319" s="72" t="str">
        <f t="shared" si="124"/>
        <v/>
      </c>
      <c r="AL319" s="64" t="str">
        <f t="shared" si="135"/>
        <v/>
      </c>
      <c r="AM319" s="72" t="str">
        <f t="shared" si="125"/>
        <v/>
      </c>
      <c r="AP319" s="64" t="str">
        <f t="shared" si="136"/>
        <v/>
      </c>
      <c r="AQ319" s="72" t="str">
        <f t="shared" si="126"/>
        <v/>
      </c>
    </row>
    <row r="320" spans="1:43" x14ac:dyDescent="0.25">
      <c r="A320" s="49">
        <v>-1.286405877654051E-14</v>
      </c>
      <c r="B320" s="50">
        <v>-70</v>
      </c>
      <c r="C320" s="38">
        <f t="shared" si="116"/>
        <v>70</v>
      </c>
      <c r="F320" s="1" t="str">
        <f t="shared" si="127"/>
        <v/>
      </c>
      <c r="G320" s="1" t="str">
        <f t="shared" si="117"/>
        <v/>
      </c>
      <c r="J320" s="64" t="str">
        <f t="shared" si="128"/>
        <v/>
      </c>
      <c r="K320" s="72" t="str">
        <f t="shared" si="118"/>
        <v/>
      </c>
      <c r="N320" s="64" t="str">
        <f t="shared" si="129"/>
        <v/>
      </c>
      <c r="O320" s="72" t="str">
        <f t="shared" si="119"/>
        <v/>
      </c>
      <c r="R320" s="64" t="str">
        <f t="shared" si="130"/>
        <v/>
      </c>
      <c r="S320" s="72" t="str">
        <f t="shared" si="120"/>
        <v/>
      </c>
      <c r="V320" s="64" t="str">
        <f t="shared" si="131"/>
        <v/>
      </c>
      <c r="W320" s="72" t="str">
        <f t="shared" si="121"/>
        <v/>
      </c>
      <c r="Z320" s="64" t="str">
        <f t="shared" si="132"/>
        <v/>
      </c>
      <c r="AA320" s="72" t="str">
        <f t="shared" si="122"/>
        <v/>
      </c>
      <c r="AD320" s="64" t="str">
        <f t="shared" si="133"/>
        <v/>
      </c>
      <c r="AE320" s="72" t="str">
        <f t="shared" si="123"/>
        <v/>
      </c>
      <c r="AH320" s="64" t="str">
        <f t="shared" si="134"/>
        <v/>
      </c>
      <c r="AI320" s="72" t="str">
        <f t="shared" si="124"/>
        <v/>
      </c>
      <c r="AL320" s="64" t="str">
        <f t="shared" si="135"/>
        <v/>
      </c>
      <c r="AM320" s="72" t="str">
        <f t="shared" si="125"/>
        <v/>
      </c>
      <c r="AP320" s="64" t="str">
        <f t="shared" si="136"/>
        <v/>
      </c>
      <c r="AQ320" s="72" t="str">
        <f t="shared" si="126"/>
        <v/>
      </c>
    </row>
    <row r="321" spans="1:43" x14ac:dyDescent="0.25">
      <c r="A321" s="49">
        <v>12.155372436685099</v>
      </c>
      <c r="B321" s="50">
        <v>-68.936542710854567</v>
      </c>
      <c r="C321" s="38">
        <f t="shared" si="116"/>
        <v>70</v>
      </c>
      <c r="F321" s="1" t="str">
        <f t="shared" si="127"/>
        <v/>
      </c>
      <c r="G321" s="1" t="str">
        <f t="shared" si="117"/>
        <v/>
      </c>
      <c r="J321" s="64" t="str">
        <f t="shared" si="128"/>
        <v/>
      </c>
      <c r="K321" s="72" t="str">
        <f t="shared" si="118"/>
        <v/>
      </c>
      <c r="N321" s="64" t="str">
        <f t="shared" si="129"/>
        <v/>
      </c>
      <c r="O321" s="72" t="str">
        <f t="shared" si="119"/>
        <v/>
      </c>
      <c r="R321" s="64" t="str">
        <f t="shared" si="130"/>
        <v/>
      </c>
      <c r="S321" s="72" t="str">
        <f t="shared" si="120"/>
        <v/>
      </c>
      <c r="V321" s="64" t="str">
        <f t="shared" si="131"/>
        <v/>
      </c>
      <c r="W321" s="72" t="str">
        <f t="shared" si="121"/>
        <v/>
      </c>
      <c r="Z321" s="64" t="str">
        <f t="shared" si="132"/>
        <v/>
      </c>
      <c r="AA321" s="72" t="str">
        <f t="shared" si="122"/>
        <v/>
      </c>
      <c r="AD321" s="64" t="str">
        <f t="shared" si="133"/>
        <v/>
      </c>
      <c r="AE321" s="72" t="str">
        <f t="shared" si="123"/>
        <v/>
      </c>
      <c r="AH321" s="64" t="str">
        <f t="shared" si="134"/>
        <v/>
      </c>
      <c r="AI321" s="72" t="str">
        <f t="shared" si="124"/>
        <v/>
      </c>
      <c r="AL321" s="64" t="str">
        <f t="shared" si="135"/>
        <v/>
      </c>
      <c r="AM321" s="72" t="str">
        <f t="shared" si="125"/>
        <v/>
      </c>
      <c r="AP321" s="64" t="str">
        <f t="shared" si="136"/>
        <v/>
      </c>
      <c r="AQ321" s="72" t="str">
        <f t="shared" si="126"/>
        <v/>
      </c>
    </row>
    <row r="322" spans="1:43" x14ac:dyDescent="0.25">
      <c r="A322" s="49">
        <v>23.941410032796828</v>
      </c>
      <c r="B322" s="50">
        <v>-65.778483455013586</v>
      </c>
      <c r="C322" s="38">
        <f t="shared" si="116"/>
        <v>70</v>
      </c>
      <c r="F322" s="1" t="str">
        <f t="shared" si="127"/>
        <v/>
      </c>
      <c r="G322" s="1" t="str">
        <f t="shared" si="117"/>
        <v/>
      </c>
      <c r="J322" s="64" t="str">
        <f t="shared" si="128"/>
        <v/>
      </c>
      <c r="K322" s="72" t="str">
        <f t="shared" si="118"/>
        <v/>
      </c>
      <c r="N322" s="64" t="str">
        <f t="shared" si="129"/>
        <v/>
      </c>
      <c r="O322" s="72" t="str">
        <f t="shared" si="119"/>
        <v/>
      </c>
      <c r="R322" s="64" t="str">
        <f t="shared" si="130"/>
        <v/>
      </c>
      <c r="S322" s="72" t="str">
        <f t="shared" si="120"/>
        <v/>
      </c>
      <c r="V322" s="64" t="str">
        <f t="shared" si="131"/>
        <v/>
      </c>
      <c r="W322" s="72" t="str">
        <f t="shared" si="121"/>
        <v/>
      </c>
      <c r="Z322" s="64" t="str">
        <f t="shared" si="132"/>
        <v/>
      </c>
      <c r="AA322" s="72" t="str">
        <f t="shared" si="122"/>
        <v/>
      </c>
      <c r="AD322" s="64" t="str">
        <f t="shared" si="133"/>
        <v/>
      </c>
      <c r="AE322" s="72" t="str">
        <f t="shared" si="123"/>
        <v/>
      </c>
      <c r="AH322" s="64" t="str">
        <f t="shared" si="134"/>
        <v/>
      </c>
      <c r="AI322" s="72" t="str">
        <f t="shared" si="124"/>
        <v/>
      </c>
      <c r="AL322" s="64" t="str">
        <f t="shared" si="135"/>
        <v/>
      </c>
      <c r="AM322" s="72" t="str">
        <f t="shared" si="125"/>
        <v/>
      </c>
      <c r="AP322" s="64" t="str">
        <f t="shared" si="136"/>
        <v/>
      </c>
      <c r="AQ322" s="72" t="str">
        <f t="shared" si="126"/>
        <v/>
      </c>
    </row>
    <row r="323" spans="1:43" x14ac:dyDescent="0.25">
      <c r="A323" s="49">
        <v>35.000000000000007</v>
      </c>
      <c r="B323" s="50">
        <v>-60.621778264910702</v>
      </c>
      <c r="C323" s="38">
        <f t="shared" si="116"/>
        <v>70</v>
      </c>
      <c r="F323" s="1" t="str">
        <f t="shared" si="127"/>
        <v/>
      </c>
      <c r="G323" s="1" t="str">
        <f t="shared" si="117"/>
        <v/>
      </c>
      <c r="J323" s="64" t="str">
        <f t="shared" si="128"/>
        <v/>
      </c>
      <c r="K323" s="72" t="str">
        <f t="shared" si="118"/>
        <v/>
      </c>
      <c r="N323" s="64" t="str">
        <f t="shared" si="129"/>
        <v/>
      </c>
      <c r="O323" s="72" t="str">
        <f t="shared" si="119"/>
        <v/>
      </c>
      <c r="R323" s="64" t="str">
        <f t="shared" si="130"/>
        <v/>
      </c>
      <c r="S323" s="72" t="str">
        <f t="shared" si="120"/>
        <v/>
      </c>
      <c r="V323" s="64" t="str">
        <f t="shared" si="131"/>
        <v/>
      </c>
      <c r="W323" s="72" t="str">
        <f t="shared" si="121"/>
        <v/>
      </c>
      <c r="Z323" s="64" t="str">
        <f t="shared" si="132"/>
        <v/>
      </c>
      <c r="AA323" s="72" t="str">
        <f t="shared" si="122"/>
        <v/>
      </c>
      <c r="AD323" s="64" t="str">
        <f t="shared" si="133"/>
        <v/>
      </c>
      <c r="AE323" s="72" t="str">
        <f t="shared" si="123"/>
        <v/>
      </c>
      <c r="AH323" s="64" t="str">
        <f t="shared" si="134"/>
        <v/>
      </c>
      <c r="AI323" s="72" t="str">
        <f t="shared" si="124"/>
        <v/>
      </c>
      <c r="AL323" s="64" t="str">
        <f t="shared" si="135"/>
        <v/>
      </c>
      <c r="AM323" s="72" t="str">
        <f t="shared" si="125"/>
        <v/>
      </c>
      <c r="AP323" s="64" t="str">
        <f t="shared" si="136"/>
        <v/>
      </c>
      <c r="AQ323" s="72" t="str">
        <f t="shared" si="126"/>
        <v/>
      </c>
    </row>
    <row r="324" spans="1:43" x14ac:dyDescent="0.25">
      <c r="A324" s="49">
        <v>44.99513267805775</v>
      </c>
      <c r="B324" s="50">
        <v>-53.623111018328466</v>
      </c>
      <c r="C324" s="38">
        <f t="shared" si="116"/>
        <v>70</v>
      </c>
      <c r="F324" s="1" t="str">
        <f t="shared" si="127"/>
        <v/>
      </c>
      <c r="G324" s="1" t="str">
        <f t="shared" si="117"/>
        <v/>
      </c>
      <c r="J324" s="64" t="str">
        <f t="shared" si="128"/>
        <v/>
      </c>
      <c r="K324" s="72" t="str">
        <f t="shared" si="118"/>
        <v/>
      </c>
      <c r="N324" s="64" t="str">
        <f t="shared" si="129"/>
        <v/>
      </c>
      <c r="O324" s="72" t="str">
        <f t="shared" si="119"/>
        <v/>
      </c>
      <c r="R324" s="64" t="str">
        <f t="shared" si="130"/>
        <v/>
      </c>
      <c r="S324" s="72" t="str">
        <f t="shared" si="120"/>
        <v/>
      </c>
      <c r="V324" s="64" t="str">
        <f t="shared" si="131"/>
        <v/>
      </c>
      <c r="W324" s="72" t="str">
        <f t="shared" si="121"/>
        <v/>
      </c>
      <c r="Z324" s="64" t="str">
        <f t="shared" si="132"/>
        <v/>
      </c>
      <c r="AA324" s="72" t="str">
        <f t="shared" si="122"/>
        <v/>
      </c>
      <c r="AD324" s="64" t="str">
        <f t="shared" si="133"/>
        <v/>
      </c>
      <c r="AE324" s="72" t="str">
        <f t="shared" si="123"/>
        <v/>
      </c>
      <c r="AH324" s="64" t="str">
        <f t="shared" si="134"/>
        <v/>
      </c>
      <c r="AI324" s="72" t="str">
        <f t="shared" si="124"/>
        <v/>
      </c>
      <c r="AL324" s="64" t="str">
        <f t="shared" si="135"/>
        <v/>
      </c>
      <c r="AM324" s="72" t="str">
        <f t="shared" si="125"/>
        <v/>
      </c>
      <c r="AP324" s="64" t="str">
        <f t="shared" si="136"/>
        <v/>
      </c>
      <c r="AQ324" s="72" t="str">
        <f t="shared" si="126"/>
        <v/>
      </c>
    </row>
    <row r="325" spans="1:43" x14ac:dyDescent="0.25">
      <c r="A325" s="49">
        <v>53.623111018328444</v>
      </c>
      <c r="B325" s="50">
        <v>-44.995132678057772</v>
      </c>
      <c r="C325" s="38">
        <f t="shared" si="116"/>
        <v>70</v>
      </c>
      <c r="F325" s="1" t="str">
        <f t="shared" si="127"/>
        <v/>
      </c>
      <c r="G325" s="1" t="str">
        <f t="shared" si="117"/>
        <v/>
      </c>
      <c r="J325" s="64" t="str">
        <f t="shared" si="128"/>
        <v/>
      </c>
      <c r="K325" s="72" t="str">
        <f t="shared" si="118"/>
        <v/>
      </c>
      <c r="N325" s="64" t="str">
        <f t="shared" si="129"/>
        <v/>
      </c>
      <c r="O325" s="72" t="str">
        <f t="shared" si="119"/>
        <v/>
      </c>
      <c r="R325" s="64" t="str">
        <f t="shared" si="130"/>
        <v/>
      </c>
      <c r="S325" s="72" t="str">
        <f t="shared" si="120"/>
        <v/>
      </c>
      <c r="V325" s="64" t="str">
        <f t="shared" si="131"/>
        <v/>
      </c>
      <c r="W325" s="72" t="str">
        <f t="shared" si="121"/>
        <v/>
      </c>
      <c r="Z325" s="64" t="str">
        <f t="shared" si="132"/>
        <v/>
      </c>
      <c r="AA325" s="72" t="str">
        <f t="shared" si="122"/>
        <v/>
      </c>
      <c r="AD325" s="64" t="str">
        <f t="shared" si="133"/>
        <v/>
      </c>
      <c r="AE325" s="72" t="str">
        <f t="shared" si="123"/>
        <v/>
      </c>
      <c r="AH325" s="64" t="str">
        <f t="shared" si="134"/>
        <v/>
      </c>
      <c r="AI325" s="72" t="str">
        <f t="shared" si="124"/>
        <v/>
      </c>
      <c r="AL325" s="64" t="str">
        <f t="shared" si="135"/>
        <v/>
      </c>
      <c r="AM325" s="72" t="str">
        <f t="shared" si="125"/>
        <v/>
      </c>
      <c r="AP325" s="64" t="str">
        <f t="shared" si="136"/>
        <v/>
      </c>
      <c r="AQ325" s="72" t="str">
        <f t="shared" si="126"/>
        <v/>
      </c>
    </row>
    <row r="326" spans="1:43" x14ac:dyDescent="0.25">
      <c r="A326" s="49">
        <v>60.621778264910688</v>
      </c>
      <c r="B326" s="50">
        <v>-35.000000000000028</v>
      </c>
      <c r="C326" s="38">
        <f t="shared" si="116"/>
        <v>70</v>
      </c>
      <c r="F326" s="1" t="str">
        <f t="shared" si="127"/>
        <v/>
      </c>
      <c r="G326" s="1" t="str">
        <f t="shared" si="117"/>
        <v/>
      </c>
      <c r="J326" s="64" t="str">
        <f t="shared" si="128"/>
        <v/>
      </c>
      <c r="K326" s="72" t="str">
        <f t="shared" si="118"/>
        <v/>
      </c>
      <c r="N326" s="64" t="str">
        <f t="shared" si="129"/>
        <v/>
      </c>
      <c r="O326" s="72" t="str">
        <f t="shared" si="119"/>
        <v/>
      </c>
      <c r="R326" s="64" t="str">
        <f t="shared" si="130"/>
        <v/>
      </c>
      <c r="S326" s="72" t="str">
        <f t="shared" si="120"/>
        <v/>
      </c>
      <c r="V326" s="64" t="str">
        <f t="shared" si="131"/>
        <v/>
      </c>
      <c r="W326" s="72" t="str">
        <f t="shared" si="121"/>
        <v/>
      </c>
      <c r="Z326" s="64" t="str">
        <f t="shared" si="132"/>
        <v/>
      </c>
      <c r="AA326" s="72" t="str">
        <f t="shared" si="122"/>
        <v/>
      </c>
      <c r="AD326" s="64" t="str">
        <f t="shared" si="133"/>
        <v/>
      </c>
      <c r="AE326" s="72" t="str">
        <f t="shared" si="123"/>
        <v/>
      </c>
      <c r="AH326" s="64" t="str">
        <f t="shared" si="134"/>
        <v/>
      </c>
      <c r="AI326" s="72" t="str">
        <f t="shared" si="124"/>
        <v/>
      </c>
      <c r="AL326" s="64" t="str">
        <f t="shared" si="135"/>
        <v/>
      </c>
      <c r="AM326" s="72" t="str">
        <f t="shared" si="125"/>
        <v/>
      </c>
      <c r="AP326" s="64" t="str">
        <f t="shared" si="136"/>
        <v/>
      </c>
      <c r="AQ326" s="72" t="str">
        <f t="shared" si="126"/>
        <v/>
      </c>
    </row>
    <row r="327" spans="1:43" x14ac:dyDescent="0.25">
      <c r="A327" s="49">
        <v>65.778483455013586</v>
      </c>
      <c r="B327" s="50">
        <v>-23.941410032796803</v>
      </c>
      <c r="C327" s="38">
        <f t="shared" si="116"/>
        <v>70</v>
      </c>
      <c r="F327" s="1" t="str">
        <f t="shared" si="127"/>
        <v/>
      </c>
      <c r="G327" s="1" t="str">
        <f t="shared" si="117"/>
        <v/>
      </c>
      <c r="J327" s="64" t="str">
        <f t="shared" si="128"/>
        <v/>
      </c>
      <c r="K327" s="72" t="str">
        <f t="shared" si="118"/>
        <v/>
      </c>
      <c r="N327" s="64" t="str">
        <f t="shared" si="129"/>
        <v/>
      </c>
      <c r="O327" s="72" t="str">
        <f t="shared" si="119"/>
        <v/>
      </c>
      <c r="R327" s="64" t="str">
        <f t="shared" si="130"/>
        <v/>
      </c>
      <c r="S327" s="72" t="str">
        <f t="shared" si="120"/>
        <v/>
      </c>
      <c r="V327" s="64" t="str">
        <f t="shared" si="131"/>
        <v/>
      </c>
      <c r="W327" s="72" t="str">
        <f t="shared" si="121"/>
        <v/>
      </c>
      <c r="Z327" s="64" t="str">
        <f t="shared" si="132"/>
        <v/>
      </c>
      <c r="AA327" s="72" t="str">
        <f t="shared" si="122"/>
        <v/>
      </c>
      <c r="AD327" s="64" t="str">
        <f t="shared" si="133"/>
        <v/>
      </c>
      <c r="AE327" s="72" t="str">
        <f t="shared" si="123"/>
        <v/>
      </c>
      <c r="AH327" s="64" t="str">
        <f t="shared" si="134"/>
        <v/>
      </c>
      <c r="AI327" s="72" t="str">
        <f t="shared" si="124"/>
        <v/>
      </c>
      <c r="AL327" s="64" t="str">
        <f t="shared" si="135"/>
        <v/>
      </c>
      <c r="AM327" s="72" t="str">
        <f t="shared" si="125"/>
        <v/>
      </c>
      <c r="AP327" s="64" t="str">
        <f t="shared" si="136"/>
        <v/>
      </c>
      <c r="AQ327" s="72" t="str">
        <f t="shared" si="126"/>
        <v/>
      </c>
    </row>
    <row r="328" spans="1:43" x14ac:dyDescent="0.25">
      <c r="A328" s="49">
        <v>68.936542710854567</v>
      </c>
      <c r="B328" s="50">
        <v>-12.155372436685127</v>
      </c>
      <c r="C328" s="38">
        <f t="shared" si="116"/>
        <v>70</v>
      </c>
      <c r="F328" s="1" t="str">
        <f t="shared" si="127"/>
        <v/>
      </c>
      <c r="G328" s="1" t="str">
        <f t="shared" si="117"/>
        <v/>
      </c>
      <c r="J328" s="64" t="str">
        <f t="shared" si="128"/>
        <v/>
      </c>
      <c r="K328" s="72" t="str">
        <f t="shared" si="118"/>
        <v/>
      </c>
      <c r="N328" s="64" t="str">
        <f t="shared" si="129"/>
        <v/>
      </c>
      <c r="O328" s="72" t="str">
        <f t="shared" si="119"/>
        <v/>
      </c>
      <c r="R328" s="64" t="str">
        <f t="shared" si="130"/>
        <v/>
      </c>
      <c r="S328" s="72" t="str">
        <f t="shared" si="120"/>
        <v/>
      </c>
      <c r="V328" s="64" t="str">
        <f t="shared" si="131"/>
        <v/>
      </c>
      <c r="W328" s="72" t="str">
        <f t="shared" si="121"/>
        <v/>
      </c>
      <c r="Z328" s="64" t="str">
        <f t="shared" si="132"/>
        <v/>
      </c>
      <c r="AA328" s="72" t="str">
        <f t="shared" si="122"/>
        <v/>
      </c>
      <c r="AD328" s="64" t="str">
        <f t="shared" si="133"/>
        <v/>
      </c>
      <c r="AE328" s="72" t="str">
        <f t="shared" si="123"/>
        <v/>
      </c>
      <c r="AH328" s="64" t="str">
        <f t="shared" si="134"/>
        <v/>
      </c>
      <c r="AI328" s="72" t="str">
        <f t="shared" si="124"/>
        <v/>
      </c>
      <c r="AL328" s="64" t="str">
        <f t="shared" si="135"/>
        <v/>
      </c>
      <c r="AM328" s="72" t="str">
        <f t="shared" si="125"/>
        <v/>
      </c>
      <c r="AP328" s="64" t="str">
        <f t="shared" si="136"/>
        <v/>
      </c>
      <c r="AQ328" s="72" t="str">
        <f t="shared" si="126"/>
        <v/>
      </c>
    </row>
    <row r="329" spans="1:43" x14ac:dyDescent="0.25">
      <c r="A329" s="49">
        <v>80</v>
      </c>
      <c r="B329" s="50">
        <v>0</v>
      </c>
      <c r="C329" s="38">
        <f t="shared" si="116"/>
        <v>80</v>
      </c>
      <c r="F329" s="1" t="str">
        <f t="shared" si="127"/>
        <v/>
      </c>
      <c r="G329" s="1" t="str">
        <f t="shared" si="117"/>
        <v/>
      </c>
      <c r="J329" s="64" t="str">
        <f t="shared" si="128"/>
        <v/>
      </c>
      <c r="K329" s="72" t="str">
        <f t="shared" si="118"/>
        <v/>
      </c>
      <c r="N329" s="64" t="str">
        <f t="shared" si="129"/>
        <v/>
      </c>
      <c r="O329" s="72" t="str">
        <f t="shared" si="119"/>
        <v/>
      </c>
      <c r="R329" s="64" t="str">
        <f t="shared" si="130"/>
        <v/>
      </c>
      <c r="S329" s="72" t="str">
        <f t="shared" si="120"/>
        <v/>
      </c>
      <c r="V329" s="64" t="str">
        <f t="shared" si="131"/>
        <v/>
      </c>
      <c r="W329" s="72" t="str">
        <f t="shared" si="121"/>
        <v/>
      </c>
      <c r="Z329" s="64" t="str">
        <f t="shared" si="132"/>
        <v/>
      </c>
      <c r="AA329" s="72" t="str">
        <f t="shared" si="122"/>
        <v/>
      </c>
      <c r="AD329" s="64" t="str">
        <f t="shared" si="133"/>
        <v/>
      </c>
      <c r="AE329" s="72" t="str">
        <f t="shared" si="123"/>
        <v/>
      </c>
      <c r="AH329" s="64" t="str">
        <f t="shared" si="134"/>
        <v/>
      </c>
      <c r="AI329" s="72" t="str">
        <f t="shared" si="124"/>
        <v/>
      </c>
      <c r="AL329" s="64" t="str">
        <f t="shared" si="135"/>
        <v/>
      </c>
      <c r="AM329" s="72" t="str">
        <f t="shared" si="125"/>
        <v/>
      </c>
      <c r="AP329" s="64" t="str">
        <f t="shared" si="136"/>
        <v/>
      </c>
      <c r="AQ329" s="72" t="str">
        <f t="shared" si="126"/>
        <v/>
      </c>
    </row>
    <row r="330" spans="1:43" x14ac:dyDescent="0.25">
      <c r="A330" s="49">
        <v>78.784620240976636</v>
      </c>
      <c r="B330" s="50">
        <v>13.891854213354426</v>
      </c>
      <c r="C330" s="38">
        <f t="shared" si="116"/>
        <v>79.999999999999986</v>
      </c>
      <c r="F330" s="1" t="str">
        <f t="shared" si="127"/>
        <v/>
      </c>
      <c r="G330" s="1" t="str">
        <f t="shared" si="117"/>
        <v/>
      </c>
      <c r="J330" s="64" t="str">
        <f t="shared" si="128"/>
        <v/>
      </c>
      <c r="K330" s="72" t="str">
        <f t="shared" si="118"/>
        <v/>
      </c>
      <c r="N330" s="64" t="str">
        <f t="shared" si="129"/>
        <v/>
      </c>
      <c r="O330" s="72" t="str">
        <f t="shared" si="119"/>
        <v/>
      </c>
      <c r="R330" s="64" t="str">
        <f t="shared" si="130"/>
        <v/>
      </c>
      <c r="S330" s="72" t="str">
        <f t="shared" si="120"/>
        <v/>
      </c>
      <c r="V330" s="64" t="str">
        <f t="shared" si="131"/>
        <v/>
      </c>
      <c r="W330" s="72" t="str">
        <f t="shared" si="121"/>
        <v/>
      </c>
      <c r="Z330" s="64" t="str">
        <f t="shared" si="132"/>
        <v/>
      </c>
      <c r="AA330" s="72" t="str">
        <f t="shared" si="122"/>
        <v/>
      </c>
      <c r="AD330" s="64" t="str">
        <f t="shared" si="133"/>
        <v/>
      </c>
      <c r="AE330" s="72" t="str">
        <f t="shared" si="123"/>
        <v/>
      </c>
      <c r="AH330" s="64" t="str">
        <f t="shared" si="134"/>
        <v/>
      </c>
      <c r="AI330" s="72" t="str">
        <f t="shared" si="124"/>
        <v/>
      </c>
      <c r="AL330" s="64" t="str">
        <f t="shared" si="135"/>
        <v/>
      </c>
      <c r="AM330" s="72" t="str">
        <f t="shared" si="125"/>
        <v/>
      </c>
      <c r="AP330" s="64" t="str">
        <f t="shared" si="136"/>
        <v/>
      </c>
      <c r="AQ330" s="72" t="str">
        <f t="shared" si="126"/>
        <v/>
      </c>
    </row>
    <row r="331" spans="1:43" x14ac:dyDescent="0.25">
      <c r="A331" s="49">
        <v>75.175409662872681</v>
      </c>
      <c r="B331" s="50">
        <v>27.361611466053496</v>
      </c>
      <c r="C331" s="38">
        <f t="shared" si="116"/>
        <v>80.000000000000014</v>
      </c>
      <c r="F331" s="1" t="str">
        <f t="shared" si="127"/>
        <v/>
      </c>
      <c r="G331" s="1" t="str">
        <f t="shared" si="117"/>
        <v/>
      </c>
      <c r="J331" s="64" t="str">
        <f t="shared" si="128"/>
        <v/>
      </c>
      <c r="K331" s="72" t="str">
        <f t="shared" si="118"/>
        <v/>
      </c>
      <c r="N331" s="64" t="str">
        <f t="shared" si="129"/>
        <v/>
      </c>
      <c r="O331" s="72" t="str">
        <f t="shared" si="119"/>
        <v/>
      </c>
      <c r="R331" s="64" t="str">
        <f t="shared" si="130"/>
        <v/>
      </c>
      <c r="S331" s="72" t="str">
        <f t="shared" si="120"/>
        <v/>
      </c>
      <c r="V331" s="64" t="str">
        <f t="shared" si="131"/>
        <v/>
      </c>
      <c r="W331" s="72" t="str">
        <f t="shared" si="121"/>
        <v/>
      </c>
      <c r="Z331" s="64" t="str">
        <f t="shared" si="132"/>
        <v/>
      </c>
      <c r="AA331" s="72" t="str">
        <f t="shared" si="122"/>
        <v/>
      </c>
      <c r="AD331" s="64" t="str">
        <f t="shared" si="133"/>
        <v/>
      </c>
      <c r="AE331" s="72" t="str">
        <f t="shared" si="123"/>
        <v/>
      </c>
      <c r="AH331" s="64" t="str">
        <f t="shared" si="134"/>
        <v/>
      </c>
      <c r="AI331" s="72" t="str">
        <f t="shared" si="124"/>
        <v/>
      </c>
      <c r="AL331" s="64" t="str">
        <f t="shared" si="135"/>
        <v/>
      </c>
      <c r="AM331" s="72" t="str">
        <f t="shared" si="125"/>
        <v/>
      </c>
      <c r="AP331" s="64" t="str">
        <f t="shared" si="136"/>
        <v/>
      </c>
      <c r="AQ331" s="72" t="str">
        <f t="shared" si="126"/>
        <v/>
      </c>
    </row>
    <row r="332" spans="1:43" x14ac:dyDescent="0.25">
      <c r="A332" s="49">
        <v>69.282032302755098</v>
      </c>
      <c r="B332" s="50">
        <v>39.999999999999993</v>
      </c>
      <c r="C332" s="38">
        <f t="shared" si="116"/>
        <v>80</v>
      </c>
      <c r="F332" s="1" t="str">
        <f t="shared" si="127"/>
        <v/>
      </c>
      <c r="G332" s="1" t="str">
        <f t="shared" si="117"/>
        <v/>
      </c>
      <c r="J332" s="64" t="str">
        <f t="shared" si="128"/>
        <v/>
      </c>
      <c r="K332" s="72" t="str">
        <f t="shared" si="118"/>
        <v/>
      </c>
      <c r="N332" s="64" t="str">
        <f t="shared" si="129"/>
        <v/>
      </c>
      <c r="O332" s="72" t="str">
        <f t="shared" si="119"/>
        <v/>
      </c>
      <c r="R332" s="64" t="str">
        <f t="shared" si="130"/>
        <v/>
      </c>
      <c r="S332" s="72" t="str">
        <f t="shared" si="120"/>
        <v/>
      </c>
      <c r="V332" s="64" t="str">
        <f t="shared" si="131"/>
        <v/>
      </c>
      <c r="W332" s="72" t="str">
        <f t="shared" si="121"/>
        <v/>
      </c>
      <c r="Z332" s="64" t="str">
        <f t="shared" si="132"/>
        <v/>
      </c>
      <c r="AA332" s="72" t="str">
        <f t="shared" si="122"/>
        <v/>
      </c>
      <c r="AD332" s="64" t="str">
        <f t="shared" si="133"/>
        <v/>
      </c>
      <c r="AE332" s="72" t="str">
        <f t="shared" si="123"/>
        <v/>
      </c>
      <c r="AH332" s="64" t="str">
        <f t="shared" si="134"/>
        <v/>
      </c>
      <c r="AI332" s="72" t="str">
        <f t="shared" si="124"/>
        <v/>
      </c>
      <c r="AL332" s="64" t="str">
        <f t="shared" si="135"/>
        <v/>
      </c>
      <c r="AM332" s="72" t="str">
        <f t="shared" si="125"/>
        <v/>
      </c>
      <c r="AP332" s="64" t="str">
        <f t="shared" si="136"/>
        <v/>
      </c>
      <c r="AQ332" s="72" t="str">
        <f t="shared" si="126"/>
        <v/>
      </c>
    </row>
    <row r="333" spans="1:43" x14ac:dyDescent="0.25">
      <c r="A333" s="49">
        <v>61.283555449518239</v>
      </c>
      <c r="B333" s="50">
        <v>51.42300877492314</v>
      </c>
      <c r="C333" s="38">
        <f t="shared" si="116"/>
        <v>80</v>
      </c>
      <c r="F333" s="1" t="str">
        <f t="shared" si="127"/>
        <v/>
      </c>
      <c r="G333" s="1" t="str">
        <f t="shared" si="117"/>
        <v/>
      </c>
      <c r="J333" s="64" t="str">
        <f t="shared" si="128"/>
        <v/>
      </c>
      <c r="K333" s="72" t="str">
        <f t="shared" si="118"/>
        <v/>
      </c>
      <c r="N333" s="64" t="str">
        <f t="shared" si="129"/>
        <v/>
      </c>
      <c r="O333" s="72" t="str">
        <f t="shared" si="119"/>
        <v/>
      </c>
      <c r="R333" s="64" t="str">
        <f t="shared" si="130"/>
        <v/>
      </c>
      <c r="S333" s="72" t="str">
        <f t="shared" si="120"/>
        <v/>
      </c>
      <c r="V333" s="64" t="str">
        <f t="shared" si="131"/>
        <v/>
      </c>
      <c r="W333" s="72" t="str">
        <f t="shared" si="121"/>
        <v/>
      </c>
      <c r="Z333" s="64" t="str">
        <f t="shared" si="132"/>
        <v/>
      </c>
      <c r="AA333" s="72" t="str">
        <f t="shared" si="122"/>
        <v/>
      </c>
      <c r="AD333" s="64" t="str">
        <f t="shared" si="133"/>
        <v/>
      </c>
      <c r="AE333" s="72" t="str">
        <f t="shared" si="123"/>
        <v/>
      </c>
      <c r="AH333" s="64" t="str">
        <f t="shared" si="134"/>
        <v/>
      </c>
      <c r="AI333" s="72" t="str">
        <f t="shared" si="124"/>
        <v/>
      </c>
      <c r="AL333" s="64" t="str">
        <f t="shared" si="135"/>
        <v/>
      </c>
      <c r="AM333" s="72" t="str">
        <f t="shared" si="125"/>
        <v/>
      </c>
      <c r="AP333" s="64" t="str">
        <f t="shared" si="136"/>
        <v/>
      </c>
      <c r="AQ333" s="72" t="str">
        <f t="shared" si="126"/>
        <v/>
      </c>
    </row>
    <row r="334" spans="1:43" x14ac:dyDescent="0.25">
      <c r="A334" s="49">
        <v>51.423008774923147</v>
      </c>
      <c r="B334" s="50">
        <v>61.283555449518239</v>
      </c>
      <c r="C334" s="38">
        <f t="shared" si="116"/>
        <v>80</v>
      </c>
      <c r="F334" s="1" t="str">
        <f t="shared" si="127"/>
        <v/>
      </c>
      <c r="G334" s="1" t="str">
        <f t="shared" si="117"/>
        <v/>
      </c>
      <c r="J334" s="64" t="str">
        <f t="shared" si="128"/>
        <v/>
      </c>
      <c r="K334" s="72" t="str">
        <f t="shared" si="118"/>
        <v/>
      </c>
      <c r="N334" s="64" t="str">
        <f t="shared" si="129"/>
        <v/>
      </c>
      <c r="O334" s="72" t="str">
        <f t="shared" si="119"/>
        <v/>
      </c>
      <c r="R334" s="64" t="str">
        <f t="shared" si="130"/>
        <v/>
      </c>
      <c r="S334" s="72" t="str">
        <f t="shared" si="120"/>
        <v/>
      </c>
      <c r="V334" s="64" t="str">
        <f t="shared" si="131"/>
        <v/>
      </c>
      <c r="W334" s="72" t="str">
        <f t="shared" si="121"/>
        <v/>
      </c>
      <c r="Z334" s="64" t="str">
        <f t="shared" si="132"/>
        <v/>
      </c>
      <c r="AA334" s="72" t="str">
        <f t="shared" si="122"/>
        <v/>
      </c>
      <c r="AD334" s="64" t="str">
        <f t="shared" si="133"/>
        <v/>
      </c>
      <c r="AE334" s="72" t="str">
        <f t="shared" si="123"/>
        <v/>
      </c>
      <c r="AH334" s="64" t="str">
        <f t="shared" si="134"/>
        <v/>
      </c>
      <c r="AI334" s="72" t="str">
        <f t="shared" si="124"/>
        <v/>
      </c>
      <c r="AL334" s="64" t="str">
        <f t="shared" si="135"/>
        <v/>
      </c>
      <c r="AM334" s="72" t="str">
        <f t="shared" si="125"/>
        <v/>
      </c>
      <c r="AP334" s="64" t="str">
        <f t="shared" si="136"/>
        <v/>
      </c>
      <c r="AQ334" s="72" t="str">
        <f t="shared" si="126"/>
        <v/>
      </c>
    </row>
    <row r="335" spans="1:43" x14ac:dyDescent="0.25">
      <c r="A335" s="49">
        <v>40.000000000000007</v>
      </c>
      <c r="B335" s="50">
        <v>69.282032302755084</v>
      </c>
      <c r="C335" s="38">
        <f t="shared" si="116"/>
        <v>80</v>
      </c>
      <c r="F335" s="1" t="str">
        <f t="shared" si="127"/>
        <v/>
      </c>
      <c r="G335" s="1" t="str">
        <f t="shared" si="117"/>
        <v/>
      </c>
      <c r="J335" s="64" t="str">
        <f t="shared" si="128"/>
        <v/>
      </c>
      <c r="K335" s="72" t="str">
        <f t="shared" si="118"/>
        <v/>
      </c>
      <c r="N335" s="64" t="str">
        <f t="shared" si="129"/>
        <v/>
      </c>
      <c r="O335" s="72" t="str">
        <f t="shared" si="119"/>
        <v/>
      </c>
      <c r="R335" s="64" t="str">
        <f t="shared" si="130"/>
        <v/>
      </c>
      <c r="S335" s="72" t="str">
        <f t="shared" si="120"/>
        <v/>
      </c>
      <c r="V335" s="64" t="str">
        <f t="shared" si="131"/>
        <v/>
      </c>
      <c r="W335" s="72" t="str">
        <f t="shared" si="121"/>
        <v/>
      </c>
      <c r="Z335" s="64" t="str">
        <f t="shared" si="132"/>
        <v/>
      </c>
      <c r="AA335" s="72" t="str">
        <f t="shared" si="122"/>
        <v/>
      </c>
      <c r="AD335" s="64" t="str">
        <f t="shared" si="133"/>
        <v/>
      </c>
      <c r="AE335" s="72" t="str">
        <f t="shared" si="123"/>
        <v/>
      </c>
      <c r="AH335" s="64" t="str">
        <f t="shared" si="134"/>
        <v/>
      </c>
      <c r="AI335" s="72" t="str">
        <f t="shared" si="124"/>
        <v/>
      </c>
      <c r="AL335" s="64" t="str">
        <f t="shared" si="135"/>
        <v/>
      </c>
      <c r="AM335" s="72" t="str">
        <f t="shared" si="125"/>
        <v/>
      </c>
      <c r="AP335" s="64" t="str">
        <f t="shared" si="136"/>
        <v/>
      </c>
      <c r="AQ335" s="72" t="str">
        <f t="shared" si="126"/>
        <v/>
      </c>
    </row>
    <row r="336" spans="1:43" x14ac:dyDescent="0.25">
      <c r="A336" s="49">
        <v>27.361611466053507</v>
      </c>
      <c r="B336" s="50">
        <v>75.175409662872667</v>
      </c>
      <c r="C336" s="38">
        <f t="shared" si="116"/>
        <v>80</v>
      </c>
      <c r="F336" s="1" t="str">
        <f t="shared" si="127"/>
        <v/>
      </c>
      <c r="G336" s="1" t="str">
        <f t="shared" si="117"/>
        <v/>
      </c>
      <c r="J336" s="64" t="str">
        <f t="shared" si="128"/>
        <v/>
      </c>
      <c r="K336" s="72" t="str">
        <f t="shared" si="118"/>
        <v/>
      </c>
      <c r="N336" s="64" t="str">
        <f t="shared" si="129"/>
        <v/>
      </c>
      <c r="O336" s="72" t="str">
        <f t="shared" si="119"/>
        <v/>
      </c>
      <c r="R336" s="64" t="str">
        <f t="shared" si="130"/>
        <v/>
      </c>
      <c r="S336" s="72" t="str">
        <f t="shared" si="120"/>
        <v/>
      </c>
      <c r="V336" s="64" t="str">
        <f t="shared" si="131"/>
        <v/>
      </c>
      <c r="W336" s="72" t="str">
        <f t="shared" si="121"/>
        <v/>
      </c>
      <c r="Z336" s="64" t="str">
        <f t="shared" si="132"/>
        <v/>
      </c>
      <c r="AA336" s="72" t="str">
        <f t="shared" si="122"/>
        <v/>
      </c>
      <c r="AD336" s="64" t="str">
        <f t="shared" si="133"/>
        <v/>
      </c>
      <c r="AE336" s="72" t="str">
        <f t="shared" si="123"/>
        <v/>
      </c>
      <c r="AH336" s="64" t="str">
        <f t="shared" si="134"/>
        <v/>
      </c>
      <c r="AI336" s="72" t="str">
        <f t="shared" si="124"/>
        <v/>
      </c>
      <c r="AL336" s="64" t="str">
        <f t="shared" si="135"/>
        <v/>
      </c>
      <c r="AM336" s="72" t="str">
        <f t="shared" si="125"/>
        <v/>
      </c>
      <c r="AP336" s="64" t="str">
        <f t="shared" si="136"/>
        <v/>
      </c>
      <c r="AQ336" s="72" t="str">
        <f t="shared" si="126"/>
        <v/>
      </c>
    </row>
    <row r="337" spans="1:43" x14ac:dyDescent="0.25">
      <c r="A337" s="49">
        <v>13.891854213354433</v>
      </c>
      <c r="B337" s="50">
        <v>78.784620240976636</v>
      </c>
      <c r="C337" s="38">
        <f t="shared" si="116"/>
        <v>79.999999999999986</v>
      </c>
      <c r="F337" s="1" t="str">
        <f t="shared" si="127"/>
        <v/>
      </c>
      <c r="G337" s="1" t="str">
        <f t="shared" si="117"/>
        <v/>
      </c>
      <c r="J337" s="64" t="str">
        <f t="shared" si="128"/>
        <v/>
      </c>
      <c r="K337" s="72" t="str">
        <f t="shared" si="118"/>
        <v/>
      </c>
      <c r="N337" s="64" t="str">
        <f t="shared" si="129"/>
        <v/>
      </c>
      <c r="O337" s="72" t="str">
        <f t="shared" si="119"/>
        <v/>
      </c>
      <c r="R337" s="64" t="str">
        <f t="shared" si="130"/>
        <v/>
      </c>
      <c r="S337" s="72" t="str">
        <f t="shared" si="120"/>
        <v/>
      </c>
      <c r="V337" s="64" t="str">
        <f t="shared" si="131"/>
        <v/>
      </c>
      <c r="W337" s="72" t="str">
        <f t="shared" si="121"/>
        <v/>
      </c>
      <c r="Z337" s="64" t="str">
        <f t="shared" si="132"/>
        <v/>
      </c>
      <c r="AA337" s="72" t="str">
        <f t="shared" si="122"/>
        <v/>
      </c>
      <c r="AD337" s="64" t="str">
        <f t="shared" si="133"/>
        <v/>
      </c>
      <c r="AE337" s="72" t="str">
        <f t="shared" si="123"/>
        <v/>
      </c>
      <c r="AH337" s="64" t="str">
        <f t="shared" si="134"/>
        <v/>
      </c>
      <c r="AI337" s="72" t="str">
        <f t="shared" si="124"/>
        <v/>
      </c>
      <c r="AL337" s="64" t="str">
        <f t="shared" si="135"/>
        <v/>
      </c>
      <c r="AM337" s="72" t="str">
        <f t="shared" si="125"/>
        <v/>
      </c>
      <c r="AP337" s="64" t="str">
        <f t="shared" si="136"/>
        <v/>
      </c>
      <c r="AQ337" s="72" t="str">
        <f t="shared" si="126"/>
        <v/>
      </c>
    </row>
    <row r="338" spans="1:43" x14ac:dyDescent="0.25">
      <c r="A338" s="49">
        <v>4.90059381963448E-15</v>
      </c>
      <c r="B338" s="50">
        <v>80</v>
      </c>
      <c r="C338" s="38">
        <f t="shared" si="116"/>
        <v>80</v>
      </c>
      <c r="F338" s="1" t="str">
        <f t="shared" si="127"/>
        <v/>
      </c>
      <c r="G338" s="1" t="str">
        <f t="shared" si="117"/>
        <v/>
      </c>
      <c r="J338" s="64" t="str">
        <f t="shared" si="128"/>
        <v/>
      </c>
      <c r="K338" s="72" t="str">
        <f t="shared" si="118"/>
        <v/>
      </c>
      <c r="N338" s="64" t="str">
        <f t="shared" si="129"/>
        <v/>
      </c>
      <c r="O338" s="72" t="str">
        <f t="shared" si="119"/>
        <v/>
      </c>
      <c r="R338" s="64" t="str">
        <f t="shared" si="130"/>
        <v/>
      </c>
      <c r="S338" s="72" t="str">
        <f t="shared" si="120"/>
        <v/>
      </c>
      <c r="V338" s="64" t="str">
        <f t="shared" si="131"/>
        <v/>
      </c>
      <c r="W338" s="72" t="str">
        <f t="shared" si="121"/>
        <v/>
      </c>
      <c r="Z338" s="64" t="str">
        <f t="shared" si="132"/>
        <v/>
      </c>
      <c r="AA338" s="72" t="str">
        <f t="shared" si="122"/>
        <v/>
      </c>
      <c r="AD338" s="64" t="str">
        <f t="shared" si="133"/>
        <v/>
      </c>
      <c r="AE338" s="72" t="str">
        <f t="shared" si="123"/>
        <v/>
      </c>
      <c r="AH338" s="64" t="str">
        <f t="shared" si="134"/>
        <v/>
      </c>
      <c r="AI338" s="72" t="str">
        <f t="shared" si="124"/>
        <v/>
      </c>
      <c r="AL338" s="64" t="str">
        <f t="shared" si="135"/>
        <v/>
      </c>
      <c r="AM338" s="72" t="str">
        <f t="shared" si="125"/>
        <v/>
      </c>
      <c r="AP338" s="64" t="str">
        <f t="shared" si="136"/>
        <v/>
      </c>
      <c r="AQ338" s="72" t="str">
        <f t="shared" si="126"/>
        <v/>
      </c>
    </row>
    <row r="339" spans="1:43" x14ac:dyDescent="0.25">
      <c r="A339" s="49">
        <v>-13.891854213354424</v>
      </c>
      <c r="B339" s="50">
        <v>78.784620240976636</v>
      </c>
      <c r="C339" s="38">
        <f t="shared" si="116"/>
        <v>79.999999999999986</v>
      </c>
      <c r="F339" s="1" t="str">
        <f t="shared" si="127"/>
        <v/>
      </c>
      <c r="G339" s="1" t="str">
        <f t="shared" si="117"/>
        <v/>
      </c>
      <c r="J339" s="64" t="str">
        <f t="shared" si="128"/>
        <v/>
      </c>
      <c r="K339" s="72" t="str">
        <f t="shared" si="118"/>
        <v/>
      </c>
      <c r="N339" s="64" t="str">
        <f t="shared" si="129"/>
        <v/>
      </c>
      <c r="O339" s="72" t="str">
        <f t="shared" si="119"/>
        <v/>
      </c>
      <c r="R339" s="64" t="str">
        <f t="shared" si="130"/>
        <v/>
      </c>
      <c r="S339" s="72" t="str">
        <f t="shared" si="120"/>
        <v/>
      </c>
      <c r="V339" s="64" t="str">
        <f t="shared" si="131"/>
        <v/>
      </c>
      <c r="W339" s="72" t="str">
        <f t="shared" si="121"/>
        <v/>
      </c>
      <c r="Z339" s="64" t="str">
        <f t="shared" si="132"/>
        <v/>
      </c>
      <c r="AA339" s="72" t="str">
        <f t="shared" si="122"/>
        <v/>
      </c>
      <c r="AD339" s="64" t="str">
        <f t="shared" si="133"/>
        <v/>
      </c>
      <c r="AE339" s="72" t="str">
        <f t="shared" si="123"/>
        <v/>
      </c>
      <c r="AH339" s="64" t="str">
        <f t="shared" si="134"/>
        <v/>
      </c>
      <c r="AI339" s="72" t="str">
        <f t="shared" si="124"/>
        <v/>
      </c>
      <c r="AL339" s="64" t="str">
        <f t="shared" si="135"/>
        <v/>
      </c>
      <c r="AM339" s="72" t="str">
        <f t="shared" si="125"/>
        <v/>
      </c>
      <c r="AP339" s="64" t="str">
        <f t="shared" si="136"/>
        <v/>
      </c>
      <c r="AQ339" s="72" t="str">
        <f t="shared" si="126"/>
        <v/>
      </c>
    </row>
    <row r="340" spans="1:43" x14ac:dyDescent="0.25">
      <c r="A340" s="49">
        <v>-27.361611466053496</v>
      </c>
      <c r="B340" s="50">
        <v>75.175409662872681</v>
      </c>
      <c r="C340" s="38">
        <f t="shared" si="116"/>
        <v>80.000000000000014</v>
      </c>
      <c r="F340" s="1" t="str">
        <f t="shared" si="127"/>
        <v/>
      </c>
      <c r="G340" s="1" t="str">
        <f t="shared" si="117"/>
        <v/>
      </c>
      <c r="J340" s="64" t="str">
        <f t="shared" si="128"/>
        <v/>
      </c>
      <c r="K340" s="72" t="str">
        <f t="shared" si="118"/>
        <v/>
      </c>
      <c r="N340" s="64" t="str">
        <f t="shared" si="129"/>
        <v/>
      </c>
      <c r="O340" s="72" t="str">
        <f t="shared" si="119"/>
        <v/>
      </c>
      <c r="R340" s="64" t="str">
        <f t="shared" si="130"/>
        <v/>
      </c>
      <c r="S340" s="72" t="str">
        <f t="shared" si="120"/>
        <v/>
      </c>
      <c r="V340" s="64" t="str">
        <f t="shared" si="131"/>
        <v/>
      </c>
      <c r="W340" s="72" t="str">
        <f t="shared" si="121"/>
        <v/>
      </c>
      <c r="Z340" s="64" t="str">
        <f t="shared" si="132"/>
        <v/>
      </c>
      <c r="AA340" s="72" t="str">
        <f t="shared" si="122"/>
        <v/>
      </c>
      <c r="AD340" s="64" t="str">
        <f t="shared" si="133"/>
        <v/>
      </c>
      <c r="AE340" s="72" t="str">
        <f t="shared" si="123"/>
        <v/>
      </c>
      <c r="AH340" s="64" t="str">
        <f t="shared" si="134"/>
        <v/>
      </c>
      <c r="AI340" s="72" t="str">
        <f t="shared" si="124"/>
        <v/>
      </c>
      <c r="AL340" s="64" t="str">
        <f t="shared" si="135"/>
        <v/>
      </c>
      <c r="AM340" s="72" t="str">
        <f t="shared" si="125"/>
        <v/>
      </c>
      <c r="AP340" s="64" t="str">
        <f t="shared" si="136"/>
        <v/>
      </c>
      <c r="AQ340" s="72" t="str">
        <f t="shared" si="126"/>
        <v/>
      </c>
    </row>
    <row r="341" spans="1:43" x14ac:dyDescent="0.25">
      <c r="A341" s="49">
        <v>-39.999999999999986</v>
      </c>
      <c r="B341" s="50">
        <v>69.282032302755098</v>
      </c>
      <c r="C341" s="38">
        <f t="shared" si="116"/>
        <v>80</v>
      </c>
      <c r="F341" s="1" t="str">
        <f t="shared" si="127"/>
        <v/>
      </c>
      <c r="G341" s="1" t="str">
        <f t="shared" si="117"/>
        <v/>
      </c>
      <c r="J341" s="64" t="str">
        <f t="shared" si="128"/>
        <v/>
      </c>
      <c r="K341" s="72" t="str">
        <f t="shared" si="118"/>
        <v/>
      </c>
      <c r="N341" s="64" t="str">
        <f t="shared" si="129"/>
        <v/>
      </c>
      <c r="O341" s="72" t="str">
        <f t="shared" si="119"/>
        <v/>
      </c>
      <c r="R341" s="64" t="str">
        <f t="shared" si="130"/>
        <v/>
      </c>
      <c r="S341" s="72" t="str">
        <f t="shared" si="120"/>
        <v/>
      </c>
      <c r="V341" s="64" t="str">
        <f t="shared" si="131"/>
        <v/>
      </c>
      <c r="W341" s="72" t="str">
        <f t="shared" si="121"/>
        <v/>
      </c>
      <c r="Z341" s="64" t="str">
        <f t="shared" si="132"/>
        <v/>
      </c>
      <c r="AA341" s="72" t="str">
        <f t="shared" si="122"/>
        <v/>
      </c>
      <c r="AD341" s="64" t="str">
        <f t="shared" si="133"/>
        <v/>
      </c>
      <c r="AE341" s="72" t="str">
        <f t="shared" si="123"/>
        <v/>
      </c>
      <c r="AH341" s="64" t="str">
        <f t="shared" si="134"/>
        <v/>
      </c>
      <c r="AI341" s="72" t="str">
        <f t="shared" si="124"/>
        <v/>
      </c>
      <c r="AL341" s="64" t="str">
        <f t="shared" si="135"/>
        <v/>
      </c>
      <c r="AM341" s="72" t="str">
        <f t="shared" si="125"/>
        <v/>
      </c>
      <c r="AP341" s="64" t="str">
        <f t="shared" si="136"/>
        <v/>
      </c>
      <c r="AQ341" s="72" t="str">
        <f t="shared" si="126"/>
        <v/>
      </c>
    </row>
    <row r="342" spans="1:43" x14ac:dyDescent="0.25">
      <c r="A342" s="49">
        <v>-51.423008774923147</v>
      </c>
      <c r="B342" s="50">
        <v>61.283555449518239</v>
      </c>
      <c r="C342" s="38">
        <f t="shared" si="116"/>
        <v>80</v>
      </c>
      <c r="F342" s="1" t="str">
        <f t="shared" si="127"/>
        <v/>
      </c>
      <c r="G342" s="1" t="str">
        <f t="shared" si="117"/>
        <v/>
      </c>
      <c r="J342" s="64" t="str">
        <f t="shared" si="128"/>
        <v/>
      </c>
      <c r="K342" s="72" t="str">
        <f t="shared" si="118"/>
        <v/>
      </c>
      <c r="N342" s="64" t="str">
        <f t="shared" si="129"/>
        <v/>
      </c>
      <c r="O342" s="72" t="str">
        <f t="shared" si="119"/>
        <v/>
      </c>
      <c r="R342" s="64" t="str">
        <f t="shared" si="130"/>
        <v/>
      </c>
      <c r="S342" s="72" t="str">
        <f t="shared" si="120"/>
        <v/>
      </c>
      <c r="V342" s="64" t="str">
        <f t="shared" si="131"/>
        <v/>
      </c>
      <c r="W342" s="72" t="str">
        <f t="shared" si="121"/>
        <v/>
      </c>
      <c r="Z342" s="64" t="str">
        <f t="shared" si="132"/>
        <v/>
      </c>
      <c r="AA342" s="72" t="str">
        <f t="shared" si="122"/>
        <v/>
      </c>
      <c r="AD342" s="64" t="str">
        <f t="shared" si="133"/>
        <v/>
      </c>
      <c r="AE342" s="72" t="str">
        <f t="shared" si="123"/>
        <v/>
      </c>
      <c r="AH342" s="64" t="str">
        <f t="shared" si="134"/>
        <v/>
      </c>
      <c r="AI342" s="72" t="str">
        <f t="shared" si="124"/>
        <v/>
      </c>
      <c r="AL342" s="64" t="str">
        <f t="shared" si="135"/>
        <v/>
      </c>
      <c r="AM342" s="72" t="str">
        <f t="shared" si="125"/>
        <v/>
      </c>
      <c r="AP342" s="64" t="str">
        <f t="shared" si="136"/>
        <v/>
      </c>
      <c r="AQ342" s="72" t="str">
        <f t="shared" si="126"/>
        <v/>
      </c>
    </row>
    <row r="343" spans="1:43" x14ac:dyDescent="0.25">
      <c r="A343" s="49">
        <v>-61.283555449518232</v>
      </c>
      <c r="B343" s="50">
        <v>51.423008774923161</v>
      </c>
      <c r="C343" s="38">
        <f t="shared" si="116"/>
        <v>80</v>
      </c>
      <c r="F343" s="1" t="str">
        <f t="shared" si="127"/>
        <v/>
      </c>
      <c r="G343" s="1" t="str">
        <f t="shared" si="117"/>
        <v/>
      </c>
      <c r="J343" s="64" t="str">
        <f t="shared" si="128"/>
        <v/>
      </c>
      <c r="K343" s="72" t="str">
        <f t="shared" si="118"/>
        <v/>
      </c>
      <c r="N343" s="64" t="str">
        <f t="shared" si="129"/>
        <v/>
      </c>
      <c r="O343" s="72" t="str">
        <f t="shared" si="119"/>
        <v/>
      </c>
      <c r="R343" s="64" t="str">
        <f t="shared" si="130"/>
        <v/>
      </c>
      <c r="S343" s="72" t="str">
        <f t="shared" si="120"/>
        <v/>
      </c>
      <c r="V343" s="64" t="str">
        <f t="shared" si="131"/>
        <v/>
      </c>
      <c r="W343" s="72" t="str">
        <f t="shared" si="121"/>
        <v/>
      </c>
      <c r="Z343" s="64" t="str">
        <f t="shared" si="132"/>
        <v/>
      </c>
      <c r="AA343" s="72" t="str">
        <f t="shared" si="122"/>
        <v/>
      </c>
      <c r="AD343" s="64" t="str">
        <f t="shared" si="133"/>
        <v/>
      </c>
      <c r="AE343" s="72" t="str">
        <f t="shared" si="123"/>
        <v/>
      </c>
      <c r="AH343" s="64" t="str">
        <f t="shared" si="134"/>
        <v/>
      </c>
      <c r="AI343" s="72" t="str">
        <f t="shared" si="124"/>
        <v/>
      </c>
      <c r="AL343" s="64" t="str">
        <f t="shared" si="135"/>
        <v/>
      </c>
      <c r="AM343" s="72" t="str">
        <f t="shared" si="125"/>
        <v/>
      </c>
      <c r="AP343" s="64" t="str">
        <f t="shared" si="136"/>
        <v/>
      </c>
      <c r="AQ343" s="72" t="str">
        <f t="shared" si="126"/>
        <v/>
      </c>
    </row>
    <row r="344" spans="1:43" x14ac:dyDescent="0.25">
      <c r="A344" s="49">
        <v>-69.282032302755098</v>
      </c>
      <c r="B344" s="50">
        <v>39.999999999999993</v>
      </c>
      <c r="C344" s="38">
        <f t="shared" si="116"/>
        <v>80</v>
      </c>
      <c r="F344" s="1" t="str">
        <f t="shared" si="127"/>
        <v/>
      </c>
      <c r="G344" s="1" t="str">
        <f t="shared" si="117"/>
        <v/>
      </c>
      <c r="J344" s="64" t="str">
        <f t="shared" si="128"/>
        <v/>
      </c>
      <c r="K344" s="72" t="str">
        <f t="shared" si="118"/>
        <v/>
      </c>
      <c r="N344" s="64" t="str">
        <f t="shared" si="129"/>
        <v/>
      </c>
      <c r="O344" s="72" t="str">
        <f t="shared" si="119"/>
        <v/>
      </c>
      <c r="R344" s="64" t="str">
        <f t="shared" si="130"/>
        <v/>
      </c>
      <c r="S344" s="72" t="str">
        <f t="shared" si="120"/>
        <v/>
      </c>
      <c r="V344" s="64" t="str">
        <f t="shared" si="131"/>
        <v/>
      </c>
      <c r="W344" s="72" t="str">
        <f t="shared" si="121"/>
        <v/>
      </c>
      <c r="Z344" s="64" t="str">
        <f t="shared" si="132"/>
        <v/>
      </c>
      <c r="AA344" s="72" t="str">
        <f t="shared" si="122"/>
        <v/>
      </c>
      <c r="AD344" s="64" t="str">
        <f t="shared" si="133"/>
        <v/>
      </c>
      <c r="AE344" s="72" t="str">
        <f t="shared" si="123"/>
        <v/>
      </c>
      <c r="AH344" s="64" t="str">
        <f t="shared" si="134"/>
        <v/>
      </c>
      <c r="AI344" s="72" t="str">
        <f t="shared" si="124"/>
        <v/>
      </c>
      <c r="AL344" s="64" t="str">
        <f t="shared" si="135"/>
        <v/>
      </c>
      <c r="AM344" s="72" t="str">
        <f t="shared" si="125"/>
        <v/>
      </c>
      <c r="AP344" s="64" t="str">
        <f t="shared" si="136"/>
        <v/>
      </c>
      <c r="AQ344" s="72" t="str">
        <f t="shared" si="126"/>
        <v/>
      </c>
    </row>
    <row r="345" spans="1:43" x14ac:dyDescent="0.25">
      <c r="A345" s="49">
        <v>-75.175409662872667</v>
      </c>
      <c r="B345" s="50">
        <v>27.36161146605351</v>
      </c>
      <c r="C345" s="38">
        <f t="shared" si="116"/>
        <v>80</v>
      </c>
      <c r="F345" s="1" t="str">
        <f t="shared" si="127"/>
        <v/>
      </c>
      <c r="G345" s="1" t="str">
        <f t="shared" si="117"/>
        <v/>
      </c>
      <c r="J345" s="64" t="str">
        <f t="shared" si="128"/>
        <v/>
      </c>
      <c r="K345" s="72" t="str">
        <f t="shared" si="118"/>
        <v/>
      </c>
      <c r="N345" s="64" t="str">
        <f t="shared" si="129"/>
        <v/>
      </c>
      <c r="O345" s="72" t="str">
        <f t="shared" si="119"/>
        <v/>
      </c>
      <c r="R345" s="64" t="str">
        <f t="shared" si="130"/>
        <v/>
      </c>
      <c r="S345" s="72" t="str">
        <f t="shared" si="120"/>
        <v/>
      </c>
      <c r="V345" s="64" t="str">
        <f t="shared" si="131"/>
        <v/>
      </c>
      <c r="W345" s="72" t="str">
        <f t="shared" si="121"/>
        <v/>
      </c>
      <c r="Z345" s="64" t="str">
        <f t="shared" si="132"/>
        <v/>
      </c>
      <c r="AA345" s="72" t="str">
        <f t="shared" si="122"/>
        <v/>
      </c>
      <c r="AD345" s="64" t="str">
        <f t="shared" si="133"/>
        <v/>
      </c>
      <c r="AE345" s="72" t="str">
        <f t="shared" si="123"/>
        <v/>
      </c>
      <c r="AH345" s="64" t="str">
        <f t="shared" si="134"/>
        <v/>
      </c>
      <c r="AI345" s="72" t="str">
        <f t="shared" si="124"/>
        <v/>
      </c>
      <c r="AL345" s="64" t="str">
        <f t="shared" si="135"/>
        <v/>
      </c>
      <c r="AM345" s="72" t="str">
        <f t="shared" si="125"/>
        <v/>
      </c>
      <c r="AP345" s="64" t="str">
        <f t="shared" si="136"/>
        <v/>
      </c>
      <c r="AQ345" s="72" t="str">
        <f t="shared" si="126"/>
        <v/>
      </c>
    </row>
    <row r="346" spans="1:43" x14ac:dyDescent="0.25">
      <c r="A346" s="49">
        <v>-78.784620240976636</v>
      </c>
      <c r="B346" s="50">
        <v>13.891854213354422</v>
      </c>
      <c r="C346" s="38">
        <f t="shared" si="116"/>
        <v>79.999999999999986</v>
      </c>
      <c r="F346" s="1" t="str">
        <f t="shared" si="127"/>
        <v/>
      </c>
      <c r="G346" s="1" t="str">
        <f t="shared" si="117"/>
        <v/>
      </c>
      <c r="J346" s="64" t="str">
        <f t="shared" si="128"/>
        <v/>
      </c>
      <c r="K346" s="72" t="str">
        <f t="shared" si="118"/>
        <v/>
      </c>
      <c r="N346" s="64" t="str">
        <f t="shared" si="129"/>
        <v/>
      </c>
      <c r="O346" s="72" t="str">
        <f t="shared" si="119"/>
        <v/>
      </c>
      <c r="R346" s="64" t="str">
        <f t="shared" si="130"/>
        <v/>
      </c>
      <c r="S346" s="72" t="str">
        <f t="shared" si="120"/>
        <v/>
      </c>
      <c r="V346" s="64" t="str">
        <f t="shared" si="131"/>
        <v/>
      </c>
      <c r="W346" s="72" t="str">
        <f t="shared" si="121"/>
        <v/>
      </c>
      <c r="Z346" s="64" t="str">
        <f t="shared" si="132"/>
        <v/>
      </c>
      <c r="AA346" s="72" t="str">
        <f t="shared" si="122"/>
        <v/>
      </c>
      <c r="AD346" s="64" t="str">
        <f t="shared" si="133"/>
        <v/>
      </c>
      <c r="AE346" s="72" t="str">
        <f t="shared" si="123"/>
        <v/>
      </c>
      <c r="AH346" s="64" t="str">
        <f t="shared" si="134"/>
        <v/>
      </c>
      <c r="AI346" s="72" t="str">
        <f t="shared" si="124"/>
        <v/>
      </c>
      <c r="AL346" s="64" t="str">
        <f t="shared" si="135"/>
        <v/>
      </c>
      <c r="AM346" s="72" t="str">
        <f t="shared" si="125"/>
        <v/>
      </c>
      <c r="AP346" s="64" t="str">
        <f t="shared" si="136"/>
        <v/>
      </c>
      <c r="AQ346" s="72" t="str">
        <f t="shared" si="126"/>
        <v/>
      </c>
    </row>
    <row r="347" spans="1:43" x14ac:dyDescent="0.25">
      <c r="A347" s="49">
        <v>-80</v>
      </c>
      <c r="B347" s="50">
        <v>9.8011876392689601E-15</v>
      </c>
      <c r="C347" s="38">
        <f t="shared" si="116"/>
        <v>80</v>
      </c>
      <c r="F347" s="1" t="str">
        <f t="shared" si="127"/>
        <v/>
      </c>
      <c r="G347" s="1" t="str">
        <f t="shared" si="117"/>
        <v/>
      </c>
      <c r="J347" s="64" t="str">
        <f t="shared" si="128"/>
        <v/>
      </c>
      <c r="K347" s="72" t="str">
        <f t="shared" si="118"/>
        <v/>
      </c>
      <c r="N347" s="64" t="str">
        <f t="shared" si="129"/>
        <v/>
      </c>
      <c r="O347" s="72" t="str">
        <f t="shared" si="119"/>
        <v/>
      </c>
      <c r="R347" s="64" t="str">
        <f t="shared" si="130"/>
        <v/>
      </c>
      <c r="S347" s="72" t="str">
        <f t="shared" si="120"/>
        <v/>
      </c>
      <c r="V347" s="64" t="str">
        <f t="shared" si="131"/>
        <v/>
      </c>
      <c r="W347" s="72" t="str">
        <f t="shared" si="121"/>
        <v/>
      </c>
      <c r="Z347" s="64" t="str">
        <f t="shared" si="132"/>
        <v/>
      </c>
      <c r="AA347" s="72" t="str">
        <f t="shared" si="122"/>
        <v/>
      </c>
      <c r="AD347" s="64" t="str">
        <f t="shared" si="133"/>
        <v/>
      </c>
      <c r="AE347" s="72" t="str">
        <f t="shared" si="123"/>
        <v/>
      </c>
      <c r="AH347" s="64" t="str">
        <f t="shared" si="134"/>
        <v/>
      </c>
      <c r="AI347" s="72" t="str">
        <f t="shared" si="124"/>
        <v/>
      </c>
      <c r="AL347" s="64" t="str">
        <f t="shared" si="135"/>
        <v/>
      </c>
      <c r="AM347" s="72" t="str">
        <f t="shared" si="125"/>
        <v/>
      </c>
      <c r="AP347" s="64" t="str">
        <f t="shared" si="136"/>
        <v/>
      </c>
      <c r="AQ347" s="72" t="str">
        <f t="shared" si="126"/>
        <v/>
      </c>
    </row>
    <row r="348" spans="1:43" x14ac:dyDescent="0.25">
      <c r="A348" s="49">
        <v>-78.784620240976636</v>
      </c>
      <c r="B348" s="50">
        <v>-13.891854213354438</v>
      </c>
      <c r="C348" s="38">
        <f t="shared" si="116"/>
        <v>80</v>
      </c>
      <c r="F348" s="1" t="str">
        <f t="shared" si="127"/>
        <v/>
      </c>
      <c r="G348" s="1" t="str">
        <f t="shared" si="117"/>
        <v/>
      </c>
      <c r="J348" s="64" t="str">
        <f t="shared" si="128"/>
        <v/>
      </c>
      <c r="K348" s="72" t="str">
        <f t="shared" si="118"/>
        <v/>
      </c>
      <c r="N348" s="64" t="str">
        <f t="shared" si="129"/>
        <v/>
      </c>
      <c r="O348" s="72" t="str">
        <f t="shared" si="119"/>
        <v/>
      </c>
      <c r="R348" s="64" t="str">
        <f t="shared" si="130"/>
        <v/>
      </c>
      <c r="S348" s="72" t="str">
        <f t="shared" si="120"/>
        <v/>
      </c>
      <c r="V348" s="64" t="str">
        <f t="shared" si="131"/>
        <v/>
      </c>
      <c r="W348" s="72" t="str">
        <f t="shared" si="121"/>
        <v/>
      </c>
      <c r="Z348" s="64" t="str">
        <f t="shared" si="132"/>
        <v/>
      </c>
      <c r="AA348" s="72" t="str">
        <f t="shared" si="122"/>
        <v/>
      </c>
      <c r="AD348" s="64" t="str">
        <f t="shared" si="133"/>
        <v/>
      </c>
      <c r="AE348" s="72" t="str">
        <f t="shared" si="123"/>
        <v/>
      </c>
      <c r="AH348" s="64" t="str">
        <f t="shared" si="134"/>
        <v/>
      </c>
      <c r="AI348" s="72" t="str">
        <f t="shared" si="124"/>
        <v/>
      </c>
      <c r="AL348" s="64" t="str">
        <f t="shared" si="135"/>
        <v/>
      </c>
      <c r="AM348" s="72" t="str">
        <f t="shared" si="125"/>
        <v/>
      </c>
      <c r="AP348" s="64" t="str">
        <f t="shared" si="136"/>
        <v/>
      </c>
      <c r="AQ348" s="72" t="str">
        <f t="shared" si="126"/>
        <v/>
      </c>
    </row>
    <row r="349" spans="1:43" x14ac:dyDescent="0.25">
      <c r="A349" s="49">
        <v>-75.175409662872681</v>
      </c>
      <c r="B349" s="50">
        <v>-27.361611466053493</v>
      </c>
      <c r="C349" s="38">
        <f t="shared" si="116"/>
        <v>80</v>
      </c>
      <c r="F349" s="1" t="str">
        <f t="shared" si="127"/>
        <v/>
      </c>
      <c r="G349" s="1" t="str">
        <f t="shared" si="117"/>
        <v/>
      </c>
      <c r="J349" s="64" t="str">
        <f t="shared" si="128"/>
        <v/>
      </c>
      <c r="K349" s="72" t="str">
        <f t="shared" si="118"/>
        <v/>
      </c>
      <c r="N349" s="64" t="str">
        <f t="shared" si="129"/>
        <v/>
      </c>
      <c r="O349" s="72" t="str">
        <f t="shared" si="119"/>
        <v/>
      </c>
      <c r="R349" s="64" t="str">
        <f t="shared" si="130"/>
        <v/>
      </c>
      <c r="S349" s="72" t="str">
        <f t="shared" si="120"/>
        <v/>
      </c>
      <c r="V349" s="64" t="str">
        <f t="shared" si="131"/>
        <v/>
      </c>
      <c r="W349" s="72" t="str">
        <f t="shared" si="121"/>
        <v/>
      </c>
      <c r="Z349" s="64" t="str">
        <f t="shared" si="132"/>
        <v/>
      </c>
      <c r="AA349" s="72" t="str">
        <f t="shared" si="122"/>
        <v/>
      </c>
      <c r="AD349" s="64" t="str">
        <f t="shared" si="133"/>
        <v/>
      </c>
      <c r="AE349" s="72" t="str">
        <f t="shared" si="123"/>
        <v/>
      </c>
      <c r="AH349" s="64" t="str">
        <f t="shared" si="134"/>
        <v/>
      </c>
      <c r="AI349" s="72" t="str">
        <f t="shared" si="124"/>
        <v/>
      </c>
      <c r="AL349" s="64" t="str">
        <f t="shared" si="135"/>
        <v/>
      </c>
      <c r="AM349" s="72" t="str">
        <f t="shared" si="125"/>
        <v/>
      </c>
      <c r="AP349" s="64" t="str">
        <f t="shared" si="136"/>
        <v/>
      </c>
      <c r="AQ349" s="72" t="str">
        <f t="shared" si="126"/>
        <v/>
      </c>
    </row>
    <row r="350" spans="1:43" x14ac:dyDescent="0.25">
      <c r="A350" s="49">
        <v>-69.282032302755084</v>
      </c>
      <c r="B350" s="50">
        <v>-40.000000000000007</v>
      </c>
      <c r="C350" s="38">
        <f t="shared" si="116"/>
        <v>80</v>
      </c>
      <c r="F350" s="1" t="str">
        <f t="shared" si="127"/>
        <v/>
      </c>
      <c r="G350" s="1" t="str">
        <f t="shared" si="117"/>
        <v/>
      </c>
      <c r="J350" s="64" t="str">
        <f t="shared" si="128"/>
        <v/>
      </c>
      <c r="K350" s="72" t="str">
        <f t="shared" si="118"/>
        <v/>
      </c>
      <c r="N350" s="64" t="str">
        <f t="shared" si="129"/>
        <v/>
      </c>
      <c r="O350" s="72" t="str">
        <f t="shared" si="119"/>
        <v/>
      </c>
      <c r="R350" s="64" t="str">
        <f t="shared" si="130"/>
        <v/>
      </c>
      <c r="S350" s="72" t="str">
        <f t="shared" si="120"/>
        <v/>
      </c>
      <c r="V350" s="64" t="str">
        <f t="shared" si="131"/>
        <v/>
      </c>
      <c r="W350" s="72" t="str">
        <f t="shared" si="121"/>
        <v/>
      </c>
      <c r="Z350" s="64" t="str">
        <f t="shared" si="132"/>
        <v/>
      </c>
      <c r="AA350" s="72" t="str">
        <f t="shared" si="122"/>
        <v/>
      </c>
      <c r="AD350" s="64" t="str">
        <f t="shared" si="133"/>
        <v/>
      </c>
      <c r="AE350" s="72" t="str">
        <f t="shared" si="123"/>
        <v/>
      </c>
      <c r="AH350" s="64" t="str">
        <f t="shared" si="134"/>
        <v/>
      </c>
      <c r="AI350" s="72" t="str">
        <f t="shared" si="124"/>
        <v/>
      </c>
      <c r="AL350" s="64" t="str">
        <f t="shared" si="135"/>
        <v/>
      </c>
      <c r="AM350" s="72" t="str">
        <f t="shared" si="125"/>
        <v/>
      </c>
      <c r="AP350" s="64" t="str">
        <f t="shared" si="136"/>
        <v/>
      </c>
      <c r="AQ350" s="72" t="str">
        <f t="shared" si="126"/>
        <v/>
      </c>
    </row>
    <row r="351" spans="1:43" x14ac:dyDescent="0.25">
      <c r="A351" s="49">
        <v>-61.283555449518239</v>
      </c>
      <c r="B351" s="50">
        <v>-51.42300877492314</v>
      </c>
      <c r="C351" s="38">
        <f t="shared" si="116"/>
        <v>80</v>
      </c>
      <c r="F351" s="1" t="str">
        <f t="shared" si="127"/>
        <v/>
      </c>
      <c r="G351" s="1" t="str">
        <f t="shared" si="117"/>
        <v/>
      </c>
      <c r="J351" s="64" t="str">
        <f t="shared" si="128"/>
        <v/>
      </c>
      <c r="K351" s="72" t="str">
        <f t="shared" si="118"/>
        <v/>
      </c>
      <c r="N351" s="64" t="str">
        <f t="shared" si="129"/>
        <v/>
      </c>
      <c r="O351" s="72" t="str">
        <f t="shared" si="119"/>
        <v/>
      </c>
      <c r="R351" s="64" t="str">
        <f t="shared" si="130"/>
        <v/>
      </c>
      <c r="S351" s="72" t="str">
        <f t="shared" si="120"/>
        <v/>
      </c>
      <c r="V351" s="64" t="str">
        <f t="shared" si="131"/>
        <v/>
      </c>
      <c r="W351" s="72" t="str">
        <f t="shared" si="121"/>
        <v/>
      </c>
      <c r="Z351" s="64" t="str">
        <f t="shared" si="132"/>
        <v/>
      </c>
      <c r="AA351" s="72" t="str">
        <f t="shared" si="122"/>
        <v/>
      </c>
      <c r="AD351" s="64" t="str">
        <f t="shared" si="133"/>
        <v/>
      </c>
      <c r="AE351" s="72" t="str">
        <f t="shared" si="123"/>
        <v/>
      </c>
      <c r="AH351" s="64" t="str">
        <f t="shared" si="134"/>
        <v/>
      </c>
      <c r="AI351" s="72" t="str">
        <f t="shared" si="124"/>
        <v/>
      </c>
      <c r="AL351" s="64" t="str">
        <f t="shared" si="135"/>
        <v/>
      </c>
      <c r="AM351" s="72" t="str">
        <f t="shared" si="125"/>
        <v/>
      </c>
      <c r="AP351" s="64" t="str">
        <f t="shared" si="136"/>
        <v/>
      </c>
      <c r="AQ351" s="72" t="str">
        <f t="shared" si="126"/>
        <v/>
      </c>
    </row>
    <row r="352" spans="1:43" x14ac:dyDescent="0.25">
      <c r="A352" s="49">
        <v>-51.423008774923161</v>
      </c>
      <c r="B352" s="50">
        <v>-61.283555449518232</v>
      </c>
      <c r="C352" s="38">
        <f t="shared" si="116"/>
        <v>80</v>
      </c>
      <c r="F352" s="1" t="str">
        <f t="shared" si="127"/>
        <v/>
      </c>
      <c r="G352" s="1" t="str">
        <f t="shared" si="117"/>
        <v/>
      </c>
      <c r="J352" s="64" t="str">
        <f t="shared" si="128"/>
        <v/>
      </c>
      <c r="K352" s="72" t="str">
        <f t="shared" si="118"/>
        <v/>
      </c>
      <c r="N352" s="64" t="str">
        <f t="shared" si="129"/>
        <v/>
      </c>
      <c r="O352" s="72" t="str">
        <f t="shared" si="119"/>
        <v/>
      </c>
      <c r="R352" s="64" t="str">
        <f t="shared" si="130"/>
        <v/>
      </c>
      <c r="S352" s="72" t="str">
        <f t="shared" si="120"/>
        <v/>
      </c>
      <c r="V352" s="64" t="str">
        <f t="shared" si="131"/>
        <v/>
      </c>
      <c r="W352" s="72" t="str">
        <f t="shared" si="121"/>
        <v/>
      </c>
      <c r="Z352" s="64" t="str">
        <f t="shared" si="132"/>
        <v/>
      </c>
      <c r="AA352" s="72" t="str">
        <f t="shared" si="122"/>
        <v/>
      </c>
      <c r="AD352" s="64" t="str">
        <f t="shared" si="133"/>
        <v/>
      </c>
      <c r="AE352" s="72" t="str">
        <f t="shared" si="123"/>
        <v/>
      </c>
      <c r="AH352" s="64" t="str">
        <f t="shared" si="134"/>
        <v/>
      </c>
      <c r="AI352" s="72" t="str">
        <f t="shared" si="124"/>
        <v/>
      </c>
      <c r="AL352" s="64" t="str">
        <f t="shared" si="135"/>
        <v/>
      </c>
      <c r="AM352" s="72" t="str">
        <f t="shared" si="125"/>
        <v/>
      </c>
      <c r="AP352" s="64" t="str">
        <f t="shared" si="136"/>
        <v/>
      </c>
      <c r="AQ352" s="72" t="str">
        <f t="shared" si="126"/>
        <v/>
      </c>
    </row>
    <row r="353" spans="1:43" x14ac:dyDescent="0.25">
      <c r="A353" s="49">
        <v>-40.000000000000036</v>
      </c>
      <c r="B353" s="50">
        <v>-69.28203230275507</v>
      </c>
      <c r="C353" s="38">
        <f t="shared" si="116"/>
        <v>80</v>
      </c>
      <c r="F353" s="1" t="str">
        <f t="shared" si="127"/>
        <v/>
      </c>
      <c r="G353" s="1" t="str">
        <f t="shared" si="117"/>
        <v/>
      </c>
      <c r="J353" s="64" t="str">
        <f t="shared" si="128"/>
        <v/>
      </c>
      <c r="K353" s="72" t="str">
        <f t="shared" si="118"/>
        <v/>
      </c>
      <c r="N353" s="64" t="str">
        <f t="shared" si="129"/>
        <v/>
      </c>
      <c r="O353" s="72" t="str">
        <f t="shared" si="119"/>
        <v/>
      </c>
      <c r="R353" s="64" t="str">
        <f t="shared" si="130"/>
        <v/>
      </c>
      <c r="S353" s="72" t="str">
        <f t="shared" si="120"/>
        <v/>
      </c>
      <c r="V353" s="64" t="str">
        <f t="shared" si="131"/>
        <v/>
      </c>
      <c r="W353" s="72" t="str">
        <f t="shared" si="121"/>
        <v/>
      </c>
      <c r="Z353" s="64" t="str">
        <f t="shared" si="132"/>
        <v/>
      </c>
      <c r="AA353" s="72" t="str">
        <f t="shared" si="122"/>
        <v/>
      </c>
      <c r="AD353" s="64" t="str">
        <f t="shared" si="133"/>
        <v/>
      </c>
      <c r="AE353" s="72" t="str">
        <f t="shared" si="123"/>
        <v/>
      </c>
      <c r="AH353" s="64" t="str">
        <f t="shared" si="134"/>
        <v/>
      </c>
      <c r="AI353" s="72" t="str">
        <f t="shared" si="124"/>
        <v/>
      </c>
      <c r="AL353" s="64" t="str">
        <f t="shared" si="135"/>
        <v/>
      </c>
      <c r="AM353" s="72" t="str">
        <f t="shared" si="125"/>
        <v/>
      </c>
      <c r="AP353" s="64" t="str">
        <f t="shared" si="136"/>
        <v/>
      </c>
      <c r="AQ353" s="72" t="str">
        <f t="shared" si="126"/>
        <v/>
      </c>
    </row>
    <row r="354" spans="1:43" x14ac:dyDescent="0.25">
      <c r="A354" s="49">
        <v>-27.361611466053482</v>
      </c>
      <c r="B354" s="50">
        <v>-75.175409662872681</v>
      </c>
      <c r="C354" s="38">
        <f t="shared" si="116"/>
        <v>80</v>
      </c>
      <c r="F354" s="1" t="str">
        <f t="shared" si="127"/>
        <v/>
      </c>
      <c r="G354" s="1" t="str">
        <f t="shared" si="117"/>
        <v/>
      </c>
      <c r="J354" s="64" t="str">
        <f t="shared" si="128"/>
        <v/>
      </c>
      <c r="K354" s="72" t="str">
        <f t="shared" si="118"/>
        <v/>
      </c>
      <c r="N354" s="64" t="str">
        <f t="shared" si="129"/>
        <v/>
      </c>
      <c r="O354" s="72" t="str">
        <f t="shared" si="119"/>
        <v/>
      </c>
      <c r="R354" s="64" t="str">
        <f t="shared" si="130"/>
        <v/>
      </c>
      <c r="S354" s="72" t="str">
        <f t="shared" si="120"/>
        <v/>
      </c>
      <c r="V354" s="64" t="str">
        <f t="shared" si="131"/>
        <v/>
      </c>
      <c r="W354" s="72" t="str">
        <f t="shared" si="121"/>
        <v/>
      </c>
      <c r="Z354" s="64" t="str">
        <f t="shared" si="132"/>
        <v/>
      </c>
      <c r="AA354" s="72" t="str">
        <f t="shared" si="122"/>
        <v/>
      </c>
      <c r="AD354" s="64" t="str">
        <f t="shared" si="133"/>
        <v/>
      </c>
      <c r="AE354" s="72" t="str">
        <f t="shared" si="123"/>
        <v/>
      </c>
      <c r="AH354" s="64" t="str">
        <f t="shared" si="134"/>
        <v/>
      </c>
      <c r="AI354" s="72" t="str">
        <f t="shared" si="124"/>
        <v/>
      </c>
      <c r="AL354" s="64" t="str">
        <f t="shared" si="135"/>
        <v/>
      </c>
      <c r="AM354" s="72" t="str">
        <f t="shared" si="125"/>
        <v/>
      </c>
      <c r="AP354" s="64" t="str">
        <f t="shared" si="136"/>
        <v/>
      </c>
      <c r="AQ354" s="72" t="str">
        <f t="shared" si="126"/>
        <v/>
      </c>
    </row>
    <row r="355" spans="1:43" x14ac:dyDescent="0.25">
      <c r="A355" s="49">
        <v>-13.891854213354426</v>
      </c>
      <c r="B355" s="50">
        <v>-78.784620240976636</v>
      </c>
      <c r="C355" s="38">
        <f t="shared" si="116"/>
        <v>79.999999999999986</v>
      </c>
      <c r="F355" s="1" t="str">
        <f t="shared" si="127"/>
        <v/>
      </c>
      <c r="G355" s="1" t="str">
        <f t="shared" si="117"/>
        <v/>
      </c>
      <c r="J355" s="64" t="str">
        <f t="shared" si="128"/>
        <v/>
      </c>
      <c r="K355" s="72" t="str">
        <f t="shared" si="118"/>
        <v/>
      </c>
      <c r="N355" s="64" t="str">
        <f t="shared" si="129"/>
        <v/>
      </c>
      <c r="O355" s="72" t="str">
        <f t="shared" si="119"/>
        <v/>
      </c>
      <c r="R355" s="64" t="str">
        <f t="shared" si="130"/>
        <v/>
      </c>
      <c r="S355" s="72" t="str">
        <f t="shared" si="120"/>
        <v/>
      </c>
      <c r="V355" s="64" t="str">
        <f t="shared" si="131"/>
        <v/>
      </c>
      <c r="W355" s="72" t="str">
        <f t="shared" si="121"/>
        <v/>
      </c>
      <c r="Z355" s="64" t="str">
        <f t="shared" si="132"/>
        <v/>
      </c>
      <c r="AA355" s="72" t="str">
        <f t="shared" si="122"/>
        <v/>
      </c>
      <c r="AD355" s="64" t="str">
        <f t="shared" si="133"/>
        <v/>
      </c>
      <c r="AE355" s="72" t="str">
        <f t="shared" si="123"/>
        <v/>
      </c>
      <c r="AH355" s="64" t="str">
        <f t="shared" si="134"/>
        <v/>
      </c>
      <c r="AI355" s="72" t="str">
        <f t="shared" si="124"/>
        <v/>
      </c>
      <c r="AL355" s="64" t="str">
        <f t="shared" si="135"/>
        <v/>
      </c>
      <c r="AM355" s="72" t="str">
        <f t="shared" si="125"/>
        <v/>
      </c>
      <c r="AP355" s="64" t="str">
        <f t="shared" si="136"/>
        <v/>
      </c>
      <c r="AQ355" s="72" t="str">
        <f t="shared" si="126"/>
        <v/>
      </c>
    </row>
    <row r="356" spans="1:43" x14ac:dyDescent="0.25">
      <c r="A356" s="49">
        <v>-1.470178145890344E-14</v>
      </c>
      <c r="B356" s="50">
        <v>-80</v>
      </c>
      <c r="C356" s="38">
        <f t="shared" si="116"/>
        <v>80</v>
      </c>
      <c r="F356" s="1" t="str">
        <f t="shared" si="127"/>
        <v/>
      </c>
      <c r="G356" s="1" t="str">
        <f t="shared" si="117"/>
        <v/>
      </c>
      <c r="J356" s="64" t="str">
        <f t="shared" si="128"/>
        <v/>
      </c>
      <c r="K356" s="72" t="str">
        <f t="shared" si="118"/>
        <v/>
      </c>
      <c r="N356" s="64" t="str">
        <f t="shared" si="129"/>
        <v/>
      </c>
      <c r="O356" s="72" t="str">
        <f t="shared" si="119"/>
        <v/>
      </c>
      <c r="R356" s="64" t="str">
        <f t="shared" si="130"/>
        <v/>
      </c>
      <c r="S356" s="72" t="str">
        <f t="shared" si="120"/>
        <v/>
      </c>
      <c r="V356" s="64" t="str">
        <f t="shared" si="131"/>
        <v/>
      </c>
      <c r="W356" s="72" t="str">
        <f t="shared" si="121"/>
        <v/>
      </c>
      <c r="Z356" s="64" t="str">
        <f t="shared" si="132"/>
        <v/>
      </c>
      <c r="AA356" s="72" t="str">
        <f t="shared" si="122"/>
        <v/>
      </c>
      <c r="AD356" s="64" t="str">
        <f t="shared" si="133"/>
        <v/>
      </c>
      <c r="AE356" s="72" t="str">
        <f t="shared" si="123"/>
        <v/>
      </c>
      <c r="AH356" s="64" t="str">
        <f t="shared" si="134"/>
        <v/>
      </c>
      <c r="AI356" s="72" t="str">
        <f t="shared" si="124"/>
        <v/>
      </c>
      <c r="AL356" s="64" t="str">
        <f t="shared" si="135"/>
        <v/>
      </c>
      <c r="AM356" s="72" t="str">
        <f t="shared" si="125"/>
        <v/>
      </c>
      <c r="AP356" s="64" t="str">
        <f t="shared" si="136"/>
        <v/>
      </c>
      <c r="AQ356" s="72" t="str">
        <f t="shared" si="126"/>
        <v/>
      </c>
    </row>
    <row r="357" spans="1:43" x14ac:dyDescent="0.25">
      <c r="A357" s="49">
        <v>13.891854213354398</v>
      </c>
      <c r="B357" s="50">
        <v>-78.784620240976651</v>
      </c>
      <c r="C357" s="38">
        <f t="shared" si="116"/>
        <v>80</v>
      </c>
      <c r="F357" s="1" t="str">
        <f t="shared" si="127"/>
        <v/>
      </c>
      <c r="G357" s="1" t="str">
        <f t="shared" si="117"/>
        <v/>
      </c>
      <c r="J357" s="64" t="str">
        <f t="shared" si="128"/>
        <v/>
      </c>
      <c r="K357" s="72" t="str">
        <f t="shared" si="118"/>
        <v/>
      </c>
      <c r="N357" s="64" t="str">
        <f t="shared" si="129"/>
        <v/>
      </c>
      <c r="O357" s="72" t="str">
        <f t="shared" si="119"/>
        <v/>
      </c>
      <c r="R357" s="64" t="str">
        <f t="shared" si="130"/>
        <v/>
      </c>
      <c r="S357" s="72" t="str">
        <f t="shared" si="120"/>
        <v/>
      </c>
      <c r="V357" s="64" t="str">
        <f t="shared" si="131"/>
        <v/>
      </c>
      <c r="W357" s="72" t="str">
        <f t="shared" si="121"/>
        <v/>
      </c>
      <c r="Z357" s="64" t="str">
        <f t="shared" si="132"/>
        <v/>
      </c>
      <c r="AA357" s="72" t="str">
        <f t="shared" si="122"/>
        <v/>
      </c>
      <c r="AD357" s="64" t="str">
        <f t="shared" si="133"/>
        <v/>
      </c>
      <c r="AE357" s="72" t="str">
        <f t="shared" si="123"/>
        <v/>
      </c>
      <c r="AH357" s="64" t="str">
        <f t="shared" si="134"/>
        <v/>
      </c>
      <c r="AI357" s="72" t="str">
        <f t="shared" si="124"/>
        <v/>
      </c>
      <c r="AL357" s="64" t="str">
        <f t="shared" si="135"/>
        <v/>
      </c>
      <c r="AM357" s="72" t="str">
        <f t="shared" si="125"/>
        <v/>
      </c>
      <c r="AP357" s="64" t="str">
        <f t="shared" si="136"/>
        <v/>
      </c>
      <c r="AQ357" s="72" t="str">
        <f t="shared" si="126"/>
        <v/>
      </c>
    </row>
    <row r="358" spans="1:43" x14ac:dyDescent="0.25">
      <c r="A358" s="49">
        <v>27.361611466053517</v>
      </c>
      <c r="B358" s="50">
        <v>-75.175409662872667</v>
      </c>
      <c r="C358" s="38">
        <f t="shared" si="116"/>
        <v>80</v>
      </c>
      <c r="F358" s="1" t="str">
        <f t="shared" si="127"/>
        <v/>
      </c>
      <c r="G358" s="1" t="str">
        <f t="shared" si="117"/>
        <v/>
      </c>
      <c r="J358" s="64" t="str">
        <f t="shared" si="128"/>
        <v/>
      </c>
      <c r="K358" s="72" t="str">
        <f t="shared" si="118"/>
        <v/>
      </c>
      <c r="N358" s="64" t="str">
        <f t="shared" si="129"/>
        <v/>
      </c>
      <c r="O358" s="72" t="str">
        <f t="shared" si="119"/>
        <v/>
      </c>
      <c r="R358" s="64" t="str">
        <f t="shared" si="130"/>
        <v/>
      </c>
      <c r="S358" s="72" t="str">
        <f t="shared" si="120"/>
        <v/>
      </c>
      <c r="V358" s="64" t="str">
        <f t="shared" si="131"/>
        <v/>
      </c>
      <c r="W358" s="72" t="str">
        <f t="shared" si="121"/>
        <v/>
      </c>
      <c r="Z358" s="64" t="str">
        <f t="shared" si="132"/>
        <v/>
      </c>
      <c r="AA358" s="72" t="str">
        <f t="shared" si="122"/>
        <v/>
      </c>
      <c r="AD358" s="64" t="str">
        <f t="shared" si="133"/>
        <v/>
      </c>
      <c r="AE358" s="72" t="str">
        <f t="shared" si="123"/>
        <v/>
      </c>
      <c r="AH358" s="64" t="str">
        <f t="shared" si="134"/>
        <v/>
      </c>
      <c r="AI358" s="72" t="str">
        <f t="shared" si="124"/>
        <v/>
      </c>
      <c r="AL358" s="64" t="str">
        <f t="shared" si="135"/>
        <v/>
      </c>
      <c r="AM358" s="72" t="str">
        <f t="shared" si="125"/>
        <v/>
      </c>
      <c r="AP358" s="64" t="str">
        <f t="shared" si="136"/>
        <v/>
      </c>
      <c r="AQ358" s="72" t="str">
        <f t="shared" si="126"/>
        <v/>
      </c>
    </row>
    <row r="359" spans="1:43" x14ac:dyDescent="0.25">
      <c r="A359" s="49">
        <v>40.000000000000007</v>
      </c>
      <c r="B359" s="50">
        <v>-69.282032302755084</v>
      </c>
      <c r="C359" s="38">
        <f t="shared" si="116"/>
        <v>80</v>
      </c>
      <c r="F359" s="1" t="str">
        <f t="shared" si="127"/>
        <v/>
      </c>
      <c r="G359" s="1" t="str">
        <f t="shared" si="117"/>
        <v/>
      </c>
      <c r="J359" s="64" t="str">
        <f t="shared" si="128"/>
        <v/>
      </c>
      <c r="K359" s="72" t="str">
        <f t="shared" si="118"/>
        <v/>
      </c>
      <c r="N359" s="64" t="str">
        <f t="shared" si="129"/>
        <v/>
      </c>
      <c r="O359" s="72" t="str">
        <f t="shared" si="119"/>
        <v/>
      </c>
      <c r="R359" s="64" t="str">
        <f t="shared" si="130"/>
        <v/>
      </c>
      <c r="S359" s="72" t="str">
        <f t="shared" si="120"/>
        <v/>
      </c>
      <c r="V359" s="64" t="str">
        <f t="shared" si="131"/>
        <v/>
      </c>
      <c r="W359" s="72" t="str">
        <f t="shared" si="121"/>
        <v/>
      </c>
      <c r="Z359" s="64" t="str">
        <f t="shared" si="132"/>
        <v/>
      </c>
      <c r="AA359" s="72" t="str">
        <f t="shared" si="122"/>
        <v/>
      </c>
      <c r="AD359" s="64" t="str">
        <f t="shared" si="133"/>
        <v/>
      </c>
      <c r="AE359" s="72" t="str">
        <f t="shared" si="123"/>
        <v/>
      </c>
      <c r="AH359" s="64" t="str">
        <f t="shared" si="134"/>
        <v/>
      </c>
      <c r="AI359" s="72" t="str">
        <f t="shared" si="124"/>
        <v/>
      </c>
      <c r="AL359" s="64" t="str">
        <f t="shared" si="135"/>
        <v/>
      </c>
      <c r="AM359" s="72" t="str">
        <f t="shared" si="125"/>
        <v/>
      </c>
      <c r="AP359" s="64" t="str">
        <f t="shared" si="136"/>
        <v/>
      </c>
      <c r="AQ359" s="72" t="str">
        <f t="shared" si="126"/>
        <v/>
      </c>
    </row>
    <row r="360" spans="1:43" x14ac:dyDescent="0.25">
      <c r="A360" s="49">
        <v>51.42300877492314</v>
      </c>
      <c r="B360" s="50">
        <v>-61.283555449518246</v>
      </c>
      <c r="C360" s="38">
        <f t="shared" si="116"/>
        <v>80</v>
      </c>
      <c r="F360" s="1" t="str">
        <f t="shared" si="127"/>
        <v/>
      </c>
      <c r="G360" s="1" t="str">
        <f t="shared" si="117"/>
        <v/>
      </c>
      <c r="J360" s="64" t="str">
        <f t="shared" si="128"/>
        <v/>
      </c>
      <c r="K360" s="72" t="str">
        <f t="shared" si="118"/>
        <v/>
      </c>
      <c r="N360" s="64" t="str">
        <f t="shared" si="129"/>
        <v/>
      </c>
      <c r="O360" s="72" t="str">
        <f t="shared" si="119"/>
        <v/>
      </c>
      <c r="R360" s="64" t="str">
        <f t="shared" si="130"/>
        <v/>
      </c>
      <c r="S360" s="72" t="str">
        <f t="shared" si="120"/>
        <v/>
      </c>
      <c r="V360" s="64" t="str">
        <f t="shared" si="131"/>
        <v/>
      </c>
      <c r="W360" s="72" t="str">
        <f t="shared" si="121"/>
        <v/>
      </c>
      <c r="Z360" s="64" t="str">
        <f t="shared" si="132"/>
        <v/>
      </c>
      <c r="AA360" s="72" t="str">
        <f t="shared" si="122"/>
        <v/>
      </c>
      <c r="AD360" s="64" t="str">
        <f t="shared" si="133"/>
        <v/>
      </c>
      <c r="AE360" s="72" t="str">
        <f t="shared" si="123"/>
        <v/>
      </c>
      <c r="AH360" s="64" t="str">
        <f t="shared" si="134"/>
        <v/>
      </c>
      <c r="AI360" s="72" t="str">
        <f t="shared" si="124"/>
        <v/>
      </c>
      <c r="AL360" s="64" t="str">
        <f t="shared" si="135"/>
        <v/>
      </c>
      <c r="AM360" s="72" t="str">
        <f t="shared" si="125"/>
        <v/>
      </c>
      <c r="AP360" s="64" t="str">
        <f t="shared" si="136"/>
        <v/>
      </c>
      <c r="AQ360" s="72" t="str">
        <f t="shared" si="126"/>
        <v/>
      </c>
    </row>
    <row r="361" spans="1:43" x14ac:dyDescent="0.25">
      <c r="A361" s="49">
        <v>61.283555449518225</v>
      </c>
      <c r="B361" s="50">
        <v>-51.423008774923169</v>
      </c>
      <c r="C361" s="38">
        <f t="shared" si="116"/>
        <v>80</v>
      </c>
      <c r="F361" s="1" t="str">
        <f t="shared" si="127"/>
        <v/>
      </c>
      <c r="G361" s="1" t="str">
        <f t="shared" si="117"/>
        <v/>
      </c>
      <c r="J361" s="64" t="str">
        <f t="shared" si="128"/>
        <v/>
      </c>
      <c r="K361" s="72" t="str">
        <f t="shared" si="118"/>
        <v/>
      </c>
      <c r="N361" s="64" t="str">
        <f t="shared" si="129"/>
        <v/>
      </c>
      <c r="O361" s="72" t="str">
        <f t="shared" si="119"/>
        <v/>
      </c>
      <c r="R361" s="64" t="str">
        <f t="shared" si="130"/>
        <v/>
      </c>
      <c r="S361" s="72" t="str">
        <f t="shared" si="120"/>
        <v/>
      </c>
      <c r="V361" s="64" t="str">
        <f t="shared" si="131"/>
        <v/>
      </c>
      <c r="W361" s="72" t="str">
        <f t="shared" si="121"/>
        <v/>
      </c>
      <c r="Z361" s="64" t="str">
        <f t="shared" si="132"/>
        <v/>
      </c>
      <c r="AA361" s="72" t="str">
        <f t="shared" si="122"/>
        <v/>
      </c>
      <c r="AD361" s="64" t="str">
        <f t="shared" si="133"/>
        <v/>
      </c>
      <c r="AE361" s="72" t="str">
        <f t="shared" si="123"/>
        <v/>
      </c>
      <c r="AH361" s="64" t="str">
        <f t="shared" si="134"/>
        <v/>
      </c>
      <c r="AI361" s="72" t="str">
        <f t="shared" si="124"/>
        <v/>
      </c>
      <c r="AL361" s="64" t="str">
        <f t="shared" si="135"/>
        <v/>
      </c>
      <c r="AM361" s="72" t="str">
        <f t="shared" si="125"/>
        <v/>
      </c>
      <c r="AP361" s="64" t="str">
        <f t="shared" si="136"/>
        <v/>
      </c>
      <c r="AQ361" s="72" t="str">
        <f t="shared" si="126"/>
        <v/>
      </c>
    </row>
    <row r="362" spans="1:43" x14ac:dyDescent="0.25">
      <c r="A362" s="49">
        <v>69.28203230275507</v>
      </c>
      <c r="B362" s="50">
        <v>-40.000000000000036</v>
      </c>
      <c r="C362" s="38">
        <f t="shared" si="116"/>
        <v>80</v>
      </c>
      <c r="F362" s="1" t="str">
        <f t="shared" si="127"/>
        <v/>
      </c>
      <c r="G362" s="1" t="str">
        <f t="shared" si="117"/>
        <v/>
      </c>
      <c r="J362" s="64" t="str">
        <f t="shared" si="128"/>
        <v/>
      </c>
      <c r="K362" s="72" t="str">
        <f t="shared" si="118"/>
        <v/>
      </c>
      <c r="N362" s="64" t="str">
        <f t="shared" si="129"/>
        <v/>
      </c>
      <c r="O362" s="72" t="str">
        <f t="shared" si="119"/>
        <v/>
      </c>
      <c r="R362" s="64" t="str">
        <f t="shared" si="130"/>
        <v/>
      </c>
      <c r="S362" s="72" t="str">
        <f t="shared" si="120"/>
        <v/>
      </c>
      <c r="V362" s="64" t="str">
        <f t="shared" si="131"/>
        <v/>
      </c>
      <c r="W362" s="72" t="str">
        <f t="shared" si="121"/>
        <v/>
      </c>
      <c r="Z362" s="64" t="str">
        <f t="shared" si="132"/>
        <v/>
      </c>
      <c r="AA362" s="72" t="str">
        <f t="shared" si="122"/>
        <v/>
      </c>
      <c r="AD362" s="64" t="str">
        <f t="shared" si="133"/>
        <v/>
      </c>
      <c r="AE362" s="72" t="str">
        <f t="shared" si="123"/>
        <v/>
      </c>
      <c r="AH362" s="64" t="str">
        <f t="shared" si="134"/>
        <v/>
      </c>
      <c r="AI362" s="72" t="str">
        <f t="shared" si="124"/>
        <v/>
      </c>
      <c r="AL362" s="64" t="str">
        <f t="shared" si="135"/>
        <v/>
      </c>
      <c r="AM362" s="72" t="str">
        <f t="shared" si="125"/>
        <v/>
      </c>
      <c r="AP362" s="64" t="str">
        <f t="shared" si="136"/>
        <v/>
      </c>
      <c r="AQ362" s="72" t="str">
        <f t="shared" si="126"/>
        <v/>
      </c>
    </row>
    <row r="363" spans="1:43" x14ac:dyDescent="0.25">
      <c r="A363" s="49">
        <v>75.175409662872681</v>
      </c>
      <c r="B363" s="50">
        <v>-27.361611466053489</v>
      </c>
      <c r="C363" s="38">
        <f t="shared" si="116"/>
        <v>80</v>
      </c>
      <c r="F363" s="1" t="str">
        <f t="shared" si="127"/>
        <v/>
      </c>
      <c r="G363" s="1" t="str">
        <f t="shared" si="117"/>
        <v/>
      </c>
      <c r="J363" s="64" t="str">
        <f t="shared" si="128"/>
        <v/>
      </c>
      <c r="K363" s="72" t="str">
        <f t="shared" si="118"/>
        <v/>
      </c>
      <c r="N363" s="64" t="str">
        <f t="shared" si="129"/>
        <v/>
      </c>
      <c r="O363" s="72" t="str">
        <f t="shared" si="119"/>
        <v/>
      </c>
      <c r="R363" s="64" t="str">
        <f t="shared" si="130"/>
        <v/>
      </c>
      <c r="S363" s="72" t="str">
        <f t="shared" si="120"/>
        <v/>
      </c>
      <c r="V363" s="64" t="str">
        <f t="shared" si="131"/>
        <v/>
      </c>
      <c r="W363" s="72" t="str">
        <f t="shared" si="121"/>
        <v/>
      </c>
      <c r="Z363" s="64" t="str">
        <f t="shared" si="132"/>
        <v/>
      </c>
      <c r="AA363" s="72" t="str">
        <f t="shared" si="122"/>
        <v/>
      </c>
      <c r="AD363" s="64" t="str">
        <f t="shared" si="133"/>
        <v/>
      </c>
      <c r="AE363" s="72" t="str">
        <f t="shared" si="123"/>
        <v/>
      </c>
      <c r="AH363" s="64" t="str">
        <f t="shared" si="134"/>
        <v/>
      </c>
      <c r="AI363" s="72" t="str">
        <f t="shared" si="124"/>
        <v/>
      </c>
      <c r="AL363" s="64" t="str">
        <f t="shared" si="135"/>
        <v/>
      </c>
      <c r="AM363" s="72" t="str">
        <f t="shared" si="125"/>
        <v/>
      </c>
      <c r="AP363" s="64" t="str">
        <f t="shared" si="136"/>
        <v/>
      </c>
      <c r="AQ363" s="72" t="str">
        <f t="shared" si="126"/>
        <v/>
      </c>
    </row>
    <row r="364" spans="1:43" x14ac:dyDescent="0.25">
      <c r="A364" s="49">
        <v>78.784620240976636</v>
      </c>
      <c r="B364" s="50">
        <v>-13.891854213354431</v>
      </c>
      <c r="C364" s="38">
        <f t="shared" si="116"/>
        <v>79.999999999999986</v>
      </c>
      <c r="F364" s="1" t="str">
        <f t="shared" si="127"/>
        <v/>
      </c>
      <c r="G364" s="1" t="str">
        <f t="shared" si="117"/>
        <v/>
      </c>
      <c r="J364" s="64" t="str">
        <f t="shared" si="128"/>
        <v/>
      </c>
      <c r="K364" s="72" t="str">
        <f t="shared" si="118"/>
        <v/>
      </c>
      <c r="N364" s="64" t="str">
        <f t="shared" si="129"/>
        <v/>
      </c>
      <c r="O364" s="72" t="str">
        <f t="shared" si="119"/>
        <v/>
      </c>
      <c r="R364" s="64" t="str">
        <f t="shared" si="130"/>
        <v/>
      </c>
      <c r="S364" s="72" t="str">
        <f t="shared" si="120"/>
        <v/>
      </c>
      <c r="V364" s="64" t="str">
        <f t="shared" si="131"/>
        <v/>
      </c>
      <c r="W364" s="72" t="str">
        <f t="shared" si="121"/>
        <v/>
      </c>
      <c r="Z364" s="64" t="str">
        <f t="shared" si="132"/>
        <v/>
      </c>
      <c r="AA364" s="72" t="str">
        <f t="shared" si="122"/>
        <v/>
      </c>
      <c r="AD364" s="64" t="str">
        <f t="shared" si="133"/>
        <v/>
      </c>
      <c r="AE364" s="72" t="str">
        <f t="shared" si="123"/>
        <v/>
      </c>
      <c r="AH364" s="64" t="str">
        <f t="shared" si="134"/>
        <v/>
      </c>
      <c r="AI364" s="72" t="str">
        <f t="shared" si="124"/>
        <v/>
      </c>
      <c r="AL364" s="64" t="str">
        <f t="shared" si="135"/>
        <v/>
      </c>
      <c r="AM364" s="72" t="str">
        <f t="shared" si="125"/>
        <v/>
      </c>
      <c r="AP364" s="64" t="str">
        <f t="shared" si="136"/>
        <v/>
      </c>
      <c r="AQ364" s="72" t="str">
        <f t="shared" si="126"/>
        <v/>
      </c>
    </row>
    <row r="365" spans="1:43" x14ac:dyDescent="0.25">
      <c r="A365" s="49">
        <v>90</v>
      </c>
      <c r="B365" s="50">
        <v>0</v>
      </c>
      <c r="C365" s="38">
        <f t="shared" si="116"/>
        <v>90</v>
      </c>
      <c r="F365" s="1" t="str">
        <f t="shared" si="127"/>
        <v/>
      </c>
      <c r="G365" s="1" t="str">
        <f t="shared" si="117"/>
        <v/>
      </c>
      <c r="J365" s="64" t="str">
        <f t="shared" si="128"/>
        <v/>
      </c>
      <c r="K365" s="72" t="str">
        <f t="shared" si="118"/>
        <v/>
      </c>
      <c r="N365" s="64" t="str">
        <f t="shared" si="129"/>
        <v/>
      </c>
      <c r="O365" s="72" t="str">
        <f t="shared" si="119"/>
        <v/>
      </c>
      <c r="R365" s="64" t="str">
        <f t="shared" si="130"/>
        <v/>
      </c>
      <c r="S365" s="72" t="str">
        <f t="shared" si="120"/>
        <v/>
      </c>
      <c r="V365" s="64" t="str">
        <f t="shared" si="131"/>
        <v/>
      </c>
      <c r="W365" s="72" t="str">
        <f t="shared" si="121"/>
        <v/>
      </c>
      <c r="Z365" s="64" t="str">
        <f t="shared" si="132"/>
        <v/>
      </c>
      <c r="AA365" s="72" t="str">
        <f t="shared" si="122"/>
        <v/>
      </c>
      <c r="AD365" s="64" t="str">
        <f t="shared" si="133"/>
        <v/>
      </c>
      <c r="AE365" s="72" t="str">
        <f t="shared" si="123"/>
        <v/>
      </c>
      <c r="AH365" s="64" t="str">
        <f t="shared" si="134"/>
        <v/>
      </c>
      <c r="AI365" s="72" t="str">
        <f t="shared" si="124"/>
        <v/>
      </c>
      <c r="AL365" s="64" t="str">
        <f t="shared" si="135"/>
        <v/>
      </c>
      <c r="AM365" s="72" t="str">
        <f t="shared" si="125"/>
        <v/>
      </c>
      <c r="AP365" s="64" t="str">
        <f t="shared" si="136"/>
        <v/>
      </c>
      <c r="AQ365" s="72" t="str">
        <f t="shared" si="126"/>
        <v/>
      </c>
    </row>
    <row r="366" spans="1:43" x14ac:dyDescent="0.25">
      <c r="A366" s="49">
        <v>88.632697771098719</v>
      </c>
      <c r="B366" s="50">
        <v>15.62833599002373</v>
      </c>
      <c r="C366" s="38">
        <f t="shared" si="116"/>
        <v>90</v>
      </c>
      <c r="F366" s="1" t="str">
        <f t="shared" si="127"/>
        <v/>
      </c>
      <c r="G366" s="1" t="str">
        <f t="shared" si="117"/>
        <v/>
      </c>
      <c r="J366" s="64" t="str">
        <f t="shared" si="128"/>
        <v/>
      </c>
      <c r="K366" s="72" t="str">
        <f t="shared" si="118"/>
        <v/>
      </c>
      <c r="N366" s="64" t="str">
        <f t="shared" si="129"/>
        <v/>
      </c>
      <c r="O366" s="72" t="str">
        <f t="shared" si="119"/>
        <v/>
      </c>
      <c r="R366" s="64" t="str">
        <f t="shared" si="130"/>
        <v/>
      </c>
      <c r="S366" s="72" t="str">
        <f t="shared" si="120"/>
        <v/>
      </c>
      <c r="V366" s="64" t="str">
        <f t="shared" si="131"/>
        <v/>
      </c>
      <c r="W366" s="72" t="str">
        <f t="shared" si="121"/>
        <v/>
      </c>
      <c r="Z366" s="64" t="str">
        <f t="shared" si="132"/>
        <v/>
      </c>
      <c r="AA366" s="72" t="str">
        <f t="shared" si="122"/>
        <v/>
      </c>
      <c r="AD366" s="64" t="str">
        <f t="shared" si="133"/>
        <v/>
      </c>
      <c r="AE366" s="72" t="str">
        <f t="shared" si="123"/>
        <v/>
      </c>
      <c r="AH366" s="64" t="str">
        <f t="shared" si="134"/>
        <v/>
      </c>
      <c r="AI366" s="72" t="str">
        <f t="shared" si="124"/>
        <v/>
      </c>
      <c r="AL366" s="64" t="str">
        <f t="shared" si="135"/>
        <v/>
      </c>
      <c r="AM366" s="72" t="str">
        <f t="shared" si="125"/>
        <v/>
      </c>
      <c r="AP366" s="64" t="str">
        <f t="shared" si="136"/>
        <v/>
      </c>
      <c r="AQ366" s="72" t="str">
        <f t="shared" si="126"/>
        <v/>
      </c>
    </row>
    <row r="367" spans="1:43" x14ac:dyDescent="0.25">
      <c r="A367" s="49">
        <v>84.572335870731763</v>
      </c>
      <c r="B367" s="50">
        <v>30.781812899310186</v>
      </c>
      <c r="C367" s="38">
        <f t="shared" si="116"/>
        <v>90.000000000000014</v>
      </c>
      <c r="F367" s="1" t="str">
        <f t="shared" si="127"/>
        <v/>
      </c>
      <c r="G367" s="1" t="str">
        <f t="shared" si="117"/>
        <v/>
      </c>
      <c r="J367" s="64" t="str">
        <f t="shared" si="128"/>
        <v/>
      </c>
      <c r="K367" s="72" t="str">
        <f t="shared" si="118"/>
        <v/>
      </c>
      <c r="N367" s="64" t="str">
        <f t="shared" si="129"/>
        <v/>
      </c>
      <c r="O367" s="72" t="str">
        <f t="shared" si="119"/>
        <v/>
      </c>
      <c r="R367" s="64" t="str">
        <f t="shared" si="130"/>
        <v/>
      </c>
      <c r="S367" s="72" t="str">
        <f t="shared" si="120"/>
        <v/>
      </c>
      <c r="V367" s="64" t="str">
        <f t="shared" si="131"/>
        <v/>
      </c>
      <c r="W367" s="72" t="str">
        <f t="shared" si="121"/>
        <v/>
      </c>
      <c r="Z367" s="64" t="str">
        <f t="shared" si="132"/>
        <v/>
      </c>
      <c r="AA367" s="72" t="str">
        <f t="shared" si="122"/>
        <v/>
      </c>
      <c r="AD367" s="64" t="str">
        <f t="shared" si="133"/>
        <v/>
      </c>
      <c r="AE367" s="72" t="str">
        <f t="shared" si="123"/>
        <v/>
      </c>
      <c r="AH367" s="64" t="str">
        <f t="shared" si="134"/>
        <v/>
      </c>
      <c r="AI367" s="72" t="str">
        <f t="shared" si="124"/>
        <v/>
      </c>
      <c r="AL367" s="64" t="str">
        <f t="shared" si="135"/>
        <v/>
      </c>
      <c r="AM367" s="72" t="str">
        <f t="shared" si="125"/>
        <v/>
      </c>
      <c r="AP367" s="64" t="str">
        <f t="shared" si="136"/>
        <v/>
      </c>
      <c r="AQ367" s="72" t="str">
        <f t="shared" si="126"/>
        <v/>
      </c>
    </row>
    <row r="368" spans="1:43" x14ac:dyDescent="0.25">
      <c r="A368" s="49">
        <v>77.94228634059948</v>
      </c>
      <c r="B368" s="50">
        <v>44.999999999999993</v>
      </c>
      <c r="C368" s="38">
        <f t="shared" si="116"/>
        <v>90</v>
      </c>
      <c r="F368" s="1" t="str">
        <f t="shared" si="127"/>
        <v/>
      </c>
      <c r="G368" s="1" t="str">
        <f t="shared" si="117"/>
        <v/>
      </c>
      <c r="J368" s="64" t="str">
        <f t="shared" si="128"/>
        <v/>
      </c>
      <c r="K368" s="72" t="str">
        <f t="shared" si="118"/>
        <v/>
      </c>
      <c r="N368" s="64" t="str">
        <f t="shared" si="129"/>
        <v/>
      </c>
      <c r="O368" s="72" t="str">
        <f t="shared" si="119"/>
        <v/>
      </c>
      <c r="R368" s="64" t="str">
        <f t="shared" si="130"/>
        <v/>
      </c>
      <c r="S368" s="72" t="str">
        <f t="shared" si="120"/>
        <v/>
      </c>
      <c r="V368" s="64" t="str">
        <f t="shared" si="131"/>
        <v/>
      </c>
      <c r="W368" s="72" t="str">
        <f t="shared" si="121"/>
        <v/>
      </c>
      <c r="Z368" s="64" t="str">
        <f t="shared" si="132"/>
        <v/>
      </c>
      <c r="AA368" s="72" t="str">
        <f t="shared" si="122"/>
        <v/>
      </c>
      <c r="AD368" s="64" t="str">
        <f t="shared" si="133"/>
        <v/>
      </c>
      <c r="AE368" s="72" t="str">
        <f t="shared" si="123"/>
        <v/>
      </c>
      <c r="AH368" s="64" t="str">
        <f t="shared" si="134"/>
        <v/>
      </c>
      <c r="AI368" s="72" t="str">
        <f t="shared" si="124"/>
        <v/>
      </c>
      <c r="AL368" s="64" t="str">
        <f t="shared" si="135"/>
        <v/>
      </c>
      <c r="AM368" s="72" t="str">
        <f t="shared" si="125"/>
        <v/>
      </c>
      <c r="AP368" s="64" t="str">
        <f t="shared" si="136"/>
        <v/>
      </c>
      <c r="AQ368" s="72" t="str">
        <f t="shared" si="126"/>
        <v/>
      </c>
    </row>
    <row r="369" spans="1:43" x14ac:dyDescent="0.25">
      <c r="A369" s="49">
        <v>68.94399988070802</v>
      </c>
      <c r="B369" s="50">
        <v>57.85088487178853</v>
      </c>
      <c r="C369" s="38">
        <f t="shared" si="116"/>
        <v>89.999999999999986</v>
      </c>
      <c r="F369" s="1" t="str">
        <f t="shared" si="127"/>
        <v/>
      </c>
      <c r="G369" s="1" t="str">
        <f t="shared" si="117"/>
        <v/>
      </c>
      <c r="J369" s="64" t="str">
        <f t="shared" si="128"/>
        <v/>
      </c>
      <c r="K369" s="72" t="str">
        <f t="shared" si="118"/>
        <v/>
      </c>
      <c r="N369" s="64" t="str">
        <f t="shared" si="129"/>
        <v/>
      </c>
      <c r="O369" s="72" t="str">
        <f t="shared" si="119"/>
        <v/>
      </c>
      <c r="R369" s="64" t="str">
        <f t="shared" si="130"/>
        <v/>
      </c>
      <c r="S369" s="72" t="str">
        <f t="shared" si="120"/>
        <v/>
      </c>
      <c r="V369" s="64" t="str">
        <f t="shared" si="131"/>
        <v/>
      </c>
      <c r="W369" s="72" t="str">
        <f t="shared" si="121"/>
        <v/>
      </c>
      <c r="Z369" s="64" t="str">
        <f t="shared" si="132"/>
        <v/>
      </c>
      <c r="AA369" s="72" t="str">
        <f t="shared" si="122"/>
        <v/>
      </c>
      <c r="AD369" s="64" t="str">
        <f t="shared" si="133"/>
        <v/>
      </c>
      <c r="AE369" s="72" t="str">
        <f t="shared" si="123"/>
        <v/>
      </c>
      <c r="AH369" s="64" t="str">
        <f t="shared" si="134"/>
        <v/>
      </c>
      <c r="AI369" s="72" t="str">
        <f t="shared" si="124"/>
        <v/>
      </c>
      <c r="AL369" s="64" t="str">
        <f t="shared" si="135"/>
        <v/>
      </c>
      <c r="AM369" s="72" t="str">
        <f t="shared" si="125"/>
        <v/>
      </c>
      <c r="AP369" s="64" t="str">
        <f t="shared" si="136"/>
        <v/>
      </c>
      <c r="AQ369" s="72" t="str">
        <f t="shared" si="126"/>
        <v/>
      </c>
    </row>
    <row r="370" spans="1:43" x14ac:dyDescent="0.25">
      <c r="A370" s="49">
        <v>57.850884871788544</v>
      </c>
      <c r="B370" s="50">
        <v>68.94399988070802</v>
      </c>
      <c r="C370" s="38">
        <f t="shared" si="116"/>
        <v>90</v>
      </c>
      <c r="F370" s="1" t="str">
        <f t="shared" si="127"/>
        <v/>
      </c>
      <c r="G370" s="1" t="str">
        <f t="shared" si="117"/>
        <v/>
      </c>
      <c r="J370" s="64" t="str">
        <f t="shared" si="128"/>
        <v/>
      </c>
      <c r="K370" s="72" t="str">
        <f t="shared" si="118"/>
        <v/>
      </c>
      <c r="N370" s="64" t="str">
        <f t="shared" si="129"/>
        <v/>
      </c>
      <c r="O370" s="72" t="str">
        <f t="shared" si="119"/>
        <v/>
      </c>
      <c r="R370" s="64" t="str">
        <f t="shared" si="130"/>
        <v/>
      </c>
      <c r="S370" s="72" t="str">
        <f t="shared" si="120"/>
        <v/>
      </c>
      <c r="V370" s="64" t="str">
        <f t="shared" si="131"/>
        <v/>
      </c>
      <c r="W370" s="72" t="str">
        <f t="shared" si="121"/>
        <v/>
      </c>
      <c r="Z370" s="64" t="str">
        <f t="shared" si="132"/>
        <v/>
      </c>
      <c r="AA370" s="72" t="str">
        <f t="shared" si="122"/>
        <v/>
      </c>
      <c r="AD370" s="64" t="str">
        <f t="shared" si="133"/>
        <v/>
      </c>
      <c r="AE370" s="72" t="str">
        <f t="shared" si="123"/>
        <v/>
      </c>
      <c r="AH370" s="64" t="str">
        <f t="shared" si="134"/>
        <v/>
      </c>
      <c r="AI370" s="72" t="str">
        <f t="shared" si="124"/>
        <v/>
      </c>
      <c r="AL370" s="64" t="str">
        <f t="shared" si="135"/>
        <v/>
      </c>
      <c r="AM370" s="72" t="str">
        <f t="shared" si="125"/>
        <v/>
      </c>
      <c r="AP370" s="64" t="str">
        <f t="shared" si="136"/>
        <v/>
      </c>
      <c r="AQ370" s="72" t="str">
        <f t="shared" si="126"/>
        <v/>
      </c>
    </row>
    <row r="371" spans="1:43" x14ac:dyDescent="0.25">
      <c r="A371" s="49">
        <v>45.000000000000007</v>
      </c>
      <c r="B371" s="50">
        <v>77.94228634059948</v>
      </c>
      <c r="C371" s="38">
        <f t="shared" si="116"/>
        <v>90</v>
      </c>
      <c r="F371" s="1" t="str">
        <f t="shared" si="127"/>
        <v/>
      </c>
      <c r="G371" s="1" t="str">
        <f t="shared" si="117"/>
        <v/>
      </c>
      <c r="J371" s="64" t="str">
        <f t="shared" si="128"/>
        <v/>
      </c>
      <c r="K371" s="72" t="str">
        <f t="shared" si="118"/>
        <v/>
      </c>
      <c r="N371" s="64" t="str">
        <f t="shared" si="129"/>
        <v/>
      </c>
      <c r="O371" s="72" t="str">
        <f t="shared" si="119"/>
        <v/>
      </c>
      <c r="R371" s="64" t="str">
        <f t="shared" si="130"/>
        <v/>
      </c>
      <c r="S371" s="72" t="str">
        <f t="shared" si="120"/>
        <v/>
      </c>
      <c r="V371" s="64" t="str">
        <f t="shared" si="131"/>
        <v/>
      </c>
      <c r="W371" s="72" t="str">
        <f t="shared" si="121"/>
        <v/>
      </c>
      <c r="Z371" s="64" t="str">
        <f t="shared" si="132"/>
        <v/>
      </c>
      <c r="AA371" s="72" t="str">
        <f t="shared" si="122"/>
        <v/>
      </c>
      <c r="AD371" s="64" t="str">
        <f t="shared" si="133"/>
        <v/>
      </c>
      <c r="AE371" s="72" t="str">
        <f t="shared" si="123"/>
        <v/>
      </c>
      <c r="AH371" s="64" t="str">
        <f t="shared" si="134"/>
        <v/>
      </c>
      <c r="AI371" s="72" t="str">
        <f t="shared" si="124"/>
        <v/>
      </c>
      <c r="AL371" s="64" t="str">
        <f t="shared" si="135"/>
        <v/>
      </c>
      <c r="AM371" s="72" t="str">
        <f t="shared" si="125"/>
        <v/>
      </c>
      <c r="AP371" s="64" t="str">
        <f t="shared" si="136"/>
        <v/>
      </c>
      <c r="AQ371" s="72" t="str">
        <f t="shared" si="126"/>
        <v/>
      </c>
    </row>
    <row r="372" spans="1:43" x14ac:dyDescent="0.25">
      <c r="A372" s="49">
        <v>30.781812899310193</v>
      </c>
      <c r="B372" s="50">
        <v>84.572335870731749</v>
      </c>
      <c r="C372" s="38">
        <f t="shared" si="116"/>
        <v>90</v>
      </c>
      <c r="F372" s="1" t="str">
        <f t="shared" si="127"/>
        <v/>
      </c>
      <c r="G372" s="1" t="str">
        <f t="shared" si="117"/>
        <v/>
      </c>
      <c r="J372" s="64" t="str">
        <f t="shared" si="128"/>
        <v/>
      </c>
      <c r="K372" s="72" t="str">
        <f t="shared" si="118"/>
        <v/>
      </c>
      <c r="N372" s="64" t="str">
        <f t="shared" si="129"/>
        <v/>
      </c>
      <c r="O372" s="72" t="str">
        <f t="shared" si="119"/>
        <v/>
      </c>
      <c r="R372" s="64" t="str">
        <f t="shared" si="130"/>
        <v/>
      </c>
      <c r="S372" s="72" t="str">
        <f t="shared" si="120"/>
        <v/>
      </c>
      <c r="V372" s="64" t="str">
        <f t="shared" si="131"/>
        <v/>
      </c>
      <c r="W372" s="72" t="str">
        <f t="shared" si="121"/>
        <v/>
      </c>
      <c r="Z372" s="64" t="str">
        <f t="shared" si="132"/>
        <v/>
      </c>
      <c r="AA372" s="72" t="str">
        <f t="shared" si="122"/>
        <v/>
      </c>
      <c r="AD372" s="64" t="str">
        <f t="shared" si="133"/>
        <v/>
      </c>
      <c r="AE372" s="72" t="str">
        <f t="shared" si="123"/>
        <v/>
      </c>
      <c r="AH372" s="64" t="str">
        <f t="shared" si="134"/>
        <v/>
      </c>
      <c r="AI372" s="72" t="str">
        <f t="shared" si="124"/>
        <v/>
      </c>
      <c r="AL372" s="64" t="str">
        <f t="shared" si="135"/>
        <v/>
      </c>
      <c r="AM372" s="72" t="str">
        <f t="shared" si="125"/>
        <v/>
      </c>
      <c r="AP372" s="64" t="str">
        <f t="shared" si="136"/>
        <v/>
      </c>
      <c r="AQ372" s="72" t="str">
        <f t="shared" si="126"/>
        <v/>
      </c>
    </row>
    <row r="373" spans="1:43" x14ac:dyDescent="0.25">
      <c r="A373" s="49">
        <v>15.628335990023738</v>
      </c>
      <c r="B373" s="50">
        <v>88.632697771098719</v>
      </c>
      <c r="C373" s="38">
        <f t="shared" si="116"/>
        <v>90</v>
      </c>
      <c r="F373" s="1" t="str">
        <f t="shared" si="127"/>
        <v/>
      </c>
      <c r="G373" s="1" t="str">
        <f t="shared" si="117"/>
        <v/>
      </c>
      <c r="J373" s="64" t="str">
        <f t="shared" si="128"/>
        <v/>
      </c>
      <c r="K373" s="72" t="str">
        <f t="shared" si="118"/>
        <v/>
      </c>
      <c r="N373" s="64" t="str">
        <f t="shared" si="129"/>
        <v/>
      </c>
      <c r="O373" s="72" t="str">
        <f t="shared" si="119"/>
        <v/>
      </c>
      <c r="R373" s="64" t="str">
        <f t="shared" si="130"/>
        <v/>
      </c>
      <c r="S373" s="72" t="str">
        <f t="shared" si="120"/>
        <v/>
      </c>
      <c r="V373" s="64" t="str">
        <f t="shared" si="131"/>
        <v/>
      </c>
      <c r="W373" s="72" t="str">
        <f t="shared" si="121"/>
        <v/>
      </c>
      <c r="Z373" s="64" t="str">
        <f t="shared" si="132"/>
        <v/>
      </c>
      <c r="AA373" s="72" t="str">
        <f t="shared" si="122"/>
        <v/>
      </c>
      <c r="AD373" s="64" t="str">
        <f t="shared" si="133"/>
        <v/>
      </c>
      <c r="AE373" s="72" t="str">
        <f t="shared" si="123"/>
        <v/>
      </c>
      <c r="AH373" s="64" t="str">
        <f t="shared" si="134"/>
        <v/>
      </c>
      <c r="AI373" s="72" t="str">
        <f t="shared" si="124"/>
        <v/>
      </c>
      <c r="AL373" s="64" t="str">
        <f t="shared" si="135"/>
        <v/>
      </c>
      <c r="AM373" s="72" t="str">
        <f t="shared" si="125"/>
        <v/>
      </c>
      <c r="AP373" s="64" t="str">
        <f t="shared" si="136"/>
        <v/>
      </c>
      <c r="AQ373" s="72" t="str">
        <f t="shared" si="126"/>
        <v/>
      </c>
    </row>
    <row r="374" spans="1:43" x14ac:dyDescent="0.25">
      <c r="A374" s="49">
        <v>5.51316804708879E-15</v>
      </c>
      <c r="B374" s="50">
        <v>90</v>
      </c>
      <c r="C374" s="38">
        <f t="shared" si="116"/>
        <v>90</v>
      </c>
      <c r="F374" s="1" t="str">
        <f t="shared" si="127"/>
        <v/>
      </c>
      <c r="G374" s="1" t="str">
        <f t="shared" si="117"/>
        <v/>
      </c>
      <c r="J374" s="64" t="str">
        <f t="shared" si="128"/>
        <v/>
      </c>
      <c r="K374" s="72" t="str">
        <f t="shared" si="118"/>
        <v/>
      </c>
      <c r="N374" s="64" t="str">
        <f t="shared" si="129"/>
        <v/>
      </c>
      <c r="O374" s="72" t="str">
        <f t="shared" si="119"/>
        <v/>
      </c>
      <c r="R374" s="64" t="str">
        <f t="shared" si="130"/>
        <v/>
      </c>
      <c r="S374" s="72" t="str">
        <f t="shared" si="120"/>
        <v/>
      </c>
      <c r="V374" s="64" t="str">
        <f t="shared" si="131"/>
        <v/>
      </c>
      <c r="W374" s="72" t="str">
        <f t="shared" si="121"/>
        <v/>
      </c>
      <c r="Z374" s="64" t="str">
        <f t="shared" si="132"/>
        <v/>
      </c>
      <c r="AA374" s="72" t="str">
        <f t="shared" si="122"/>
        <v/>
      </c>
      <c r="AD374" s="64" t="str">
        <f t="shared" si="133"/>
        <v/>
      </c>
      <c r="AE374" s="72" t="str">
        <f t="shared" si="123"/>
        <v/>
      </c>
      <c r="AH374" s="64" t="str">
        <f t="shared" si="134"/>
        <v/>
      </c>
      <c r="AI374" s="72" t="str">
        <f t="shared" si="124"/>
        <v/>
      </c>
      <c r="AL374" s="64" t="str">
        <f t="shared" si="135"/>
        <v/>
      </c>
      <c r="AM374" s="72" t="str">
        <f t="shared" si="125"/>
        <v/>
      </c>
      <c r="AP374" s="64" t="str">
        <f t="shared" si="136"/>
        <v/>
      </c>
      <c r="AQ374" s="72" t="str">
        <f t="shared" si="126"/>
        <v/>
      </c>
    </row>
    <row r="375" spans="1:43" x14ac:dyDescent="0.25">
      <c r="A375" s="49">
        <v>-15.628335990023727</v>
      </c>
      <c r="B375" s="50">
        <v>88.632697771098719</v>
      </c>
      <c r="C375" s="38">
        <f t="shared" si="116"/>
        <v>90</v>
      </c>
      <c r="F375" s="1" t="str">
        <f t="shared" si="127"/>
        <v/>
      </c>
      <c r="G375" s="1" t="str">
        <f t="shared" si="117"/>
        <v/>
      </c>
      <c r="J375" s="64" t="str">
        <f t="shared" si="128"/>
        <v/>
      </c>
      <c r="K375" s="72" t="str">
        <f t="shared" si="118"/>
        <v/>
      </c>
      <c r="N375" s="64" t="str">
        <f t="shared" si="129"/>
        <v/>
      </c>
      <c r="O375" s="72" t="str">
        <f t="shared" si="119"/>
        <v/>
      </c>
      <c r="R375" s="64" t="str">
        <f t="shared" si="130"/>
        <v/>
      </c>
      <c r="S375" s="72" t="str">
        <f t="shared" si="120"/>
        <v/>
      </c>
      <c r="V375" s="64" t="str">
        <f t="shared" si="131"/>
        <v/>
      </c>
      <c r="W375" s="72" t="str">
        <f t="shared" si="121"/>
        <v/>
      </c>
      <c r="Z375" s="64" t="str">
        <f t="shared" si="132"/>
        <v/>
      </c>
      <c r="AA375" s="72" t="str">
        <f t="shared" si="122"/>
        <v/>
      </c>
      <c r="AD375" s="64" t="str">
        <f t="shared" si="133"/>
        <v/>
      </c>
      <c r="AE375" s="72" t="str">
        <f t="shared" si="123"/>
        <v/>
      </c>
      <c r="AH375" s="64" t="str">
        <f t="shared" si="134"/>
        <v/>
      </c>
      <c r="AI375" s="72" t="str">
        <f t="shared" si="124"/>
        <v/>
      </c>
      <c r="AL375" s="64" t="str">
        <f t="shared" si="135"/>
        <v/>
      </c>
      <c r="AM375" s="72" t="str">
        <f t="shared" si="125"/>
        <v/>
      </c>
      <c r="AP375" s="64" t="str">
        <f t="shared" si="136"/>
        <v/>
      </c>
      <c r="AQ375" s="72" t="str">
        <f t="shared" si="126"/>
        <v/>
      </c>
    </row>
    <row r="376" spans="1:43" x14ac:dyDescent="0.25">
      <c r="A376" s="49">
        <v>-30.781812899310186</v>
      </c>
      <c r="B376" s="50">
        <v>84.572335870731763</v>
      </c>
      <c r="C376" s="38">
        <f t="shared" si="116"/>
        <v>90.000000000000014</v>
      </c>
      <c r="F376" s="1" t="str">
        <f t="shared" si="127"/>
        <v/>
      </c>
      <c r="G376" s="1" t="str">
        <f t="shared" si="117"/>
        <v/>
      </c>
      <c r="J376" s="64" t="str">
        <f t="shared" si="128"/>
        <v/>
      </c>
      <c r="K376" s="72" t="str">
        <f t="shared" si="118"/>
        <v/>
      </c>
      <c r="N376" s="64" t="str">
        <f t="shared" si="129"/>
        <v/>
      </c>
      <c r="O376" s="72" t="str">
        <f t="shared" si="119"/>
        <v/>
      </c>
      <c r="R376" s="64" t="str">
        <f t="shared" si="130"/>
        <v/>
      </c>
      <c r="S376" s="72" t="str">
        <f t="shared" si="120"/>
        <v/>
      </c>
      <c r="V376" s="64" t="str">
        <f t="shared" si="131"/>
        <v/>
      </c>
      <c r="W376" s="72" t="str">
        <f t="shared" si="121"/>
        <v/>
      </c>
      <c r="Z376" s="64" t="str">
        <f t="shared" si="132"/>
        <v/>
      </c>
      <c r="AA376" s="72" t="str">
        <f t="shared" si="122"/>
        <v/>
      </c>
      <c r="AD376" s="64" t="str">
        <f t="shared" si="133"/>
        <v/>
      </c>
      <c r="AE376" s="72" t="str">
        <f t="shared" si="123"/>
        <v/>
      </c>
      <c r="AH376" s="64" t="str">
        <f t="shared" si="134"/>
        <v/>
      </c>
      <c r="AI376" s="72" t="str">
        <f t="shared" si="124"/>
        <v/>
      </c>
      <c r="AL376" s="64" t="str">
        <f t="shared" si="135"/>
        <v/>
      </c>
      <c r="AM376" s="72" t="str">
        <f t="shared" si="125"/>
        <v/>
      </c>
      <c r="AP376" s="64" t="str">
        <f t="shared" si="136"/>
        <v/>
      </c>
      <c r="AQ376" s="72" t="str">
        <f t="shared" si="126"/>
        <v/>
      </c>
    </row>
    <row r="377" spans="1:43" x14ac:dyDescent="0.25">
      <c r="A377" s="49">
        <v>-44.999999999999979</v>
      </c>
      <c r="B377" s="50">
        <v>77.94228634059948</v>
      </c>
      <c r="C377" s="38">
        <f t="shared" si="116"/>
        <v>89.999999999999986</v>
      </c>
      <c r="F377" s="1" t="str">
        <f t="shared" si="127"/>
        <v/>
      </c>
      <c r="G377" s="1" t="str">
        <f t="shared" si="117"/>
        <v/>
      </c>
      <c r="J377" s="64" t="str">
        <f t="shared" si="128"/>
        <v/>
      </c>
      <c r="K377" s="72" t="str">
        <f t="shared" si="118"/>
        <v/>
      </c>
      <c r="N377" s="64" t="str">
        <f t="shared" si="129"/>
        <v/>
      </c>
      <c r="O377" s="72" t="str">
        <f t="shared" si="119"/>
        <v/>
      </c>
      <c r="R377" s="64" t="str">
        <f t="shared" si="130"/>
        <v/>
      </c>
      <c r="S377" s="72" t="str">
        <f t="shared" si="120"/>
        <v/>
      </c>
      <c r="V377" s="64" t="str">
        <f t="shared" si="131"/>
        <v/>
      </c>
      <c r="W377" s="72" t="str">
        <f t="shared" si="121"/>
        <v/>
      </c>
      <c r="Z377" s="64" t="str">
        <f t="shared" si="132"/>
        <v/>
      </c>
      <c r="AA377" s="72" t="str">
        <f t="shared" si="122"/>
        <v/>
      </c>
      <c r="AD377" s="64" t="str">
        <f t="shared" si="133"/>
        <v/>
      </c>
      <c r="AE377" s="72" t="str">
        <f t="shared" si="123"/>
        <v/>
      </c>
      <c r="AH377" s="64" t="str">
        <f t="shared" si="134"/>
        <v/>
      </c>
      <c r="AI377" s="72" t="str">
        <f t="shared" si="124"/>
        <v/>
      </c>
      <c r="AL377" s="64" t="str">
        <f t="shared" si="135"/>
        <v/>
      </c>
      <c r="AM377" s="72" t="str">
        <f t="shared" si="125"/>
        <v/>
      </c>
      <c r="AP377" s="64" t="str">
        <f t="shared" si="136"/>
        <v/>
      </c>
      <c r="AQ377" s="72" t="str">
        <f t="shared" si="126"/>
        <v/>
      </c>
    </row>
    <row r="378" spans="1:43" x14ac:dyDescent="0.25">
      <c r="A378" s="49">
        <v>-57.850884871788544</v>
      </c>
      <c r="B378" s="50">
        <v>68.94399988070802</v>
      </c>
      <c r="C378" s="38">
        <f t="shared" si="116"/>
        <v>90</v>
      </c>
      <c r="F378" s="1" t="str">
        <f t="shared" si="127"/>
        <v/>
      </c>
      <c r="G378" s="1" t="str">
        <f t="shared" si="117"/>
        <v/>
      </c>
      <c r="J378" s="64" t="str">
        <f t="shared" si="128"/>
        <v/>
      </c>
      <c r="K378" s="72" t="str">
        <f t="shared" si="118"/>
        <v/>
      </c>
      <c r="N378" s="64" t="str">
        <f t="shared" si="129"/>
        <v/>
      </c>
      <c r="O378" s="72" t="str">
        <f t="shared" si="119"/>
        <v/>
      </c>
      <c r="R378" s="64" t="str">
        <f t="shared" si="130"/>
        <v/>
      </c>
      <c r="S378" s="72" t="str">
        <f t="shared" si="120"/>
        <v/>
      </c>
      <c r="V378" s="64" t="str">
        <f t="shared" si="131"/>
        <v/>
      </c>
      <c r="W378" s="72" t="str">
        <f t="shared" si="121"/>
        <v/>
      </c>
      <c r="Z378" s="64" t="str">
        <f t="shared" si="132"/>
        <v/>
      </c>
      <c r="AA378" s="72" t="str">
        <f t="shared" si="122"/>
        <v/>
      </c>
      <c r="AD378" s="64" t="str">
        <f t="shared" si="133"/>
        <v/>
      </c>
      <c r="AE378" s="72" t="str">
        <f t="shared" si="123"/>
        <v/>
      </c>
      <c r="AH378" s="64" t="str">
        <f t="shared" si="134"/>
        <v/>
      </c>
      <c r="AI378" s="72" t="str">
        <f t="shared" si="124"/>
        <v/>
      </c>
      <c r="AL378" s="64" t="str">
        <f t="shared" si="135"/>
        <v/>
      </c>
      <c r="AM378" s="72" t="str">
        <f t="shared" si="125"/>
        <v/>
      </c>
      <c r="AP378" s="64" t="str">
        <f t="shared" si="136"/>
        <v/>
      </c>
      <c r="AQ378" s="72" t="str">
        <f t="shared" si="126"/>
        <v/>
      </c>
    </row>
    <row r="379" spans="1:43" x14ac:dyDescent="0.25">
      <c r="A379" s="49">
        <v>-68.943999880708006</v>
      </c>
      <c r="B379" s="50">
        <v>57.850884871788551</v>
      </c>
      <c r="C379" s="38">
        <f t="shared" si="116"/>
        <v>90</v>
      </c>
      <c r="F379" s="1" t="str">
        <f t="shared" si="127"/>
        <v/>
      </c>
      <c r="G379" s="1" t="str">
        <f t="shared" si="117"/>
        <v/>
      </c>
      <c r="J379" s="64" t="str">
        <f t="shared" si="128"/>
        <v/>
      </c>
      <c r="K379" s="72" t="str">
        <f t="shared" si="118"/>
        <v/>
      </c>
      <c r="N379" s="64" t="str">
        <f t="shared" si="129"/>
        <v/>
      </c>
      <c r="O379" s="72" t="str">
        <f t="shared" si="119"/>
        <v/>
      </c>
      <c r="R379" s="64" t="str">
        <f t="shared" si="130"/>
        <v/>
      </c>
      <c r="S379" s="72" t="str">
        <f t="shared" si="120"/>
        <v/>
      </c>
      <c r="V379" s="64" t="str">
        <f t="shared" si="131"/>
        <v/>
      </c>
      <c r="W379" s="72" t="str">
        <f t="shared" si="121"/>
        <v/>
      </c>
      <c r="Z379" s="64" t="str">
        <f t="shared" si="132"/>
        <v/>
      </c>
      <c r="AA379" s="72" t="str">
        <f t="shared" si="122"/>
        <v/>
      </c>
      <c r="AD379" s="64" t="str">
        <f t="shared" si="133"/>
        <v/>
      </c>
      <c r="AE379" s="72" t="str">
        <f t="shared" si="123"/>
        <v/>
      </c>
      <c r="AH379" s="64" t="str">
        <f t="shared" si="134"/>
        <v/>
      </c>
      <c r="AI379" s="72" t="str">
        <f t="shared" si="124"/>
        <v/>
      </c>
      <c r="AL379" s="64" t="str">
        <f t="shared" si="135"/>
        <v/>
      </c>
      <c r="AM379" s="72" t="str">
        <f t="shared" si="125"/>
        <v/>
      </c>
      <c r="AP379" s="64" t="str">
        <f t="shared" si="136"/>
        <v/>
      </c>
      <c r="AQ379" s="72" t="str">
        <f t="shared" si="126"/>
        <v/>
      </c>
    </row>
    <row r="380" spans="1:43" x14ac:dyDescent="0.25">
      <c r="A380" s="49">
        <v>-77.94228634059948</v>
      </c>
      <c r="B380" s="50">
        <v>44.999999999999993</v>
      </c>
      <c r="C380" s="38">
        <f t="shared" ref="C380:C436" si="137">(A380^2+B380^2)^(1/2)</f>
        <v>90</v>
      </c>
      <c r="F380" s="1" t="str">
        <f t="shared" si="127"/>
        <v/>
      </c>
      <c r="G380" s="1" t="str">
        <f t="shared" ref="G380:G436" si="138">IFERROR(IF(G$16="","",F380/(G$16/60)),"")</f>
        <v/>
      </c>
      <c r="J380" s="64" t="str">
        <f t="shared" si="128"/>
        <v/>
      </c>
      <c r="K380" s="72" t="str">
        <f t="shared" ref="K380:K436" si="139">IFERROR(IF(K$16="","",J380/(K$16/60)),"")</f>
        <v/>
      </c>
      <c r="N380" s="64" t="str">
        <f t="shared" si="129"/>
        <v/>
      </c>
      <c r="O380" s="72" t="str">
        <f t="shared" ref="O380:O436" si="140">IFERROR(IF(O$16="","",N380/(O$16/60)),"")</f>
        <v/>
      </c>
      <c r="R380" s="64" t="str">
        <f t="shared" si="130"/>
        <v/>
      </c>
      <c r="S380" s="72" t="str">
        <f t="shared" ref="S380:S436" si="141">IFERROR(IF(S$16="","",R380/(S$16/60)),"")</f>
        <v/>
      </c>
      <c r="V380" s="64" t="str">
        <f t="shared" si="131"/>
        <v/>
      </c>
      <c r="W380" s="72" t="str">
        <f t="shared" ref="W380:W436" si="142">IFERROR(IF(W$16="","",V380/(W$16/60)),"")</f>
        <v/>
      </c>
      <c r="Z380" s="64" t="str">
        <f t="shared" si="132"/>
        <v/>
      </c>
      <c r="AA380" s="72" t="str">
        <f t="shared" ref="AA380:AA436" si="143">IFERROR(IF(AA$16="","",Z380/(AA$16/60)),"")</f>
        <v/>
      </c>
      <c r="AD380" s="64" t="str">
        <f t="shared" si="133"/>
        <v/>
      </c>
      <c r="AE380" s="72" t="str">
        <f t="shared" ref="AE380:AE436" si="144">IFERROR(IF(AE$16="","",AD380/(AE$16/60)),"")</f>
        <v/>
      </c>
      <c r="AH380" s="64" t="str">
        <f t="shared" si="134"/>
        <v/>
      </c>
      <c r="AI380" s="72" t="str">
        <f t="shared" ref="AI380:AI436" si="145">IFERROR(IF(AI$16="","",AH380/(AI$16/60)),"")</f>
        <v/>
      </c>
      <c r="AL380" s="64" t="str">
        <f t="shared" si="135"/>
        <v/>
      </c>
      <c r="AM380" s="72" t="str">
        <f t="shared" ref="AM380:AM436" si="146">IFERROR(IF(AM$16="","",AL380/(AM$16/60)),"")</f>
        <v/>
      </c>
      <c r="AP380" s="64" t="str">
        <f t="shared" si="136"/>
        <v/>
      </c>
      <c r="AQ380" s="72" t="str">
        <f t="shared" ref="AQ380:AQ436" si="147">IFERROR(IF(AQ$16="","",AP380/(AQ$16/60)),"")</f>
        <v/>
      </c>
    </row>
    <row r="381" spans="1:43" x14ac:dyDescent="0.25">
      <c r="A381" s="49">
        <v>-84.572335870731749</v>
      </c>
      <c r="B381" s="50">
        <v>30.7818128993102</v>
      </c>
      <c r="C381" s="38">
        <f t="shared" si="137"/>
        <v>90</v>
      </c>
      <c r="F381" s="1" t="str">
        <f t="shared" ref="F381:F436" si="148">IF(D381="","",(D381-E381)/10)</f>
        <v/>
      </c>
      <c r="G381" s="1" t="str">
        <f t="shared" si="138"/>
        <v/>
      </c>
      <c r="J381" s="64" t="str">
        <f t="shared" ref="J381:J436" si="149">IF(H381="","",(H381-I381)/10)</f>
        <v/>
      </c>
      <c r="K381" s="72" t="str">
        <f t="shared" si="139"/>
        <v/>
      </c>
      <c r="N381" s="64" t="str">
        <f t="shared" ref="N381:N436" si="150">IF(L381="","",(L381-M381)/10)</f>
        <v/>
      </c>
      <c r="O381" s="72" t="str">
        <f t="shared" si="140"/>
        <v/>
      </c>
      <c r="R381" s="64" t="str">
        <f t="shared" ref="R381:R436" si="151">IF(P381="","",(P381-Q381)/10)</f>
        <v/>
      </c>
      <c r="S381" s="72" t="str">
        <f t="shared" si="141"/>
        <v/>
      </c>
      <c r="V381" s="64" t="str">
        <f t="shared" ref="V381:V436" si="152">IF(T381="","",(T381-U381)/10)</f>
        <v/>
      </c>
      <c r="W381" s="72" t="str">
        <f t="shared" si="142"/>
        <v/>
      </c>
      <c r="Z381" s="64" t="str">
        <f t="shared" ref="Z381:Z436" si="153">IF(X381="","",(X381-Y381)/10)</f>
        <v/>
      </c>
      <c r="AA381" s="72" t="str">
        <f t="shared" si="143"/>
        <v/>
      </c>
      <c r="AD381" s="64" t="str">
        <f t="shared" ref="AD381:AD436" si="154">IF(AB381="","",(AB381-AC381)/10)</f>
        <v/>
      </c>
      <c r="AE381" s="72" t="str">
        <f t="shared" si="144"/>
        <v/>
      </c>
      <c r="AH381" s="64" t="str">
        <f t="shared" ref="AH381:AH436" si="155">IF(AF381="","",(AF381-AG381)/10)</f>
        <v/>
      </c>
      <c r="AI381" s="72" t="str">
        <f t="shared" si="145"/>
        <v/>
      </c>
      <c r="AL381" s="64" t="str">
        <f t="shared" ref="AL381:AL436" si="156">IF(AJ381="","",(AJ381-AK381)/10)</f>
        <v/>
      </c>
      <c r="AM381" s="72" t="str">
        <f t="shared" si="146"/>
        <v/>
      </c>
      <c r="AP381" s="64" t="str">
        <f t="shared" ref="AP381:AP436" si="157">IF(AN381="","",(AN381-AO381)/10)</f>
        <v/>
      </c>
      <c r="AQ381" s="72" t="str">
        <f t="shared" si="147"/>
        <v/>
      </c>
    </row>
    <row r="382" spans="1:43" x14ac:dyDescent="0.25">
      <c r="A382" s="49">
        <v>-88.632697771098719</v>
      </c>
      <c r="B382" s="50">
        <v>15.628335990023725</v>
      </c>
      <c r="C382" s="38">
        <f t="shared" si="137"/>
        <v>90</v>
      </c>
      <c r="F382" s="1" t="str">
        <f t="shared" si="148"/>
        <v/>
      </c>
      <c r="G382" s="1" t="str">
        <f t="shared" si="138"/>
        <v/>
      </c>
      <c r="J382" s="64" t="str">
        <f t="shared" si="149"/>
        <v/>
      </c>
      <c r="K382" s="72" t="str">
        <f t="shared" si="139"/>
        <v/>
      </c>
      <c r="N382" s="64" t="str">
        <f t="shared" si="150"/>
        <v/>
      </c>
      <c r="O382" s="72" t="str">
        <f t="shared" si="140"/>
        <v/>
      </c>
      <c r="R382" s="64" t="str">
        <f t="shared" si="151"/>
        <v/>
      </c>
      <c r="S382" s="72" t="str">
        <f t="shared" si="141"/>
        <v/>
      </c>
      <c r="V382" s="64" t="str">
        <f t="shared" si="152"/>
        <v/>
      </c>
      <c r="W382" s="72" t="str">
        <f t="shared" si="142"/>
        <v/>
      </c>
      <c r="Z382" s="64" t="str">
        <f t="shared" si="153"/>
        <v/>
      </c>
      <c r="AA382" s="72" t="str">
        <f t="shared" si="143"/>
        <v/>
      </c>
      <c r="AD382" s="64" t="str">
        <f t="shared" si="154"/>
        <v/>
      </c>
      <c r="AE382" s="72" t="str">
        <f t="shared" si="144"/>
        <v/>
      </c>
      <c r="AH382" s="64" t="str">
        <f t="shared" si="155"/>
        <v/>
      </c>
      <c r="AI382" s="72" t="str">
        <f t="shared" si="145"/>
        <v/>
      </c>
      <c r="AL382" s="64" t="str">
        <f t="shared" si="156"/>
        <v/>
      </c>
      <c r="AM382" s="72" t="str">
        <f t="shared" si="146"/>
        <v/>
      </c>
      <c r="AP382" s="64" t="str">
        <f t="shared" si="157"/>
        <v/>
      </c>
      <c r="AQ382" s="72" t="str">
        <f t="shared" si="147"/>
        <v/>
      </c>
    </row>
    <row r="383" spans="1:43" x14ac:dyDescent="0.25">
      <c r="A383" s="49">
        <v>-90</v>
      </c>
      <c r="B383" s="50">
        <v>1.102633609417758E-14</v>
      </c>
      <c r="C383" s="38">
        <f t="shared" si="137"/>
        <v>90</v>
      </c>
      <c r="F383" s="1" t="str">
        <f t="shared" si="148"/>
        <v/>
      </c>
      <c r="G383" s="1" t="str">
        <f t="shared" si="138"/>
        <v/>
      </c>
      <c r="J383" s="64" t="str">
        <f t="shared" si="149"/>
        <v/>
      </c>
      <c r="K383" s="72" t="str">
        <f t="shared" si="139"/>
        <v/>
      </c>
      <c r="N383" s="64" t="str">
        <f t="shared" si="150"/>
        <v/>
      </c>
      <c r="O383" s="72" t="str">
        <f t="shared" si="140"/>
        <v/>
      </c>
      <c r="R383" s="64" t="str">
        <f t="shared" si="151"/>
        <v/>
      </c>
      <c r="S383" s="72" t="str">
        <f t="shared" si="141"/>
        <v/>
      </c>
      <c r="V383" s="64" t="str">
        <f t="shared" si="152"/>
        <v/>
      </c>
      <c r="W383" s="72" t="str">
        <f t="shared" si="142"/>
        <v/>
      </c>
      <c r="Z383" s="64" t="str">
        <f t="shared" si="153"/>
        <v/>
      </c>
      <c r="AA383" s="72" t="str">
        <f t="shared" si="143"/>
        <v/>
      </c>
      <c r="AD383" s="64" t="str">
        <f t="shared" si="154"/>
        <v/>
      </c>
      <c r="AE383" s="72" t="str">
        <f t="shared" si="144"/>
        <v/>
      </c>
      <c r="AH383" s="64" t="str">
        <f t="shared" si="155"/>
        <v/>
      </c>
      <c r="AI383" s="72" t="str">
        <f t="shared" si="145"/>
        <v/>
      </c>
      <c r="AL383" s="64" t="str">
        <f t="shared" si="156"/>
        <v/>
      </c>
      <c r="AM383" s="72" t="str">
        <f t="shared" si="146"/>
        <v/>
      </c>
      <c r="AP383" s="64" t="str">
        <f t="shared" si="157"/>
        <v/>
      </c>
      <c r="AQ383" s="72" t="str">
        <f t="shared" si="147"/>
        <v/>
      </c>
    </row>
    <row r="384" spans="1:43" x14ac:dyDescent="0.25">
      <c r="A384" s="49">
        <v>-88.632697771098719</v>
      </c>
      <c r="B384" s="50">
        <v>-15.628335990023743</v>
      </c>
      <c r="C384" s="38">
        <f t="shared" si="137"/>
        <v>90</v>
      </c>
      <c r="F384" s="1" t="str">
        <f t="shared" si="148"/>
        <v/>
      </c>
      <c r="G384" s="1" t="str">
        <f t="shared" si="138"/>
        <v/>
      </c>
      <c r="J384" s="64" t="str">
        <f t="shared" si="149"/>
        <v/>
      </c>
      <c r="K384" s="72" t="str">
        <f t="shared" si="139"/>
        <v/>
      </c>
      <c r="N384" s="64" t="str">
        <f t="shared" si="150"/>
        <v/>
      </c>
      <c r="O384" s="72" t="str">
        <f t="shared" si="140"/>
        <v/>
      </c>
      <c r="R384" s="64" t="str">
        <f t="shared" si="151"/>
        <v/>
      </c>
      <c r="S384" s="72" t="str">
        <f t="shared" si="141"/>
        <v/>
      </c>
      <c r="V384" s="64" t="str">
        <f t="shared" si="152"/>
        <v/>
      </c>
      <c r="W384" s="72" t="str">
        <f t="shared" si="142"/>
        <v/>
      </c>
      <c r="Z384" s="64" t="str">
        <f t="shared" si="153"/>
        <v/>
      </c>
      <c r="AA384" s="72" t="str">
        <f t="shared" si="143"/>
        <v/>
      </c>
      <c r="AD384" s="64" t="str">
        <f t="shared" si="154"/>
        <v/>
      </c>
      <c r="AE384" s="72" t="str">
        <f t="shared" si="144"/>
        <v/>
      </c>
      <c r="AH384" s="64" t="str">
        <f t="shared" si="155"/>
        <v/>
      </c>
      <c r="AI384" s="72" t="str">
        <f t="shared" si="145"/>
        <v/>
      </c>
      <c r="AL384" s="64" t="str">
        <f t="shared" si="156"/>
        <v/>
      </c>
      <c r="AM384" s="72" t="str">
        <f t="shared" si="146"/>
        <v/>
      </c>
      <c r="AP384" s="64" t="str">
        <f t="shared" si="157"/>
        <v/>
      </c>
      <c r="AQ384" s="72" t="str">
        <f t="shared" si="147"/>
        <v/>
      </c>
    </row>
    <row r="385" spans="1:43" x14ac:dyDescent="0.25">
      <c r="A385" s="49">
        <v>-84.572335870731763</v>
      </c>
      <c r="B385" s="50">
        <v>-30.781812899310179</v>
      </c>
      <c r="C385" s="38">
        <f t="shared" si="137"/>
        <v>90</v>
      </c>
      <c r="F385" s="1" t="str">
        <f t="shared" si="148"/>
        <v/>
      </c>
      <c r="G385" s="1" t="str">
        <f t="shared" si="138"/>
        <v/>
      </c>
      <c r="J385" s="64" t="str">
        <f t="shared" si="149"/>
        <v/>
      </c>
      <c r="K385" s="72" t="str">
        <f t="shared" si="139"/>
        <v/>
      </c>
      <c r="N385" s="64" t="str">
        <f t="shared" si="150"/>
        <v/>
      </c>
      <c r="O385" s="72" t="str">
        <f t="shared" si="140"/>
        <v/>
      </c>
      <c r="R385" s="64" t="str">
        <f t="shared" si="151"/>
        <v/>
      </c>
      <c r="S385" s="72" t="str">
        <f t="shared" si="141"/>
        <v/>
      </c>
      <c r="V385" s="64" t="str">
        <f t="shared" si="152"/>
        <v/>
      </c>
      <c r="W385" s="72" t="str">
        <f t="shared" si="142"/>
        <v/>
      </c>
      <c r="Z385" s="64" t="str">
        <f t="shared" si="153"/>
        <v/>
      </c>
      <c r="AA385" s="72" t="str">
        <f t="shared" si="143"/>
        <v/>
      </c>
      <c r="AD385" s="64" t="str">
        <f t="shared" si="154"/>
        <v/>
      </c>
      <c r="AE385" s="72" t="str">
        <f t="shared" si="144"/>
        <v/>
      </c>
      <c r="AH385" s="64" t="str">
        <f t="shared" si="155"/>
        <v/>
      </c>
      <c r="AI385" s="72" t="str">
        <f t="shared" si="145"/>
        <v/>
      </c>
      <c r="AL385" s="64" t="str">
        <f t="shared" si="156"/>
        <v/>
      </c>
      <c r="AM385" s="72" t="str">
        <f t="shared" si="146"/>
        <v/>
      </c>
      <c r="AP385" s="64" t="str">
        <f t="shared" si="157"/>
        <v/>
      </c>
      <c r="AQ385" s="72" t="str">
        <f t="shared" si="147"/>
        <v/>
      </c>
    </row>
    <row r="386" spans="1:43" x14ac:dyDescent="0.25">
      <c r="A386" s="49">
        <v>-77.94228634059948</v>
      </c>
      <c r="B386" s="50">
        <v>-45.000000000000007</v>
      </c>
      <c r="C386" s="38">
        <f t="shared" si="137"/>
        <v>90</v>
      </c>
      <c r="F386" s="1" t="str">
        <f t="shared" si="148"/>
        <v/>
      </c>
      <c r="G386" s="1" t="str">
        <f t="shared" si="138"/>
        <v/>
      </c>
      <c r="J386" s="64" t="str">
        <f t="shared" si="149"/>
        <v/>
      </c>
      <c r="K386" s="72" t="str">
        <f t="shared" si="139"/>
        <v/>
      </c>
      <c r="N386" s="64" t="str">
        <f t="shared" si="150"/>
        <v/>
      </c>
      <c r="O386" s="72" t="str">
        <f t="shared" si="140"/>
        <v/>
      </c>
      <c r="R386" s="64" t="str">
        <f t="shared" si="151"/>
        <v/>
      </c>
      <c r="S386" s="72" t="str">
        <f t="shared" si="141"/>
        <v/>
      </c>
      <c r="V386" s="64" t="str">
        <f t="shared" si="152"/>
        <v/>
      </c>
      <c r="W386" s="72" t="str">
        <f t="shared" si="142"/>
        <v/>
      </c>
      <c r="Z386" s="64" t="str">
        <f t="shared" si="153"/>
        <v/>
      </c>
      <c r="AA386" s="72" t="str">
        <f t="shared" si="143"/>
        <v/>
      </c>
      <c r="AD386" s="64" t="str">
        <f t="shared" si="154"/>
        <v/>
      </c>
      <c r="AE386" s="72" t="str">
        <f t="shared" si="144"/>
        <v/>
      </c>
      <c r="AH386" s="64" t="str">
        <f t="shared" si="155"/>
        <v/>
      </c>
      <c r="AI386" s="72" t="str">
        <f t="shared" si="145"/>
        <v/>
      </c>
      <c r="AL386" s="64" t="str">
        <f t="shared" si="156"/>
        <v/>
      </c>
      <c r="AM386" s="72" t="str">
        <f t="shared" si="146"/>
        <v/>
      </c>
      <c r="AP386" s="64" t="str">
        <f t="shared" si="157"/>
        <v/>
      </c>
      <c r="AQ386" s="72" t="str">
        <f t="shared" si="147"/>
        <v/>
      </c>
    </row>
    <row r="387" spans="1:43" x14ac:dyDescent="0.25">
      <c r="A387" s="49">
        <v>-68.94399988070802</v>
      </c>
      <c r="B387" s="50">
        <v>-57.85088487178853</v>
      </c>
      <c r="C387" s="38">
        <f t="shared" si="137"/>
        <v>89.999999999999986</v>
      </c>
      <c r="F387" s="1" t="str">
        <f t="shared" si="148"/>
        <v/>
      </c>
      <c r="G387" s="1" t="str">
        <f t="shared" si="138"/>
        <v/>
      </c>
      <c r="J387" s="64" t="str">
        <f t="shared" si="149"/>
        <v/>
      </c>
      <c r="K387" s="72" t="str">
        <f t="shared" si="139"/>
        <v/>
      </c>
      <c r="N387" s="64" t="str">
        <f t="shared" si="150"/>
        <v/>
      </c>
      <c r="O387" s="72" t="str">
        <f t="shared" si="140"/>
        <v/>
      </c>
      <c r="R387" s="64" t="str">
        <f t="shared" si="151"/>
        <v/>
      </c>
      <c r="S387" s="72" t="str">
        <f t="shared" si="141"/>
        <v/>
      </c>
      <c r="V387" s="64" t="str">
        <f t="shared" si="152"/>
        <v/>
      </c>
      <c r="W387" s="72" t="str">
        <f t="shared" si="142"/>
        <v/>
      </c>
      <c r="Z387" s="64" t="str">
        <f t="shared" si="153"/>
        <v/>
      </c>
      <c r="AA387" s="72" t="str">
        <f t="shared" si="143"/>
        <v/>
      </c>
      <c r="AD387" s="64" t="str">
        <f t="shared" si="154"/>
        <v/>
      </c>
      <c r="AE387" s="72" t="str">
        <f t="shared" si="144"/>
        <v/>
      </c>
      <c r="AH387" s="64" t="str">
        <f t="shared" si="155"/>
        <v/>
      </c>
      <c r="AI387" s="72" t="str">
        <f t="shared" si="145"/>
        <v/>
      </c>
      <c r="AL387" s="64" t="str">
        <f t="shared" si="156"/>
        <v/>
      </c>
      <c r="AM387" s="72" t="str">
        <f t="shared" si="146"/>
        <v/>
      </c>
      <c r="AP387" s="64" t="str">
        <f t="shared" si="157"/>
        <v/>
      </c>
      <c r="AQ387" s="72" t="str">
        <f t="shared" si="147"/>
        <v/>
      </c>
    </row>
    <row r="388" spans="1:43" x14ac:dyDescent="0.25">
      <c r="A388" s="49">
        <v>-57.850884871788551</v>
      </c>
      <c r="B388" s="50">
        <v>-68.943999880708006</v>
      </c>
      <c r="C388" s="38">
        <f t="shared" si="137"/>
        <v>90</v>
      </c>
      <c r="F388" s="1" t="str">
        <f t="shared" si="148"/>
        <v/>
      </c>
      <c r="G388" s="1" t="str">
        <f t="shared" si="138"/>
        <v/>
      </c>
      <c r="J388" s="64" t="str">
        <f t="shared" si="149"/>
        <v/>
      </c>
      <c r="K388" s="72" t="str">
        <f t="shared" si="139"/>
        <v/>
      </c>
      <c r="N388" s="64" t="str">
        <f t="shared" si="150"/>
        <v/>
      </c>
      <c r="O388" s="72" t="str">
        <f t="shared" si="140"/>
        <v/>
      </c>
      <c r="R388" s="64" t="str">
        <f t="shared" si="151"/>
        <v/>
      </c>
      <c r="S388" s="72" t="str">
        <f t="shared" si="141"/>
        <v/>
      </c>
      <c r="V388" s="64" t="str">
        <f t="shared" si="152"/>
        <v/>
      </c>
      <c r="W388" s="72" t="str">
        <f t="shared" si="142"/>
        <v/>
      </c>
      <c r="Z388" s="64" t="str">
        <f t="shared" si="153"/>
        <v/>
      </c>
      <c r="AA388" s="72" t="str">
        <f t="shared" si="143"/>
        <v/>
      </c>
      <c r="AD388" s="64" t="str">
        <f t="shared" si="154"/>
        <v/>
      </c>
      <c r="AE388" s="72" t="str">
        <f t="shared" si="144"/>
        <v/>
      </c>
      <c r="AH388" s="64" t="str">
        <f t="shared" si="155"/>
        <v/>
      </c>
      <c r="AI388" s="72" t="str">
        <f t="shared" si="145"/>
        <v/>
      </c>
      <c r="AL388" s="64" t="str">
        <f t="shared" si="156"/>
        <v/>
      </c>
      <c r="AM388" s="72" t="str">
        <f t="shared" si="146"/>
        <v/>
      </c>
      <c r="AP388" s="64" t="str">
        <f t="shared" si="157"/>
        <v/>
      </c>
      <c r="AQ388" s="72" t="str">
        <f t="shared" si="147"/>
        <v/>
      </c>
    </row>
    <row r="389" spans="1:43" x14ac:dyDescent="0.25">
      <c r="A389" s="49">
        <v>-45.000000000000043</v>
      </c>
      <c r="B389" s="50">
        <v>-77.942286340599452</v>
      </c>
      <c r="C389" s="38">
        <f t="shared" si="137"/>
        <v>90</v>
      </c>
      <c r="F389" s="1" t="str">
        <f t="shared" si="148"/>
        <v/>
      </c>
      <c r="G389" s="1" t="str">
        <f t="shared" si="138"/>
        <v/>
      </c>
      <c r="J389" s="64" t="str">
        <f t="shared" si="149"/>
        <v/>
      </c>
      <c r="K389" s="72" t="str">
        <f t="shared" si="139"/>
        <v/>
      </c>
      <c r="N389" s="64" t="str">
        <f t="shared" si="150"/>
        <v/>
      </c>
      <c r="O389" s="72" t="str">
        <f t="shared" si="140"/>
        <v/>
      </c>
      <c r="R389" s="64" t="str">
        <f t="shared" si="151"/>
        <v/>
      </c>
      <c r="S389" s="72" t="str">
        <f t="shared" si="141"/>
        <v/>
      </c>
      <c r="V389" s="64" t="str">
        <f t="shared" si="152"/>
        <v/>
      </c>
      <c r="W389" s="72" t="str">
        <f t="shared" si="142"/>
        <v/>
      </c>
      <c r="Z389" s="64" t="str">
        <f t="shared" si="153"/>
        <v/>
      </c>
      <c r="AA389" s="72" t="str">
        <f t="shared" si="143"/>
        <v/>
      </c>
      <c r="AD389" s="64" t="str">
        <f t="shared" si="154"/>
        <v/>
      </c>
      <c r="AE389" s="72" t="str">
        <f t="shared" si="144"/>
        <v/>
      </c>
      <c r="AH389" s="64" t="str">
        <f t="shared" si="155"/>
        <v/>
      </c>
      <c r="AI389" s="72" t="str">
        <f t="shared" si="145"/>
        <v/>
      </c>
      <c r="AL389" s="64" t="str">
        <f t="shared" si="156"/>
        <v/>
      </c>
      <c r="AM389" s="72" t="str">
        <f t="shared" si="146"/>
        <v/>
      </c>
      <c r="AP389" s="64" t="str">
        <f t="shared" si="157"/>
        <v/>
      </c>
      <c r="AQ389" s="72" t="str">
        <f t="shared" si="147"/>
        <v/>
      </c>
    </row>
    <row r="390" spans="1:43" x14ac:dyDescent="0.25">
      <c r="A390" s="49">
        <v>-30.781812899310168</v>
      </c>
      <c r="B390" s="50">
        <v>-84.572335870731763</v>
      </c>
      <c r="C390" s="38">
        <f t="shared" si="137"/>
        <v>90</v>
      </c>
      <c r="F390" s="1" t="str">
        <f t="shared" si="148"/>
        <v/>
      </c>
      <c r="G390" s="1" t="str">
        <f t="shared" si="138"/>
        <v/>
      </c>
      <c r="J390" s="64" t="str">
        <f t="shared" si="149"/>
        <v/>
      </c>
      <c r="K390" s="72" t="str">
        <f t="shared" si="139"/>
        <v/>
      </c>
      <c r="N390" s="64" t="str">
        <f t="shared" si="150"/>
        <v/>
      </c>
      <c r="O390" s="72" t="str">
        <f t="shared" si="140"/>
        <v/>
      </c>
      <c r="R390" s="64" t="str">
        <f t="shared" si="151"/>
        <v/>
      </c>
      <c r="S390" s="72" t="str">
        <f t="shared" si="141"/>
        <v/>
      </c>
      <c r="V390" s="64" t="str">
        <f t="shared" si="152"/>
        <v/>
      </c>
      <c r="W390" s="72" t="str">
        <f t="shared" si="142"/>
        <v/>
      </c>
      <c r="Z390" s="64" t="str">
        <f t="shared" si="153"/>
        <v/>
      </c>
      <c r="AA390" s="72" t="str">
        <f t="shared" si="143"/>
        <v/>
      </c>
      <c r="AD390" s="64" t="str">
        <f t="shared" si="154"/>
        <v/>
      </c>
      <c r="AE390" s="72" t="str">
        <f t="shared" si="144"/>
        <v/>
      </c>
      <c r="AH390" s="64" t="str">
        <f t="shared" si="155"/>
        <v/>
      </c>
      <c r="AI390" s="72" t="str">
        <f t="shared" si="145"/>
        <v/>
      </c>
      <c r="AL390" s="64" t="str">
        <f t="shared" si="156"/>
        <v/>
      </c>
      <c r="AM390" s="72" t="str">
        <f t="shared" si="146"/>
        <v/>
      </c>
      <c r="AP390" s="64" t="str">
        <f t="shared" si="157"/>
        <v/>
      </c>
      <c r="AQ390" s="72" t="str">
        <f t="shared" si="147"/>
        <v/>
      </c>
    </row>
    <row r="391" spans="1:43" x14ac:dyDescent="0.25">
      <c r="A391" s="49">
        <v>-15.62833599002373</v>
      </c>
      <c r="B391" s="50">
        <v>-88.632697771098719</v>
      </c>
      <c r="C391" s="38">
        <f t="shared" si="137"/>
        <v>90</v>
      </c>
      <c r="F391" s="1" t="str">
        <f t="shared" si="148"/>
        <v/>
      </c>
      <c r="G391" s="1" t="str">
        <f t="shared" si="138"/>
        <v/>
      </c>
      <c r="J391" s="64" t="str">
        <f t="shared" si="149"/>
        <v/>
      </c>
      <c r="K391" s="72" t="str">
        <f t="shared" si="139"/>
        <v/>
      </c>
      <c r="N391" s="64" t="str">
        <f t="shared" si="150"/>
        <v/>
      </c>
      <c r="O391" s="72" t="str">
        <f t="shared" si="140"/>
        <v/>
      </c>
      <c r="R391" s="64" t="str">
        <f t="shared" si="151"/>
        <v/>
      </c>
      <c r="S391" s="72" t="str">
        <f t="shared" si="141"/>
        <v/>
      </c>
      <c r="V391" s="64" t="str">
        <f t="shared" si="152"/>
        <v/>
      </c>
      <c r="W391" s="72" t="str">
        <f t="shared" si="142"/>
        <v/>
      </c>
      <c r="Z391" s="64" t="str">
        <f t="shared" si="153"/>
        <v/>
      </c>
      <c r="AA391" s="72" t="str">
        <f t="shared" si="143"/>
        <v/>
      </c>
      <c r="AD391" s="64" t="str">
        <f t="shared" si="154"/>
        <v/>
      </c>
      <c r="AE391" s="72" t="str">
        <f t="shared" si="144"/>
        <v/>
      </c>
      <c r="AH391" s="64" t="str">
        <f t="shared" si="155"/>
        <v/>
      </c>
      <c r="AI391" s="72" t="str">
        <f t="shared" si="145"/>
        <v/>
      </c>
      <c r="AL391" s="64" t="str">
        <f t="shared" si="156"/>
        <v/>
      </c>
      <c r="AM391" s="72" t="str">
        <f t="shared" si="146"/>
        <v/>
      </c>
      <c r="AP391" s="64" t="str">
        <f t="shared" si="157"/>
        <v/>
      </c>
      <c r="AQ391" s="72" t="str">
        <f t="shared" si="147"/>
        <v/>
      </c>
    </row>
    <row r="392" spans="1:43" x14ac:dyDescent="0.25">
      <c r="A392" s="49">
        <v>-1.653950414126637E-14</v>
      </c>
      <c r="B392" s="50">
        <v>-90</v>
      </c>
      <c r="C392" s="38">
        <f t="shared" si="137"/>
        <v>90</v>
      </c>
      <c r="F392" s="1" t="str">
        <f t="shared" si="148"/>
        <v/>
      </c>
      <c r="G392" s="1" t="str">
        <f t="shared" si="138"/>
        <v/>
      </c>
      <c r="J392" s="64" t="str">
        <f t="shared" si="149"/>
        <v/>
      </c>
      <c r="K392" s="72" t="str">
        <f t="shared" si="139"/>
        <v/>
      </c>
      <c r="N392" s="64" t="str">
        <f t="shared" si="150"/>
        <v/>
      </c>
      <c r="O392" s="72" t="str">
        <f t="shared" si="140"/>
        <v/>
      </c>
      <c r="R392" s="64" t="str">
        <f t="shared" si="151"/>
        <v/>
      </c>
      <c r="S392" s="72" t="str">
        <f t="shared" si="141"/>
        <v/>
      </c>
      <c r="V392" s="64" t="str">
        <f t="shared" si="152"/>
        <v/>
      </c>
      <c r="W392" s="72" t="str">
        <f t="shared" si="142"/>
        <v/>
      </c>
      <c r="Z392" s="64" t="str">
        <f t="shared" si="153"/>
        <v/>
      </c>
      <c r="AA392" s="72" t="str">
        <f t="shared" si="143"/>
        <v/>
      </c>
      <c r="AD392" s="64" t="str">
        <f t="shared" si="154"/>
        <v/>
      </c>
      <c r="AE392" s="72" t="str">
        <f t="shared" si="144"/>
        <v/>
      </c>
      <c r="AH392" s="64" t="str">
        <f t="shared" si="155"/>
        <v/>
      </c>
      <c r="AI392" s="72" t="str">
        <f t="shared" si="145"/>
        <v/>
      </c>
      <c r="AL392" s="64" t="str">
        <f t="shared" si="156"/>
        <v/>
      </c>
      <c r="AM392" s="72" t="str">
        <f t="shared" si="146"/>
        <v/>
      </c>
      <c r="AP392" s="64" t="str">
        <f t="shared" si="157"/>
        <v/>
      </c>
      <c r="AQ392" s="72" t="str">
        <f t="shared" si="147"/>
        <v/>
      </c>
    </row>
    <row r="393" spans="1:43" x14ac:dyDescent="0.25">
      <c r="A393" s="49">
        <v>15.628335990023697</v>
      </c>
      <c r="B393" s="50">
        <v>-88.632697771098734</v>
      </c>
      <c r="C393" s="38">
        <f t="shared" si="137"/>
        <v>90</v>
      </c>
      <c r="F393" s="1" t="str">
        <f t="shared" si="148"/>
        <v/>
      </c>
      <c r="G393" s="1" t="str">
        <f t="shared" si="138"/>
        <v/>
      </c>
      <c r="J393" s="64" t="str">
        <f t="shared" si="149"/>
        <v/>
      </c>
      <c r="K393" s="72" t="str">
        <f t="shared" si="139"/>
        <v/>
      </c>
      <c r="N393" s="64" t="str">
        <f t="shared" si="150"/>
        <v/>
      </c>
      <c r="O393" s="72" t="str">
        <f t="shared" si="140"/>
        <v/>
      </c>
      <c r="R393" s="64" t="str">
        <f t="shared" si="151"/>
        <v/>
      </c>
      <c r="S393" s="72" t="str">
        <f t="shared" si="141"/>
        <v/>
      </c>
      <c r="V393" s="64" t="str">
        <f t="shared" si="152"/>
        <v/>
      </c>
      <c r="W393" s="72" t="str">
        <f t="shared" si="142"/>
        <v/>
      </c>
      <c r="Z393" s="64" t="str">
        <f t="shared" si="153"/>
        <v/>
      </c>
      <c r="AA393" s="72" t="str">
        <f t="shared" si="143"/>
        <v/>
      </c>
      <c r="AD393" s="64" t="str">
        <f t="shared" si="154"/>
        <v/>
      </c>
      <c r="AE393" s="72" t="str">
        <f t="shared" si="144"/>
        <v/>
      </c>
      <c r="AH393" s="64" t="str">
        <f t="shared" si="155"/>
        <v/>
      </c>
      <c r="AI393" s="72" t="str">
        <f t="shared" si="145"/>
        <v/>
      </c>
      <c r="AL393" s="64" t="str">
        <f t="shared" si="156"/>
        <v/>
      </c>
      <c r="AM393" s="72" t="str">
        <f t="shared" si="146"/>
        <v/>
      </c>
      <c r="AP393" s="64" t="str">
        <f t="shared" si="157"/>
        <v/>
      </c>
      <c r="AQ393" s="72" t="str">
        <f t="shared" si="147"/>
        <v/>
      </c>
    </row>
    <row r="394" spans="1:43" x14ac:dyDescent="0.25">
      <c r="A394" s="49">
        <v>30.781812899310211</v>
      </c>
      <c r="B394" s="50">
        <v>-84.572335870731749</v>
      </c>
      <c r="C394" s="38">
        <f t="shared" si="137"/>
        <v>90</v>
      </c>
      <c r="F394" s="1" t="str">
        <f t="shared" si="148"/>
        <v/>
      </c>
      <c r="G394" s="1" t="str">
        <f t="shared" si="138"/>
        <v/>
      </c>
      <c r="J394" s="64" t="str">
        <f t="shared" si="149"/>
        <v/>
      </c>
      <c r="K394" s="72" t="str">
        <f t="shared" si="139"/>
        <v/>
      </c>
      <c r="N394" s="64" t="str">
        <f t="shared" si="150"/>
        <v/>
      </c>
      <c r="O394" s="72" t="str">
        <f t="shared" si="140"/>
        <v/>
      </c>
      <c r="R394" s="64" t="str">
        <f t="shared" si="151"/>
        <v/>
      </c>
      <c r="S394" s="72" t="str">
        <f t="shared" si="141"/>
        <v/>
      </c>
      <c r="V394" s="64" t="str">
        <f t="shared" si="152"/>
        <v/>
      </c>
      <c r="W394" s="72" t="str">
        <f t="shared" si="142"/>
        <v/>
      </c>
      <c r="Z394" s="64" t="str">
        <f t="shared" si="153"/>
        <v/>
      </c>
      <c r="AA394" s="72" t="str">
        <f t="shared" si="143"/>
        <v/>
      </c>
      <c r="AD394" s="64" t="str">
        <f t="shared" si="154"/>
        <v/>
      </c>
      <c r="AE394" s="72" t="str">
        <f t="shared" si="144"/>
        <v/>
      </c>
      <c r="AH394" s="64" t="str">
        <f t="shared" si="155"/>
        <v/>
      </c>
      <c r="AI394" s="72" t="str">
        <f t="shared" si="145"/>
        <v/>
      </c>
      <c r="AL394" s="64" t="str">
        <f t="shared" si="156"/>
        <v/>
      </c>
      <c r="AM394" s="72" t="str">
        <f t="shared" si="146"/>
        <v/>
      </c>
      <c r="AP394" s="64" t="str">
        <f t="shared" si="157"/>
        <v/>
      </c>
      <c r="AQ394" s="72" t="str">
        <f t="shared" si="147"/>
        <v/>
      </c>
    </row>
    <row r="395" spans="1:43" x14ac:dyDescent="0.25">
      <c r="A395" s="49">
        <v>45.000000000000007</v>
      </c>
      <c r="B395" s="50">
        <v>-77.94228634059948</v>
      </c>
      <c r="C395" s="38">
        <f t="shared" si="137"/>
        <v>90</v>
      </c>
      <c r="F395" s="1" t="str">
        <f t="shared" si="148"/>
        <v/>
      </c>
      <c r="G395" s="1" t="str">
        <f t="shared" si="138"/>
        <v/>
      </c>
      <c r="J395" s="64" t="str">
        <f t="shared" si="149"/>
        <v/>
      </c>
      <c r="K395" s="72" t="str">
        <f t="shared" si="139"/>
        <v/>
      </c>
      <c r="N395" s="64" t="str">
        <f t="shared" si="150"/>
        <v/>
      </c>
      <c r="O395" s="72" t="str">
        <f t="shared" si="140"/>
        <v/>
      </c>
      <c r="R395" s="64" t="str">
        <f t="shared" si="151"/>
        <v/>
      </c>
      <c r="S395" s="72" t="str">
        <f t="shared" si="141"/>
        <v/>
      </c>
      <c r="V395" s="64" t="str">
        <f t="shared" si="152"/>
        <v/>
      </c>
      <c r="W395" s="72" t="str">
        <f t="shared" si="142"/>
        <v/>
      </c>
      <c r="Z395" s="64" t="str">
        <f t="shared" si="153"/>
        <v/>
      </c>
      <c r="AA395" s="72" t="str">
        <f t="shared" si="143"/>
        <v/>
      </c>
      <c r="AD395" s="64" t="str">
        <f t="shared" si="154"/>
        <v/>
      </c>
      <c r="AE395" s="72" t="str">
        <f t="shared" si="144"/>
        <v/>
      </c>
      <c r="AH395" s="64" t="str">
        <f t="shared" si="155"/>
        <v/>
      </c>
      <c r="AI395" s="72" t="str">
        <f t="shared" si="145"/>
        <v/>
      </c>
      <c r="AL395" s="64" t="str">
        <f t="shared" si="156"/>
        <v/>
      </c>
      <c r="AM395" s="72" t="str">
        <f t="shared" si="146"/>
        <v/>
      </c>
      <c r="AP395" s="64" t="str">
        <f t="shared" si="157"/>
        <v/>
      </c>
      <c r="AQ395" s="72" t="str">
        <f t="shared" si="147"/>
        <v/>
      </c>
    </row>
    <row r="396" spans="1:43" x14ac:dyDescent="0.25">
      <c r="A396" s="49">
        <v>57.85088487178853</v>
      </c>
      <c r="B396" s="50">
        <v>-68.943999880708034</v>
      </c>
      <c r="C396" s="38">
        <f t="shared" si="137"/>
        <v>90</v>
      </c>
      <c r="F396" s="1" t="str">
        <f t="shared" si="148"/>
        <v/>
      </c>
      <c r="G396" s="1" t="str">
        <f t="shared" si="138"/>
        <v/>
      </c>
      <c r="J396" s="64" t="str">
        <f t="shared" si="149"/>
        <v/>
      </c>
      <c r="K396" s="72" t="str">
        <f t="shared" si="139"/>
        <v/>
      </c>
      <c r="N396" s="64" t="str">
        <f t="shared" si="150"/>
        <v/>
      </c>
      <c r="O396" s="72" t="str">
        <f t="shared" si="140"/>
        <v/>
      </c>
      <c r="R396" s="64" t="str">
        <f t="shared" si="151"/>
        <v/>
      </c>
      <c r="S396" s="72" t="str">
        <f t="shared" si="141"/>
        <v/>
      </c>
      <c r="V396" s="64" t="str">
        <f t="shared" si="152"/>
        <v/>
      </c>
      <c r="W396" s="72" t="str">
        <f t="shared" si="142"/>
        <v/>
      </c>
      <c r="Z396" s="64" t="str">
        <f t="shared" si="153"/>
        <v/>
      </c>
      <c r="AA396" s="72" t="str">
        <f t="shared" si="143"/>
        <v/>
      </c>
      <c r="AD396" s="64" t="str">
        <f t="shared" si="154"/>
        <v/>
      </c>
      <c r="AE396" s="72" t="str">
        <f t="shared" si="144"/>
        <v/>
      </c>
      <c r="AH396" s="64" t="str">
        <f t="shared" si="155"/>
        <v/>
      </c>
      <c r="AI396" s="72" t="str">
        <f t="shared" si="145"/>
        <v/>
      </c>
      <c r="AL396" s="64" t="str">
        <f t="shared" si="156"/>
        <v/>
      </c>
      <c r="AM396" s="72" t="str">
        <f t="shared" si="146"/>
        <v/>
      </c>
      <c r="AP396" s="64" t="str">
        <f t="shared" si="157"/>
        <v/>
      </c>
      <c r="AQ396" s="72" t="str">
        <f t="shared" si="147"/>
        <v/>
      </c>
    </row>
    <row r="397" spans="1:43" x14ac:dyDescent="0.25">
      <c r="A397" s="49">
        <v>68.943999880708006</v>
      </c>
      <c r="B397" s="50">
        <v>-57.850884871788566</v>
      </c>
      <c r="C397" s="38">
        <f t="shared" si="137"/>
        <v>90</v>
      </c>
      <c r="F397" s="1" t="str">
        <f t="shared" si="148"/>
        <v/>
      </c>
      <c r="G397" s="1" t="str">
        <f t="shared" si="138"/>
        <v/>
      </c>
      <c r="J397" s="64" t="str">
        <f t="shared" si="149"/>
        <v/>
      </c>
      <c r="K397" s="72" t="str">
        <f t="shared" si="139"/>
        <v/>
      </c>
      <c r="N397" s="64" t="str">
        <f t="shared" si="150"/>
        <v/>
      </c>
      <c r="O397" s="72" t="str">
        <f t="shared" si="140"/>
        <v/>
      </c>
      <c r="R397" s="64" t="str">
        <f t="shared" si="151"/>
        <v/>
      </c>
      <c r="S397" s="72" t="str">
        <f t="shared" si="141"/>
        <v/>
      </c>
      <c r="V397" s="64" t="str">
        <f t="shared" si="152"/>
        <v/>
      </c>
      <c r="W397" s="72" t="str">
        <f t="shared" si="142"/>
        <v/>
      </c>
      <c r="Z397" s="64" t="str">
        <f t="shared" si="153"/>
        <v/>
      </c>
      <c r="AA397" s="72" t="str">
        <f t="shared" si="143"/>
        <v/>
      </c>
      <c r="AD397" s="64" t="str">
        <f t="shared" si="154"/>
        <v/>
      </c>
      <c r="AE397" s="72" t="str">
        <f t="shared" si="144"/>
        <v/>
      </c>
      <c r="AH397" s="64" t="str">
        <f t="shared" si="155"/>
        <v/>
      </c>
      <c r="AI397" s="72" t="str">
        <f t="shared" si="145"/>
        <v/>
      </c>
      <c r="AL397" s="64" t="str">
        <f t="shared" si="156"/>
        <v/>
      </c>
      <c r="AM397" s="72" t="str">
        <f t="shared" si="146"/>
        <v/>
      </c>
      <c r="AP397" s="64" t="str">
        <f t="shared" si="157"/>
        <v/>
      </c>
      <c r="AQ397" s="72" t="str">
        <f t="shared" si="147"/>
        <v/>
      </c>
    </row>
    <row r="398" spans="1:43" x14ac:dyDescent="0.25">
      <c r="A398" s="49">
        <v>77.942286340599452</v>
      </c>
      <c r="B398" s="50">
        <v>-45.000000000000043</v>
      </c>
      <c r="C398" s="38">
        <f t="shared" si="137"/>
        <v>90</v>
      </c>
      <c r="F398" s="1" t="str">
        <f t="shared" si="148"/>
        <v/>
      </c>
      <c r="G398" s="1" t="str">
        <f t="shared" si="138"/>
        <v/>
      </c>
      <c r="J398" s="64" t="str">
        <f t="shared" si="149"/>
        <v/>
      </c>
      <c r="K398" s="72" t="str">
        <f t="shared" si="139"/>
        <v/>
      </c>
      <c r="N398" s="64" t="str">
        <f t="shared" si="150"/>
        <v/>
      </c>
      <c r="O398" s="72" t="str">
        <f t="shared" si="140"/>
        <v/>
      </c>
      <c r="R398" s="64" t="str">
        <f t="shared" si="151"/>
        <v/>
      </c>
      <c r="S398" s="72" t="str">
        <f t="shared" si="141"/>
        <v/>
      </c>
      <c r="V398" s="64" t="str">
        <f t="shared" si="152"/>
        <v/>
      </c>
      <c r="W398" s="72" t="str">
        <f t="shared" si="142"/>
        <v/>
      </c>
      <c r="Z398" s="64" t="str">
        <f t="shared" si="153"/>
        <v/>
      </c>
      <c r="AA398" s="72" t="str">
        <f t="shared" si="143"/>
        <v/>
      </c>
      <c r="AD398" s="64" t="str">
        <f t="shared" si="154"/>
        <v/>
      </c>
      <c r="AE398" s="72" t="str">
        <f t="shared" si="144"/>
        <v/>
      </c>
      <c r="AH398" s="64" t="str">
        <f t="shared" si="155"/>
        <v/>
      </c>
      <c r="AI398" s="72" t="str">
        <f t="shared" si="145"/>
        <v/>
      </c>
      <c r="AL398" s="64" t="str">
        <f t="shared" si="156"/>
        <v/>
      </c>
      <c r="AM398" s="72" t="str">
        <f t="shared" si="146"/>
        <v/>
      </c>
      <c r="AP398" s="64" t="str">
        <f t="shared" si="157"/>
        <v/>
      </c>
      <c r="AQ398" s="72" t="str">
        <f t="shared" si="147"/>
        <v/>
      </c>
    </row>
    <row r="399" spans="1:43" x14ac:dyDescent="0.25">
      <c r="A399" s="49">
        <v>84.572335870731763</v>
      </c>
      <c r="B399" s="50">
        <v>-30.781812899310175</v>
      </c>
      <c r="C399" s="38">
        <f t="shared" si="137"/>
        <v>90</v>
      </c>
      <c r="F399" s="1" t="str">
        <f t="shared" si="148"/>
        <v/>
      </c>
      <c r="G399" s="1" t="str">
        <f t="shared" si="138"/>
        <v/>
      </c>
      <c r="J399" s="64" t="str">
        <f t="shared" si="149"/>
        <v/>
      </c>
      <c r="K399" s="72" t="str">
        <f t="shared" si="139"/>
        <v/>
      </c>
      <c r="N399" s="64" t="str">
        <f t="shared" si="150"/>
        <v/>
      </c>
      <c r="O399" s="72" t="str">
        <f t="shared" si="140"/>
        <v/>
      </c>
      <c r="R399" s="64" t="str">
        <f t="shared" si="151"/>
        <v/>
      </c>
      <c r="S399" s="72" t="str">
        <f t="shared" si="141"/>
        <v/>
      </c>
      <c r="V399" s="64" t="str">
        <f t="shared" si="152"/>
        <v/>
      </c>
      <c r="W399" s="72" t="str">
        <f t="shared" si="142"/>
        <v/>
      </c>
      <c r="Z399" s="64" t="str">
        <f t="shared" si="153"/>
        <v/>
      </c>
      <c r="AA399" s="72" t="str">
        <f t="shared" si="143"/>
        <v/>
      </c>
      <c r="AD399" s="64" t="str">
        <f t="shared" si="154"/>
        <v/>
      </c>
      <c r="AE399" s="72" t="str">
        <f t="shared" si="144"/>
        <v/>
      </c>
      <c r="AH399" s="64" t="str">
        <f t="shared" si="155"/>
        <v/>
      </c>
      <c r="AI399" s="72" t="str">
        <f t="shared" si="145"/>
        <v/>
      </c>
      <c r="AL399" s="64" t="str">
        <f t="shared" si="156"/>
        <v/>
      </c>
      <c r="AM399" s="72" t="str">
        <f t="shared" si="146"/>
        <v/>
      </c>
      <c r="AP399" s="64" t="str">
        <f t="shared" si="157"/>
        <v/>
      </c>
      <c r="AQ399" s="72" t="str">
        <f t="shared" si="147"/>
        <v/>
      </c>
    </row>
    <row r="400" spans="1:43" x14ac:dyDescent="0.25">
      <c r="A400" s="49">
        <v>88.632697771098719</v>
      </c>
      <c r="B400" s="50">
        <v>-15.628335990023734</v>
      </c>
      <c r="C400" s="38">
        <f t="shared" si="137"/>
        <v>90</v>
      </c>
      <c r="F400" s="1" t="str">
        <f t="shared" si="148"/>
        <v/>
      </c>
      <c r="G400" s="1" t="str">
        <f t="shared" si="138"/>
        <v/>
      </c>
      <c r="J400" s="64" t="str">
        <f t="shared" si="149"/>
        <v/>
      </c>
      <c r="K400" s="72" t="str">
        <f t="shared" si="139"/>
        <v/>
      </c>
      <c r="N400" s="64" t="str">
        <f t="shared" si="150"/>
        <v/>
      </c>
      <c r="O400" s="72" t="str">
        <f t="shared" si="140"/>
        <v/>
      </c>
      <c r="R400" s="64" t="str">
        <f t="shared" si="151"/>
        <v/>
      </c>
      <c r="S400" s="72" t="str">
        <f t="shared" si="141"/>
        <v/>
      </c>
      <c r="V400" s="64" t="str">
        <f t="shared" si="152"/>
        <v/>
      </c>
      <c r="W400" s="72" t="str">
        <f t="shared" si="142"/>
        <v/>
      </c>
      <c r="Z400" s="64" t="str">
        <f t="shared" si="153"/>
        <v/>
      </c>
      <c r="AA400" s="72" t="str">
        <f t="shared" si="143"/>
        <v/>
      </c>
      <c r="AD400" s="64" t="str">
        <f t="shared" si="154"/>
        <v/>
      </c>
      <c r="AE400" s="72" t="str">
        <f t="shared" si="144"/>
        <v/>
      </c>
      <c r="AH400" s="64" t="str">
        <f t="shared" si="155"/>
        <v/>
      </c>
      <c r="AI400" s="72" t="str">
        <f t="shared" si="145"/>
        <v/>
      </c>
      <c r="AL400" s="64" t="str">
        <f t="shared" si="156"/>
        <v/>
      </c>
      <c r="AM400" s="72" t="str">
        <f t="shared" si="146"/>
        <v/>
      </c>
      <c r="AP400" s="64" t="str">
        <f t="shared" si="157"/>
        <v/>
      </c>
      <c r="AQ400" s="72" t="str">
        <f t="shared" si="147"/>
        <v/>
      </c>
    </row>
    <row r="401" spans="1:43" x14ac:dyDescent="0.25">
      <c r="A401" s="49">
        <v>97</v>
      </c>
      <c r="B401" s="50">
        <v>0</v>
      </c>
      <c r="C401" s="38">
        <f t="shared" si="137"/>
        <v>97</v>
      </c>
      <c r="F401" s="1" t="str">
        <f t="shared" si="148"/>
        <v/>
      </c>
      <c r="G401" s="1" t="str">
        <f t="shared" si="138"/>
        <v/>
      </c>
      <c r="J401" s="64" t="str">
        <f t="shared" si="149"/>
        <v/>
      </c>
      <c r="K401" s="72" t="str">
        <f t="shared" si="139"/>
        <v/>
      </c>
      <c r="N401" s="64" t="str">
        <f t="shared" si="150"/>
        <v/>
      </c>
      <c r="O401" s="72" t="str">
        <f t="shared" si="140"/>
        <v/>
      </c>
      <c r="R401" s="64" t="str">
        <f t="shared" si="151"/>
        <v/>
      </c>
      <c r="S401" s="72" t="str">
        <f t="shared" si="141"/>
        <v/>
      </c>
      <c r="V401" s="64" t="str">
        <f t="shared" si="152"/>
        <v/>
      </c>
      <c r="W401" s="72" t="str">
        <f t="shared" si="142"/>
        <v/>
      </c>
      <c r="Z401" s="64" t="str">
        <f t="shared" si="153"/>
        <v/>
      </c>
      <c r="AA401" s="72" t="str">
        <f t="shared" si="143"/>
        <v/>
      </c>
      <c r="AD401" s="64" t="str">
        <f t="shared" si="154"/>
        <v/>
      </c>
      <c r="AE401" s="72" t="str">
        <f t="shared" si="144"/>
        <v/>
      </c>
      <c r="AH401" s="64" t="str">
        <f t="shared" si="155"/>
        <v/>
      </c>
      <c r="AI401" s="72" t="str">
        <f t="shared" si="145"/>
        <v/>
      </c>
      <c r="AL401" s="64" t="str">
        <f t="shared" si="156"/>
        <v/>
      </c>
      <c r="AM401" s="72" t="str">
        <f t="shared" si="146"/>
        <v/>
      </c>
      <c r="AP401" s="64" t="str">
        <f t="shared" si="157"/>
        <v/>
      </c>
      <c r="AQ401" s="72" t="str">
        <f t="shared" si="147"/>
        <v/>
      </c>
    </row>
    <row r="402" spans="1:43" x14ac:dyDescent="0.25">
      <c r="A402" s="49">
        <v>95.526352042184172</v>
      </c>
      <c r="B402" s="50">
        <v>16.843873233692243</v>
      </c>
      <c r="C402" s="38">
        <f t="shared" si="137"/>
        <v>96.999999999999986</v>
      </c>
      <c r="F402" s="1" t="str">
        <f t="shared" si="148"/>
        <v/>
      </c>
      <c r="G402" s="1" t="str">
        <f t="shared" si="138"/>
        <v/>
      </c>
      <c r="J402" s="64" t="str">
        <f t="shared" si="149"/>
        <v/>
      </c>
      <c r="K402" s="72" t="str">
        <f t="shared" si="139"/>
        <v/>
      </c>
      <c r="N402" s="64" t="str">
        <f t="shared" si="150"/>
        <v/>
      </c>
      <c r="O402" s="72" t="str">
        <f t="shared" si="140"/>
        <v/>
      </c>
      <c r="R402" s="64" t="str">
        <f t="shared" si="151"/>
        <v/>
      </c>
      <c r="S402" s="72" t="str">
        <f t="shared" si="141"/>
        <v/>
      </c>
      <c r="V402" s="64" t="str">
        <f t="shared" si="152"/>
        <v/>
      </c>
      <c r="W402" s="72" t="str">
        <f t="shared" si="142"/>
        <v/>
      </c>
      <c r="Z402" s="64" t="str">
        <f t="shared" si="153"/>
        <v/>
      </c>
      <c r="AA402" s="72" t="str">
        <f t="shared" si="143"/>
        <v/>
      </c>
      <c r="AD402" s="64" t="str">
        <f t="shared" si="154"/>
        <v/>
      </c>
      <c r="AE402" s="72" t="str">
        <f t="shared" si="144"/>
        <v/>
      </c>
      <c r="AH402" s="64" t="str">
        <f t="shared" si="155"/>
        <v/>
      </c>
      <c r="AI402" s="72" t="str">
        <f t="shared" si="145"/>
        <v/>
      </c>
      <c r="AL402" s="64" t="str">
        <f t="shared" si="156"/>
        <v/>
      </c>
      <c r="AM402" s="72" t="str">
        <f t="shared" si="146"/>
        <v/>
      </c>
      <c r="AP402" s="64" t="str">
        <f t="shared" si="157"/>
        <v/>
      </c>
      <c r="AQ402" s="72" t="str">
        <f t="shared" si="147"/>
        <v/>
      </c>
    </row>
    <row r="403" spans="1:43" x14ac:dyDescent="0.25">
      <c r="A403" s="49">
        <v>91.150184216233114</v>
      </c>
      <c r="B403" s="50">
        <v>33.175953902589868</v>
      </c>
      <c r="C403" s="38">
        <f t="shared" si="137"/>
        <v>97</v>
      </c>
      <c r="F403" s="1" t="str">
        <f t="shared" si="148"/>
        <v/>
      </c>
      <c r="G403" s="1" t="str">
        <f t="shared" si="138"/>
        <v/>
      </c>
      <c r="J403" s="64" t="str">
        <f t="shared" si="149"/>
        <v/>
      </c>
      <c r="K403" s="72" t="str">
        <f t="shared" si="139"/>
        <v/>
      </c>
      <c r="N403" s="64" t="str">
        <f t="shared" si="150"/>
        <v/>
      </c>
      <c r="O403" s="72" t="str">
        <f t="shared" si="140"/>
        <v/>
      </c>
      <c r="R403" s="64" t="str">
        <f t="shared" si="151"/>
        <v/>
      </c>
      <c r="S403" s="72" t="str">
        <f t="shared" si="141"/>
        <v/>
      </c>
      <c r="V403" s="64" t="str">
        <f t="shared" si="152"/>
        <v/>
      </c>
      <c r="W403" s="72" t="str">
        <f t="shared" si="142"/>
        <v/>
      </c>
      <c r="Z403" s="64" t="str">
        <f t="shared" si="153"/>
        <v/>
      </c>
      <c r="AA403" s="72" t="str">
        <f t="shared" si="143"/>
        <v/>
      </c>
      <c r="AD403" s="64" t="str">
        <f t="shared" si="154"/>
        <v/>
      </c>
      <c r="AE403" s="72" t="str">
        <f t="shared" si="144"/>
        <v/>
      </c>
      <c r="AH403" s="64" t="str">
        <f t="shared" si="155"/>
        <v/>
      </c>
      <c r="AI403" s="72" t="str">
        <f t="shared" si="145"/>
        <v/>
      </c>
      <c r="AL403" s="64" t="str">
        <f t="shared" si="156"/>
        <v/>
      </c>
      <c r="AM403" s="72" t="str">
        <f t="shared" si="146"/>
        <v/>
      </c>
      <c r="AP403" s="64" t="str">
        <f t="shared" si="157"/>
        <v/>
      </c>
      <c r="AQ403" s="72" t="str">
        <f t="shared" si="147"/>
        <v/>
      </c>
    </row>
    <row r="404" spans="1:43" x14ac:dyDescent="0.25">
      <c r="A404" s="49">
        <v>84.004464167090561</v>
      </c>
      <c r="B404" s="50">
        <v>48.499999999999993</v>
      </c>
      <c r="C404" s="38">
        <f t="shared" si="137"/>
        <v>97</v>
      </c>
      <c r="F404" s="1" t="str">
        <f t="shared" si="148"/>
        <v/>
      </c>
      <c r="G404" s="1" t="str">
        <f t="shared" si="138"/>
        <v/>
      </c>
      <c r="J404" s="64" t="str">
        <f t="shared" si="149"/>
        <v/>
      </c>
      <c r="K404" s="72" t="str">
        <f t="shared" si="139"/>
        <v/>
      </c>
      <c r="N404" s="64" t="str">
        <f t="shared" si="150"/>
        <v/>
      </c>
      <c r="O404" s="72" t="str">
        <f t="shared" si="140"/>
        <v/>
      </c>
      <c r="R404" s="64" t="str">
        <f t="shared" si="151"/>
        <v/>
      </c>
      <c r="S404" s="72" t="str">
        <f t="shared" si="141"/>
        <v/>
      </c>
      <c r="V404" s="64" t="str">
        <f t="shared" si="152"/>
        <v/>
      </c>
      <c r="W404" s="72" t="str">
        <f t="shared" si="142"/>
        <v/>
      </c>
      <c r="Z404" s="64" t="str">
        <f t="shared" si="153"/>
        <v/>
      </c>
      <c r="AA404" s="72" t="str">
        <f t="shared" si="143"/>
        <v/>
      </c>
      <c r="AD404" s="64" t="str">
        <f t="shared" si="154"/>
        <v/>
      </c>
      <c r="AE404" s="72" t="str">
        <f t="shared" si="144"/>
        <v/>
      </c>
      <c r="AH404" s="64" t="str">
        <f t="shared" si="155"/>
        <v/>
      </c>
      <c r="AI404" s="72" t="str">
        <f t="shared" si="145"/>
        <v/>
      </c>
      <c r="AL404" s="64" t="str">
        <f t="shared" si="156"/>
        <v/>
      </c>
      <c r="AM404" s="72" t="str">
        <f t="shared" si="146"/>
        <v/>
      </c>
      <c r="AP404" s="64" t="str">
        <f t="shared" si="157"/>
        <v/>
      </c>
      <c r="AQ404" s="72" t="str">
        <f t="shared" si="147"/>
        <v/>
      </c>
    </row>
    <row r="405" spans="1:43" x14ac:dyDescent="0.25">
      <c r="A405" s="49">
        <v>74.306310982540865</v>
      </c>
      <c r="B405" s="50">
        <v>62.350398139594304</v>
      </c>
      <c r="C405" s="38">
        <f t="shared" si="137"/>
        <v>96.999999999999986</v>
      </c>
      <c r="F405" s="1" t="str">
        <f t="shared" si="148"/>
        <v/>
      </c>
      <c r="G405" s="1" t="str">
        <f t="shared" si="138"/>
        <v/>
      </c>
      <c r="J405" s="64" t="str">
        <f t="shared" si="149"/>
        <v/>
      </c>
      <c r="K405" s="72" t="str">
        <f t="shared" si="139"/>
        <v/>
      </c>
      <c r="N405" s="64" t="str">
        <f t="shared" si="150"/>
        <v/>
      </c>
      <c r="O405" s="72" t="str">
        <f t="shared" si="140"/>
        <v/>
      </c>
      <c r="R405" s="64" t="str">
        <f t="shared" si="151"/>
        <v/>
      </c>
      <c r="S405" s="72" t="str">
        <f t="shared" si="141"/>
        <v/>
      </c>
      <c r="V405" s="64" t="str">
        <f t="shared" si="152"/>
        <v/>
      </c>
      <c r="W405" s="72" t="str">
        <f t="shared" si="142"/>
        <v/>
      </c>
      <c r="Z405" s="64" t="str">
        <f t="shared" si="153"/>
        <v/>
      </c>
      <c r="AA405" s="72" t="str">
        <f t="shared" si="143"/>
        <v/>
      </c>
      <c r="AD405" s="64" t="str">
        <f t="shared" si="154"/>
        <v/>
      </c>
      <c r="AE405" s="72" t="str">
        <f t="shared" si="144"/>
        <v/>
      </c>
      <c r="AH405" s="64" t="str">
        <f t="shared" si="155"/>
        <v/>
      </c>
      <c r="AI405" s="72" t="str">
        <f t="shared" si="145"/>
        <v/>
      </c>
      <c r="AL405" s="64" t="str">
        <f t="shared" si="156"/>
        <v/>
      </c>
      <c r="AM405" s="72" t="str">
        <f t="shared" si="146"/>
        <v/>
      </c>
      <c r="AP405" s="64" t="str">
        <f t="shared" si="157"/>
        <v/>
      </c>
      <c r="AQ405" s="72" t="str">
        <f t="shared" si="147"/>
        <v/>
      </c>
    </row>
    <row r="406" spans="1:43" x14ac:dyDescent="0.25">
      <c r="A406" s="49">
        <v>62.350398139594319</v>
      </c>
      <c r="B406" s="50">
        <v>74.306310982540865</v>
      </c>
      <c r="C406" s="38">
        <f t="shared" si="137"/>
        <v>97</v>
      </c>
      <c r="F406" s="1" t="str">
        <f t="shared" si="148"/>
        <v/>
      </c>
      <c r="G406" s="1" t="str">
        <f t="shared" si="138"/>
        <v/>
      </c>
      <c r="J406" s="64" t="str">
        <f t="shared" si="149"/>
        <v/>
      </c>
      <c r="K406" s="72" t="str">
        <f t="shared" si="139"/>
        <v/>
      </c>
      <c r="N406" s="64" t="str">
        <f t="shared" si="150"/>
        <v/>
      </c>
      <c r="O406" s="72" t="str">
        <f t="shared" si="140"/>
        <v/>
      </c>
      <c r="R406" s="64" t="str">
        <f t="shared" si="151"/>
        <v/>
      </c>
      <c r="S406" s="72" t="str">
        <f t="shared" si="141"/>
        <v/>
      </c>
      <c r="V406" s="64" t="str">
        <f t="shared" si="152"/>
        <v/>
      </c>
      <c r="W406" s="72" t="str">
        <f t="shared" si="142"/>
        <v/>
      </c>
      <c r="Z406" s="64" t="str">
        <f t="shared" si="153"/>
        <v/>
      </c>
      <c r="AA406" s="72" t="str">
        <f t="shared" si="143"/>
        <v/>
      </c>
      <c r="AD406" s="64" t="str">
        <f t="shared" si="154"/>
        <v/>
      </c>
      <c r="AE406" s="72" t="str">
        <f t="shared" si="144"/>
        <v/>
      </c>
      <c r="AH406" s="64" t="str">
        <f t="shared" si="155"/>
        <v/>
      </c>
      <c r="AI406" s="72" t="str">
        <f t="shared" si="145"/>
        <v/>
      </c>
      <c r="AL406" s="64" t="str">
        <f t="shared" si="156"/>
        <v/>
      </c>
      <c r="AM406" s="72" t="str">
        <f t="shared" si="146"/>
        <v/>
      </c>
      <c r="AP406" s="64" t="str">
        <f t="shared" si="157"/>
        <v/>
      </c>
      <c r="AQ406" s="72" t="str">
        <f t="shared" si="147"/>
        <v/>
      </c>
    </row>
    <row r="407" spans="1:43" x14ac:dyDescent="0.25">
      <c r="A407" s="49">
        <v>48.500000000000014</v>
      </c>
      <c r="B407" s="50">
        <v>84.004464167090546</v>
      </c>
      <c r="C407" s="38">
        <f t="shared" si="137"/>
        <v>97.000000000000014</v>
      </c>
      <c r="F407" s="1" t="str">
        <f t="shared" si="148"/>
        <v/>
      </c>
      <c r="G407" s="1" t="str">
        <f t="shared" si="138"/>
        <v/>
      </c>
      <c r="J407" s="64" t="str">
        <f t="shared" si="149"/>
        <v/>
      </c>
      <c r="K407" s="72" t="str">
        <f t="shared" si="139"/>
        <v/>
      </c>
      <c r="N407" s="64" t="str">
        <f t="shared" si="150"/>
        <v/>
      </c>
      <c r="O407" s="72" t="str">
        <f t="shared" si="140"/>
        <v/>
      </c>
      <c r="R407" s="64" t="str">
        <f t="shared" si="151"/>
        <v/>
      </c>
      <c r="S407" s="72" t="str">
        <f t="shared" si="141"/>
        <v/>
      </c>
      <c r="V407" s="64" t="str">
        <f t="shared" si="152"/>
        <v/>
      </c>
      <c r="W407" s="72" t="str">
        <f t="shared" si="142"/>
        <v/>
      </c>
      <c r="Z407" s="64" t="str">
        <f t="shared" si="153"/>
        <v/>
      </c>
      <c r="AA407" s="72" t="str">
        <f t="shared" si="143"/>
        <v/>
      </c>
      <c r="AD407" s="64" t="str">
        <f t="shared" si="154"/>
        <v/>
      </c>
      <c r="AE407" s="72" t="str">
        <f t="shared" si="144"/>
        <v/>
      </c>
      <c r="AH407" s="64" t="str">
        <f t="shared" si="155"/>
        <v/>
      </c>
      <c r="AI407" s="72" t="str">
        <f t="shared" si="145"/>
        <v/>
      </c>
      <c r="AL407" s="64" t="str">
        <f t="shared" si="156"/>
        <v/>
      </c>
      <c r="AM407" s="72" t="str">
        <f t="shared" si="146"/>
        <v/>
      </c>
      <c r="AP407" s="64" t="str">
        <f t="shared" si="157"/>
        <v/>
      </c>
      <c r="AQ407" s="72" t="str">
        <f t="shared" si="147"/>
        <v/>
      </c>
    </row>
    <row r="408" spans="1:43" x14ac:dyDescent="0.25">
      <c r="A408" s="49">
        <v>33.175953902589875</v>
      </c>
      <c r="B408" s="50">
        <v>91.1501842162331</v>
      </c>
      <c r="C408" s="38">
        <f t="shared" si="137"/>
        <v>96.999999999999986</v>
      </c>
      <c r="F408" s="1" t="str">
        <f t="shared" si="148"/>
        <v/>
      </c>
      <c r="G408" s="1" t="str">
        <f t="shared" si="138"/>
        <v/>
      </c>
      <c r="J408" s="64" t="str">
        <f t="shared" si="149"/>
        <v/>
      </c>
      <c r="K408" s="72" t="str">
        <f t="shared" si="139"/>
        <v/>
      </c>
      <c r="N408" s="64" t="str">
        <f t="shared" si="150"/>
        <v/>
      </c>
      <c r="O408" s="72" t="str">
        <f t="shared" si="140"/>
        <v/>
      </c>
      <c r="R408" s="64" t="str">
        <f t="shared" si="151"/>
        <v/>
      </c>
      <c r="S408" s="72" t="str">
        <f t="shared" si="141"/>
        <v/>
      </c>
      <c r="V408" s="64" t="str">
        <f t="shared" si="152"/>
        <v/>
      </c>
      <c r="W408" s="72" t="str">
        <f t="shared" si="142"/>
        <v/>
      </c>
      <c r="Z408" s="64" t="str">
        <f t="shared" si="153"/>
        <v/>
      </c>
      <c r="AA408" s="72" t="str">
        <f t="shared" si="143"/>
        <v/>
      </c>
      <c r="AD408" s="64" t="str">
        <f t="shared" si="154"/>
        <v/>
      </c>
      <c r="AE408" s="72" t="str">
        <f t="shared" si="144"/>
        <v/>
      </c>
      <c r="AH408" s="64" t="str">
        <f t="shared" si="155"/>
        <v/>
      </c>
      <c r="AI408" s="72" t="str">
        <f t="shared" si="145"/>
        <v/>
      </c>
      <c r="AL408" s="64" t="str">
        <f t="shared" si="156"/>
        <v/>
      </c>
      <c r="AM408" s="72" t="str">
        <f t="shared" si="146"/>
        <v/>
      </c>
      <c r="AP408" s="64" t="str">
        <f t="shared" si="157"/>
        <v/>
      </c>
      <c r="AQ408" s="72" t="str">
        <f t="shared" si="147"/>
        <v/>
      </c>
    </row>
    <row r="409" spans="1:43" x14ac:dyDescent="0.25">
      <c r="A409" s="49">
        <v>16.84387323369225</v>
      </c>
      <c r="B409" s="50">
        <v>95.526352042184172</v>
      </c>
      <c r="C409" s="38">
        <f t="shared" si="137"/>
        <v>96.999999999999986</v>
      </c>
      <c r="F409" s="1" t="str">
        <f t="shared" si="148"/>
        <v/>
      </c>
      <c r="G409" s="1" t="str">
        <f t="shared" si="138"/>
        <v/>
      </c>
      <c r="J409" s="64" t="str">
        <f t="shared" si="149"/>
        <v/>
      </c>
      <c r="K409" s="72" t="str">
        <f t="shared" si="139"/>
        <v/>
      </c>
      <c r="N409" s="64" t="str">
        <f t="shared" si="150"/>
        <v/>
      </c>
      <c r="O409" s="72" t="str">
        <f t="shared" si="140"/>
        <v/>
      </c>
      <c r="R409" s="64" t="str">
        <f t="shared" si="151"/>
        <v/>
      </c>
      <c r="S409" s="72" t="str">
        <f t="shared" si="141"/>
        <v/>
      </c>
      <c r="V409" s="64" t="str">
        <f t="shared" si="152"/>
        <v/>
      </c>
      <c r="W409" s="72" t="str">
        <f t="shared" si="142"/>
        <v/>
      </c>
      <c r="Z409" s="64" t="str">
        <f t="shared" si="153"/>
        <v/>
      </c>
      <c r="AA409" s="72" t="str">
        <f t="shared" si="143"/>
        <v/>
      </c>
      <c r="AD409" s="64" t="str">
        <f t="shared" si="154"/>
        <v/>
      </c>
      <c r="AE409" s="72" t="str">
        <f t="shared" si="144"/>
        <v/>
      </c>
      <c r="AH409" s="64" t="str">
        <f t="shared" si="155"/>
        <v/>
      </c>
      <c r="AI409" s="72" t="str">
        <f t="shared" si="145"/>
        <v/>
      </c>
      <c r="AL409" s="64" t="str">
        <f t="shared" si="156"/>
        <v/>
      </c>
      <c r="AM409" s="72" t="str">
        <f t="shared" si="146"/>
        <v/>
      </c>
      <c r="AP409" s="64" t="str">
        <f t="shared" si="157"/>
        <v/>
      </c>
      <c r="AQ409" s="72" t="str">
        <f t="shared" si="147"/>
        <v/>
      </c>
    </row>
    <row r="410" spans="1:43" x14ac:dyDescent="0.25">
      <c r="A410" s="49">
        <v>5.9419700063068071E-15</v>
      </c>
      <c r="B410" s="50">
        <v>97</v>
      </c>
      <c r="C410" s="38">
        <f t="shared" si="137"/>
        <v>97</v>
      </c>
      <c r="F410" s="1" t="str">
        <f t="shared" si="148"/>
        <v/>
      </c>
      <c r="G410" s="1" t="str">
        <f t="shared" si="138"/>
        <v/>
      </c>
      <c r="J410" s="64" t="str">
        <f t="shared" si="149"/>
        <v/>
      </c>
      <c r="K410" s="72" t="str">
        <f t="shared" si="139"/>
        <v/>
      </c>
      <c r="N410" s="64" t="str">
        <f t="shared" si="150"/>
        <v/>
      </c>
      <c r="O410" s="72" t="str">
        <f t="shared" si="140"/>
        <v/>
      </c>
      <c r="R410" s="64" t="str">
        <f t="shared" si="151"/>
        <v/>
      </c>
      <c r="S410" s="72" t="str">
        <f t="shared" si="141"/>
        <v/>
      </c>
      <c r="V410" s="64" t="str">
        <f t="shared" si="152"/>
        <v/>
      </c>
      <c r="W410" s="72" t="str">
        <f t="shared" si="142"/>
        <v/>
      </c>
      <c r="Z410" s="64" t="str">
        <f t="shared" si="153"/>
        <v/>
      </c>
      <c r="AA410" s="72" t="str">
        <f t="shared" si="143"/>
        <v/>
      </c>
      <c r="AD410" s="64" t="str">
        <f t="shared" si="154"/>
        <v/>
      </c>
      <c r="AE410" s="72" t="str">
        <f t="shared" si="144"/>
        <v/>
      </c>
      <c r="AH410" s="64" t="str">
        <f t="shared" si="155"/>
        <v/>
      </c>
      <c r="AI410" s="72" t="str">
        <f t="shared" si="145"/>
        <v/>
      </c>
      <c r="AL410" s="64" t="str">
        <f t="shared" si="156"/>
        <v/>
      </c>
      <c r="AM410" s="72" t="str">
        <f t="shared" si="146"/>
        <v/>
      </c>
      <c r="AP410" s="64" t="str">
        <f t="shared" si="157"/>
        <v/>
      </c>
      <c r="AQ410" s="72" t="str">
        <f t="shared" si="147"/>
        <v/>
      </c>
    </row>
    <row r="411" spans="1:43" x14ac:dyDescent="0.25">
      <c r="A411" s="49">
        <v>-16.843873233692239</v>
      </c>
      <c r="B411" s="50">
        <v>95.526352042184172</v>
      </c>
      <c r="C411" s="38">
        <f t="shared" si="137"/>
        <v>96.999999999999986</v>
      </c>
      <c r="F411" s="1" t="str">
        <f t="shared" si="148"/>
        <v/>
      </c>
      <c r="G411" s="1" t="str">
        <f t="shared" si="138"/>
        <v/>
      </c>
      <c r="J411" s="64" t="str">
        <f t="shared" si="149"/>
        <v/>
      </c>
      <c r="K411" s="72" t="str">
        <f t="shared" si="139"/>
        <v/>
      </c>
      <c r="N411" s="64" t="str">
        <f t="shared" si="150"/>
        <v/>
      </c>
      <c r="O411" s="72" t="str">
        <f t="shared" si="140"/>
        <v/>
      </c>
      <c r="R411" s="64" t="str">
        <f t="shared" si="151"/>
        <v/>
      </c>
      <c r="S411" s="72" t="str">
        <f t="shared" si="141"/>
        <v/>
      </c>
      <c r="V411" s="64" t="str">
        <f t="shared" si="152"/>
        <v/>
      </c>
      <c r="W411" s="72" t="str">
        <f t="shared" si="142"/>
        <v/>
      </c>
      <c r="Z411" s="64" t="str">
        <f t="shared" si="153"/>
        <v/>
      </c>
      <c r="AA411" s="72" t="str">
        <f t="shared" si="143"/>
        <v/>
      </c>
      <c r="AD411" s="64" t="str">
        <f t="shared" si="154"/>
        <v/>
      </c>
      <c r="AE411" s="72" t="str">
        <f t="shared" si="144"/>
        <v/>
      </c>
      <c r="AH411" s="64" t="str">
        <f t="shared" si="155"/>
        <v/>
      </c>
      <c r="AI411" s="72" t="str">
        <f t="shared" si="145"/>
        <v/>
      </c>
      <c r="AL411" s="64" t="str">
        <f t="shared" si="156"/>
        <v/>
      </c>
      <c r="AM411" s="72" t="str">
        <f t="shared" si="146"/>
        <v/>
      </c>
      <c r="AP411" s="64" t="str">
        <f t="shared" si="157"/>
        <v/>
      </c>
      <c r="AQ411" s="72" t="str">
        <f t="shared" si="147"/>
        <v/>
      </c>
    </row>
    <row r="412" spans="1:43" x14ac:dyDescent="0.25">
      <c r="A412" s="49">
        <v>-33.175953902589868</v>
      </c>
      <c r="B412" s="50">
        <v>91.150184216233114</v>
      </c>
      <c r="C412" s="38">
        <f t="shared" si="137"/>
        <v>97</v>
      </c>
      <c r="F412" s="1" t="str">
        <f t="shared" si="148"/>
        <v/>
      </c>
      <c r="G412" s="1" t="str">
        <f t="shared" si="138"/>
        <v/>
      </c>
      <c r="J412" s="64" t="str">
        <f t="shared" si="149"/>
        <v/>
      </c>
      <c r="K412" s="72" t="str">
        <f t="shared" si="139"/>
        <v/>
      </c>
      <c r="N412" s="64" t="str">
        <f t="shared" si="150"/>
        <v/>
      </c>
      <c r="O412" s="72" t="str">
        <f t="shared" si="140"/>
        <v/>
      </c>
      <c r="R412" s="64" t="str">
        <f t="shared" si="151"/>
        <v/>
      </c>
      <c r="S412" s="72" t="str">
        <f t="shared" si="141"/>
        <v/>
      </c>
      <c r="V412" s="64" t="str">
        <f t="shared" si="152"/>
        <v/>
      </c>
      <c r="W412" s="72" t="str">
        <f t="shared" si="142"/>
        <v/>
      </c>
      <c r="Z412" s="64" t="str">
        <f t="shared" si="153"/>
        <v/>
      </c>
      <c r="AA412" s="72" t="str">
        <f t="shared" si="143"/>
        <v/>
      </c>
      <c r="AD412" s="64" t="str">
        <f t="shared" si="154"/>
        <v/>
      </c>
      <c r="AE412" s="72" t="str">
        <f t="shared" si="144"/>
        <v/>
      </c>
      <c r="AH412" s="64" t="str">
        <f t="shared" si="155"/>
        <v/>
      </c>
      <c r="AI412" s="72" t="str">
        <f t="shared" si="145"/>
        <v/>
      </c>
      <c r="AL412" s="64" t="str">
        <f t="shared" si="156"/>
        <v/>
      </c>
      <c r="AM412" s="72" t="str">
        <f t="shared" si="146"/>
        <v/>
      </c>
      <c r="AP412" s="64" t="str">
        <f t="shared" si="157"/>
        <v/>
      </c>
      <c r="AQ412" s="72" t="str">
        <f t="shared" si="147"/>
        <v/>
      </c>
    </row>
    <row r="413" spans="1:43" x14ac:dyDescent="0.25">
      <c r="A413" s="49">
        <v>-48.499999999999979</v>
      </c>
      <c r="B413" s="50">
        <v>84.004464167090561</v>
      </c>
      <c r="C413" s="38">
        <f t="shared" si="137"/>
        <v>97</v>
      </c>
      <c r="F413" s="1" t="str">
        <f t="shared" si="148"/>
        <v/>
      </c>
      <c r="G413" s="1" t="str">
        <f t="shared" si="138"/>
        <v/>
      </c>
      <c r="J413" s="64" t="str">
        <f t="shared" si="149"/>
        <v/>
      </c>
      <c r="K413" s="72" t="str">
        <f t="shared" si="139"/>
        <v/>
      </c>
      <c r="N413" s="64" t="str">
        <f t="shared" si="150"/>
        <v/>
      </c>
      <c r="O413" s="72" t="str">
        <f t="shared" si="140"/>
        <v/>
      </c>
      <c r="R413" s="64" t="str">
        <f t="shared" si="151"/>
        <v/>
      </c>
      <c r="S413" s="72" t="str">
        <f t="shared" si="141"/>
        <v/>
      </c>
      <c r="V413" s="64" t="str">
        <f t="shared" si="152"/>
        <v/>
      </c>
      <c r="W413" s="72" t="str">
        <f t="shared" si="142"/>
        <v/>
      </c>
      <c r="Z413" s="64" t="str">
        <f t="shared" si="153"/>
        <v/>
      </c>
      <c r="AA413" s="72" t="str">
        <f t="shared" si="143"/>
        <v/>
      </c>
      <c r="AD413" s="64" t="str">
        <f t="shared" si="154"/>
        <v/>
      </c>
      <c r="AE413" s="72" t="str">
        <f t="shared" si="144"/>
        <v/>
      </c>
      <c r="AH413" s="64" t="str">
        <f t="shared" si="155"/>
        <v/>
      </c>
      <c r="AI413" s="72" t="str">
        <f t="shared" si="145"/>
        <v/>
      </c>
      <c r="AL413" s="64" t="str">
        <f t="shared" si="156"/>
        <v/>
      </c>
      <c r="AM413" s="72" t="str">
        <f t="shared" si="146"/>
        <v/>
      </c>
      <c r="AP413" s="64" t="str">
        <f t="shared" si="157"/>
        <v/>
      </c>
      <c r="AQ413" s="72" t="str">
        <f t="shared" si="147"/>
        <v/>
      </c>
    </row>
    <row r="414" spans="1:43" x14ac:dyDescent="0.25">
      <c r="A414" s="49">
        <v>-62.350398139594319</v>
      </c>
      <c r="B414" s="50">
        <v>74.306310982540865</v>
      </c>
      <c r="C414" s="38">
        <f t="shared" si="137"/>
        <v>97</v>
      </c>
      <c r="F414" s="1" t="str">
        <f t="shared" si="148"/>
        <v/>
      </c>
      <c r="G414" s="1" t="str">
        <f t="shared" si="138"/>
        <v/>
      </c>
      <c r="J414" s="64" t="str">
        <f t="shared" si="149"/>
        <v/>
      </c>
      <c r="K414" s="72" t="str">
        <f t="shared" si="139"/>
        <v/>
      </c>
      <c r="N414" s="64" t="str">
        <f t="shared" si="150"/>
        <v/>
      </c>
      <c r="O414" s="72" t="str">
        <f t="shared" si="140"/>
        <v/>
      </c>
      <c r="R414" s="64" t="str">
        <f t="shared" si="151"/>
        <v/>
      </c>
      <c r="S414" s="72" t="str">
        <f t="shared" si="141"/>
        <v/>
      </c>
      <c r="V414" s="64" t="str">
        <f t="shared" si="152"/>
        <v/>
      </c>
      <c r="W414" s="72" t="str">
        <f t="shared" si="142"/>
        <v/>
      </c>
      <c r="Z414" s="64" t="str">
        <f t="shared" si="153"/>
        <v/>
      </c>
      <c r="AA414" s="72" t="str">
        <f t="shared" si="143"/>
        <v/>
      </c>
      <c r="AD414" s="64" t="str">
        <f t="shared" si="154"/>
        <v/>
      </c>
      <c r="AE414" s="72" t="str">
        <f t="shared" si="144"/>
        <v/>
      </c>
      <c r="AH414" s="64" t="str">
        <f t="shared" si="155"/>
        <v/>
      </c>
      <c r="AI414" s="72" t="str">
        <f t="shared" si="145"/>
        <v/>
      </c>
      <c r="AL414" s="64" t="str">
        <f t="shared" si="156"/>
        <v/>
      </c>
      <c r="AM414" s="72" t="str">
        <f t="shared" si="146"/>
        <v/>
      </c>
      <c r="AP414" s="64" t="str">
        <f t="shared" si="157"/>
        <v/>
      </c>
      <c r="AQ414" s="72" t="str">
        <f t="shared" si="147"/>
        <v/>
      </c>
    </row>
    <row r="415" spans="1:43" x14ac:dyDescent="0.25">
      <c r="A415" s="49">
        <v>-74.30631098254085</v>
      </c>
      <c r="B415" s="50">
        <v>62.350398139594326</v>
      </c>
      <c r="C415" s="38">
        <f t="shared" si="137"/>
        <v>96.999999999999986</v>
      </c>
      <c r="F415" s="1" t="str">
        <f t="shared" si="148"/>
        <v/>
      </c>
      <c r="G415" s="1" t="str">
        <f t="shared" si="138"/>
        <v/>
      </c>
      <c r="J415" s="64" t="str">
        <f t="shared" si="149"/>
        <v/>
      </c>
      <c r="K415" s="72" t="str">
        <f t="shared" si="139"/>
        <v/>
      </c>
      <c r="N415" s="64" t="str">
        <f t="shared" si="150"/>
        <v/>
      </c>
      <c r="O415" s="72" t="str">
        <f t="shared" si="140"/>
        <v/>
      </c>
      <c r="R415" s="64" t="str">
        <f t="shared" si="151"/>
        <v/>
      </c>
      <c r="S415" s="72" t="str">
        <f t="shared" si="141"/>
        <v/>
      </c>
      <c r="V415" s="64" t="str">
        <f t="shared" si="152"/>
        <v/>
      </c>
      <c r="W415" s="72" t="str">
        <f t="shared" si="142"/>
        <v/>
      </c>
      <c r="Z415" s="64" t="str">
        <f t="shared" si="153"/>
        <v/>
      </c>
      <c r="AA415" s="72" t="str">
        <f t="shared" si="143"/>
        <v/>
      </c>
      <c r="AD415" s="64" t="str">
        <f t="shared" si="154"/>
        <v/>
      </c>
      <c r="AE415" s="72" t="str">
        <f t="shared" si="144"/>
        <v/>
      </c>
      <c r="AH415" s="64" t="str">
        <f t="shared" si="155"/>
        <v/>
      </c>
      <c r="AI415" s="72" t="str">
        <f t="shared" si="145"/>
        <v/>
      </c>
      <c r="AL415" s="64" t="str">
        <f t="shared" si="156"/>
        <v/>
      </c>
      <c r="AM415" s="72" t="str">
        <f t="shared" si="146"/>
        <v/>
      </c>
      <c r="AP415" s="64" t="str">
        <f t="shared" si="157"/>
        <v/>
      </c>
      <c r="AQ415" s="72" t="str">
        <f t="shared" si="147"/>
        <v/>
      </c>
    </row>
    <row r="416" spans="1:43" x14ac:dyDescent="0.25">
      <c r="A416" s="49">
        <v>-84.004464167090561</v>
      </c>
      <c r="B416" s="50">
        <v>48.499999999999993</v>
      </c>
      <c r="C416" s="38">
        <f t="shared" si="137"/>
        <v>97</v>
      </c>
      <c r="F416" s="1" t="str">
        <f t="shared" si="148"/>
        <v/>
      </c>
      <c r="G416" s="1" t="str">
        <f t="shared" si="138"/>
        <v/>
      </c>
      <c r="J416" s="64" t="str">
        <f t="shared" si="149"/>
        <v/>
      </c>
      <c r="K416" s="72" t="str">
        <f t="shared" si="139"/>
        <v/>
      </c>
      <c r="N416" s="64" t="str">
        <f t="shared" si="150"/>
        <v/>
      </c>
      <c r="O416" s="72" t="str">
        <f t="shared" si="140"/>
        <v/>
      </c>
      <c r="R416" s="64" t="str">
        <f t="shared" si="151"/>
        <v/>
      </c>
      <c r="S416" s="72" t="str">
        <f t="shared" si="141"/>
        <v/>
      </c>
      <c r="V416" s="64" t="str">
        <f t="shared" si="152"/>
        <v/>
      </c>
      <c r="W416" s="72" t="str">
        <f t="shared" si="142"/>
        <v/>
      </c>
      <c r="Z416" s="64" t="str">
        <f t="shared" si="153"/>
        <v/>
      </c>
      <c r="AA416" s="72" t="str">
        <f t="shared" si="143"/>
        <v/>
      </c>
      <c r="AD416" s="64" t="str">
        <f t="shared" si="154"/>
        <v/>
      </c>
      <c r="AE416" s="72" t="str">
        <f t="shared" si="144"/>
        <v/>
      </c>
      <c r="AH416" s="64" t="str">
        <f t="shared" si="155"/>
        <v/>
      </c>
      <c r="AI416" s="72" t="str">
        <f t="shared" si="145"/>
        <v/>
      </c>
      <c r="AL416" s="64" t="str">
        <f t="shared" si="156"/>
        <v/>
      </c>
      <c r="AM416" s="72" t="str">
        <f t="shared" si="146"/>
        <v/>
      </c>
      <c r="AP416" s="64" t="str">
        <f t="shared" si="157"/>
        <v/>
      </c>
      <c r="AQ416" s="72" t="str">
        <f t="shared" si="147"/>
        <v/>
      </c>
    </row>
    <row r="417" spans="1:43" x14ac:dyDescent="0.25">
      <c r="A417" s="49">
        <v>-91.1501842162331</v>
      </c>
      <c r="B417" s="50">
        <v>33.175953902589882</v>
      </c>
      <c r="C417" s="38">
        <f t="shared" si="137"/>
        <v>97</v>
      </c>
      <c r="F417" s="1" t="str">
        <f t="shared" si="148"/>
        <v/>
      </c>
      <c r="G417" s="1" t="str">
        <f t="shared" si="138"/>
        <v/>
      </c>
      <c r="J417" s="64" t="str">
        <f t="shared" si="149"/>
        <v/>
      </c>
      <c r="K417" s="72" t="str">
        <f t="shared" si="139"/>
        <v/>
      </c>
      <c r="N417" s="64" t="str">
        <f t="shared" si="150"/>
        <v/>
      </c>
      <c r="O417" s="72" t="str">
        <f t="shared" si="140"/>
        <v/>
      </c>
      <c r="R417" s="64" t="str">
        <f t="shared" si="151"/>
        <v/>
      </c>
      <c r="S417" s="72" t="str">
        <f t="shared" si="141"/>
        <v/>
      </c>
      <c r="V417" s="64" t="str">
        <f t="shared" si="152"/>
        <v/>
      </c>
      <c r="W417" s="72" t="str">
        <f t="shared" si="142"/>
        <v/>
      </c>
      <c r="Z417" s="64" t="str">
        <f t="shared" si="153"/>
        <v/>
      </c>
      <c r="AA417" s="72" t="str">
        <f t="shared" si="143"/>
        <v/>
      </c>
      <c r="AD417" s="64" t="str">
        <f t="shared" si="154"/>
        <v/>
      </c>
      <c r="AE417" s="72" t="str">
        <f t="shared" si="144"/>
        <v/>
      </c>
      <c r="AH417" s="64" t="str">
        <f t="shared" si="155"/>
        <v/>
      </c>
      <c r="AI417" s="72" t="str">
        <f t="shared" si="145"/>
        <v/>
      </c>
      <c r="AL417" s="64" t="str">
        <f t="shared" si="156"/>
        <v/>
      </c>
      <c r="AM417" s="72" t="str">
        <f t="shared" si="146"/>
        <v/>
      </c>
      <c r="AP417" s="64" t="str">
        <f t="shared" si="157"/>
        <v/>
      </c>
      <c r="AQ417" s="72" t="str">
        <f t="shared" si="147"/>
        <v/>
      </c>
    </row>
    <row r="418" spans="1:43" x14ac:dyDescent="0.25">
      <c r="A418" s="49">
        <v>-95.526352042184172</v>
      </c>
      <c r="B418" s="50">
        <v>16.843873233692236</v>
      </c>
      <c r="C418" s="38">
        <f t="shared" si="137"/>
        <v>96.999999999999986</v>
      </c>
      <c r="F418" s="1" t="str">
        <f t="shared" si="148"/>
        <v/>
      </c>
      <c r="G418" s="1" t="str">
        <f t="shared" si="138"/>
        <v/>
      </c>
      <c r="J418" s="64" t="str">
        <f t="shared" si="149"/>
        <v/>
      </c>
      <c r="K418" s="72" t="str">
        <f t="shared" si="139"/>
        <v/>
      </c>
      <c r="N418" s="64" t="str">
        <f t="shared" si="150"/>
        <v/>
      </c>
      <c r="O418" s="72" t="str">
        <f t="shared" si="140"/>
        <v/>
      </c>
      <c r="R418" s="64" t="str">
        <f t="shared" si="151"/>
        <v/>
      </c>
      <c r="S418" s="72" t="str">
        <f t="shared" si="141"/>
        <v/>
      </c>
      <c r="V418" s="64" t="str">
        <f t="shared" si="152"/>
        <v/>
      </c>
      <c r="W418" s="72" t="str">
        <f t="shared" si="142"/>
        <v/>
      </c>
      <c r="Z418" s="64" t="str">
        <f t="shared" si="153"/>
        <v/>
      </c>
      <c r="AA418" s="72" t="str">
        <f t="shared" si="143"/>
        <v/>
      </c>
      <c r="AD418" s="64" t="str">
        <f t="shared" si="154"/>
        <v/>
      </c>
      <c r="AE418" s="72" t="str">
        <f t="shared" si="144"/>
        <v/>
      </c>
      <c r="AH418" s="64" t="str">
        <f t="shared" si="155"/>
        <v/>
      </c>
      <c r="AI418" s="72" t="str">
        <f t="shared" si="145"/>
        <v/>
      </c>
      <c r="AL418" s="64" t="str">
        <f t="shared" si="156"/>
        <v/>
      </c>
      <c r="AM418" s="72" t="str">
        <f t="shared" si="146"/>
        <v/>
      </c>
      <c r="AP418" s="64" t="str">
        <f t="shared" si="157"/>
        <v/>
      </c>
      <c r="AQ418" s="72" t="str">
        <f t="shared" si="147"/>
        <v/>
      </c>
    </row>
    <row r="419" spans="1:43" x14ac:dyDescent="0.25">
      <c r="A419" s="49">
        <v>-97</v>
      </c>
      <c r="B419" s="50">
        <v>1.1883940012613614E-14</v>
      </c>
      <c r="C419" s="38">
        <f t="shared" si="137"/>
        <v>97</v>
      </c>
      <c r="F419" s="1" t="str">
        <f t="shared" si="148"/>
        <v/>
      </c>
      <c r="G419" s="1" t="str">
        <f t="shared" si="138"/>
        <v/>
      </c>
      <c r="J419" s="64" t="str">
        <f t="shared" si="149"/>
        <v/>
      </c>
      <c r="K419" s="72" t="str">
        <f t="shared" si="139"/>
        <v/>
      </c>
      <c r="N419" s="64" t="str">
        <f t="shared" si="150"/>
        <v/>
      </c>
      <c r="O419" s="72" t="str">
        <f t="shared" si="140"/>
        <v/>
      </c>
      <c r="R419" s="64" t="str">
        <f t="shared" si="151"/>
        <v/>
      </c>
      <c r="S419" s="72" t="str">
        <f t="shared" si="141"/>
        <v/>
      </c>
      <c r="V419" s="64" t="str">
        <f t="shared" si="152"/>
        <v/>
      </c>
      <c r="W419" s="72" t="str">
        <f t="shared" si="142"/>
        <v/>
      </c>
      <c r="Z419" s="64" t="str">
        <f t="shared" si="153"/>
        <v/>
      </c>
      <c r="AA419" s="72" t="str">
        <f t="shared" si="143"/>
        <v/>
      </c>
      <c r="AD419" s="64" t="str">
        <f t="shared" si="154"/>
        <v/>
      </c>
      <c r="AE419" s="72" t="str">
        <f t="shared" si="144"/>
        <v/>
      </c>
      <c r="AH419" s="64" t="str">
        <f t="shared" si="155"/>
        <v/>
      </c>
      <c r="AI419" s="72" t="str">
        <f t="shared" si="145"/>
        <v/>
      </c>
      <c r="AL419" s="64" t="str">
        <f t="shared" si="156"/>
        <v/>
      </c>
      <c r="AM419" s="72" t="str">
        <f t="shared" si="146"/>
        <v/>
      </c>
      <c r="AP419" s="64" t="str">
        <f t="shared" si="157"/>
        <v/>
      </c>
      <c r="AQ419" s="72" t="str">
        <f t="shared" si="147"/>
        <v/>
      </c>
    </row>
    <row r="420" spans="1:43" x14ac:dyDescent="0.25">
      <c r="A420" s="49">
        <v>-95.526352042184172</v>
      </c>
      <c r="B420" s="50">
        <v>-16.843873233692257</v>
      </c>
      <c r="C420" s="38">
        <f t="shared" si="137"/>
        <v>96.999999999999986</v>
      </c>
      <c r="F420" s="1" t="str">
        <f t="shared" si="148"/>
        <v/>
      </c>
      <c r="G420" s="1" t="str">
        <f t="shared" si="138"/>
        <v/>
      </c>
      <c r="J420" s="64" t="str">
        <f t="shared" si="149"/>
        <v/>
      </c>
      <c r="K420" s="72" t="str">
        <f t="shared" si="139"/>
        <v/>
      </c>
      <c r="N420" s="64" t="str">
        <f t="shared" si="150"/>
        <v/>
      </c>
      <c r="O420" s="72" t="str">
        <f t="shared" si="140"/>
        <v/>
      </c>
      <c r="R420" s="64" t="str">
        <f t="shared" si="151"/>
        <v/>
      </c>
      <c r="S420" s="72" t="str">
        <f t="shared" si="141"/>
        <v/>
      </c>
      <c r="V420" s="64" t="str">
        <f t="shared" si="152"/>
        <v/>
      </c>
      <c r="W420" s="72" t="str">
        <f t="shared" si="142"/>
        <v/>
      </c>
      <c r="Z420" s="64" t="str">
        <f t="shared" si="153"/>
        <v/>
      </c>
      <c r="AA420" s="72" t="str">
        <f t="shared" si="143"/>
        <v/>
      </c>
      <c r="AD420" s="64" t="str">
        <f t="shared" si="154"/>
        <v/>
      </c>
      <c r="AE420" s="72" t="str">
        <f t="shared" si="144"/>
        <v/>
      </c>
      <c r="AH420" s="64" t="str">
        <f t="shared" si="155"/>
        <v/>
      </c>
      <c r="AI420" s="72" t="str">
        <f t="shared" si="145"/>
        <v/>
      </c>
      <c r="AL420" s="64" t="str">
        <f t="shared" si="156"/>
        <v/>
      </c>
      <c r="AM420" s="72" t="str">
        <f t="shared" si="146"/>
        <v/>
      </c>
      <c r="AP420" s="64" t="str">
        <f t="shared" si="157"/>
        <v/>
      </c>
      <c r="AQ420" s="72" t="str">
        <f t="shared" si="147"/>
        <v/>
      </c>
    </row>
    <row r="421" spans="1:43" x14ac:dyDescent="0.25">
      <c r="A421" s="49">
        <v>-91.150184216233114</v>
      </c>
      <c r="B421" s="50">
        <v>-33.17595390258986</v>
      </c>
      <c r="C421" s="38">
        <f t="shared" si="137"/>
        <v>97</v>
      </c>
      <c r="F421" s="1" t="str">
        <f t="shared" si="148"/>
        <v/>
      </c>
      <c r="G421" s="1" t="str">
        <f t="shared" si="138"/>
        <v/>
      </c>
      <c r="J421" s="64" t="str">
        <f t="shared" si="149"/>
        <v/>
      </c>
      <c r="K421" s="72" t="str">
        <f t="shared" si="139"/>
        <v/>
      </c>
      <c r="N421" s="64" t="str">
        <f t="shared" si="150"/>
        <v/>
      </c>
      <c r="O421" s="72" t="str">
        <f t="shared" si="140"/>
        <v/>
      </c>
      <c r="R421" s="64" t="str">
        <f t="shared" si="151"/>
        <v/>
      </c>
      <c r="S421" s="72" t="str">
        <f t="shared" si="141"/>
        <v/>
      </c>
      <c r="V421" s="64" t="str">
        <f t="shared" si="152"/>
        <v/>
      </c>
      <c r="W421" s="72" t="str">
        <f t="shared" si="142"/>
        <v/>
      </c>
      <c r="Z421" s="64" t="str">
        <f t="shared" si="153"/>
        <v/>
      </c>
      <c r="AA421" s="72" t="str">
        <f t="shared" si="143"/>
        <v/>
      </c>
      <c r="AD421" s="64" t="str">
        <f t="shared" si="154"/>
        <v/>
      </c>
      <c r="AE421" s="72" t="str">
        <f t="shared" si="144"/>
        <v/>
      </c>
      <c r="AH421" s="64" t="str">
        <f t="shared" si="155"/>
        <v/>
      </c>
      <c r="AI421" s="72" t="str">
        <f t="shared" si="145"/>
        <v/>
      </c>
      <c r="AL421" s="64" t="str">
        <f t="shared" si="156"/>
        <v/>
      </c>
      <c r="AM421" s="72" t="str">
        <f t="shared" si="146"/>
        <v/>
      </c>
      <c r="AP421" s="64" t="str">
        <f t="shared" si="157"/>
        <v/>
      </c>
      <c r="AQ421" s="72" t="str">
        <f t="shared" si="147"/>
        <v/>
      </c>
    </row>
    <row r="422" spans="1:43" x14ac:dyDescent="0.25">
      <c r="A422" s="49">
        <v>-84.004464167090546</v>
      </c>
      <c r="B422" s="50">
        <v>-48.500000000000014</v>
      </c>
      <c r="C422" s="38">
        <f t="shared" si="137"/>
        <v>97.000000000000014</v>
      </c>
      <c r="F422" s="1" t="str">
        <f t="shared" si="148"/>
        <v/>
      </c>
      <c r="G422" s="1" t="str">
        <f t="shared" si="138"/>
        <v/>
      </c>
      <c r="J422" s="64" t="str">
        <f t="shared" si="149"/>
        <v/>
      </c>
      <c r="K422" s="72" t="str">
        <f t="shared" si="139"/>
        <v/>
      </c>
      <c r="N422" s="64" t="str">
        <f t="shared" si="150"/>
        <v/>
      </c>
      <c r="O422" s="72" t="str">
        <f t="shared" si="140"/>
        <v/>
      </c>
      <c r="R422" s="64" t="str">
        <f t="shared" si="151"/>
        <v/>
      </c>
      <c r="S422" s="72" t="str">
        <f t="shared" si="141"/>
        <v/>
      </c>
      <c r="V422" s="64" t="str">
        <f t="shared" si="152"/>
        <v/>
      </c>
      <c r="W422" s="72" t="str">
        <f t="shared" si="142"/>
        <v/>
      </c>
      <c r="Z422" s="64" t="str">
        <f t="shared" si="153"/>
        <v/>
      </c>
      <c r="AA422" s="72" t="str">
        <f t="shared" si="143"/>
        <v/>
      </c>
      <c r="AD422" s="64" t="str">
        <f t="shared" si="154"/>
        <v/>
      </c>
      <c r="AE422" s="72" t="str">
        <f t="shared" si="144"/>
        <v/>
      </c>
      <c r="AH422" s="64" t="str">
        <f t="shared" si="155"/>
        <v/>
      </c>
      <c r="AI422" s="72" t="str">
        <f t="shared" si="145"/>
        <v/>
      </c>
      <c r="AL422" s="64" t="str">
        <f t="shared" si="156"/>
        <v/>
      </c>
      <c r="AM422" s="72" t="str">
        <f t="shared" si="146"/>
        <v/>
      </c>
      <c r="AP422" s="64" t="str">
        <f t="shared" si="157"/>
        <v/>
      </c>
      <c r="AQ422" s="72" t="str">
        <f t="shared" si="147"/>
        <v/>
      </c>
    </row>
    <row r="423" spans="1:43" x14ac:dyDescent="0.25">
      <c r="A423" s="49">
        <v>-74.306310982540865</v>
      </c>
      <c r="B423" s="50">
        <v>-62.350398139594304</v>
      </c>
      <c r="C423" s="38">
        <f t="shared" si="137"/>
        <v>96.999999999999986</v>
      </c>
      <c r="F423" s="1" t="str">
        <f t="shared" si="148"/>
        <v/>
      </c>
      <c r="G423" s="1" t="str">
        <f t="shared" si="138"/>
        <v/>
      </c>
      <c r="J423" s="64" t="str">
        <f t="shared" si="149"/>
        <v/>
      </c>
      <c r="K423" s="72" t="str">
        <f t="shared" si="139"/>
        <v/>
      </c>
      <c r="N423" s="64" t="str">
        <f t="shared" si="150"/>
        <v/>
      </c>
      <c r="O423" s="72" t="str">
        <f t="shared" si="140"/>
        <v/>
      </c>
      <c r="R423" s="64" t="str">
        <f t="shared" si="151"/>
        <v/>
      </c>
      <c r="S423" s="72" t="str">
        <f t="shared" si="141"/>
        <v/>
      </c>
      <c r="V423" s="64" t="str">
        <f t="shared" si="152"/>
        <v/>
      </c>
      <c r="W423" s="72" t="str">
        <f t="shared" si="142"/>
        <v/>
      </c>
      <c r="Z423" s="64" t="str">
        <f t="shared" si="153"/>
        <v/>
      </c>
      <c r="AA423" s="72" t="str">
        <f t="shared" si="143"/>
        <v/>
      </c>
      <c r="AD423" s="64" t="str">
        <f t="shared" si="154"/>
        <v/>
      </c>
      <c r="AE423" s="72" t="str">
        <f t="shared" si="144"/>
        <v/>
      </c>
      <c r="AH423" s="64" t="str">
        <f t="shared" si="155"/>
        <v/>
      </c>
      <c r="AI423" s="72" t="str">
        <f t="shared" si="145"/>
        <v/>
      </c>
      <c r="AL423" s="64" t="str">
        <f t="shared" si="156"/>
        <v/>
      </c>
      <c r="AM423" s="72" t="str">
        <f t="shared" si="146"/>
        <v/>
      </c>
      <c r="AP423" s="64" t="str">
        <f t="shared" si="157"/>
        <v/>
      </c>
      <c r="AQ423" s="72" t="str">
        <f t="shared" si="147"/>
        <v/>
      </c>
    </row>
    <row r="424" spans="1:43" x14ac:dyDescent="0.25">
      <c r="A424" s="49">
        <v>-62.350398139594326</v>
      </c>
      <c r="B424" s="50">
        <v>-74.30631098254085</v>
      </c>
      <c r="C424" s="38">
        <f t="shared" si="137"/>
        <v>96.999999999999986</v>
      </c>
      <c r="F424" s="1" t="str">
        <f t="shared" si="148"/>
        <v/>
      </c>
      <c r="G424" s="1" t="str">
        <f t="shared" si="138"/>
        <v/>
      </c>
      <c r="J424" s="64" t="str">
        <f t="shared" si="149"/>
        <v/>
      </c>
      <c r="K424" s="72" t="str">
        <f t="shared" si="139"/>
        <v/>
      </c>
      <c r="N424" s="64" t="str">
        <f t="shared" si="150"/>
        <v/>
      </c>
      <c r="O424" s="72" t="str">
        <f t="shared" si="140"/>
        <v/>
      </c>
      <c r="R424" s="64" t="str">
        <f t="shared" si="151"/>
        <v/>
      </c>
      <c r="S424" s="72" t="str">
        <f t="shared" si="141"/>
        <v/>
      </c>
      <c r="V424" s="64" t="str">
        <f t="shared" si="152"/>
        <v/>
      </c>
      <c r="W424" s="72" t="str">
        <f t="shared" si="142"/>
        <v/>
      </c>
      <c r="Z424" s="64" t="str">
        <f t="shared" si="153"/>
        <v/>
      </c>
      <c r="AA424" s="72" t="str">
        <f t="shared" si="143"/>
        <v/>
      </c>
      <c r="AD424" s="64" t="str">
        <f t="shared" si="154"/>
        <v/>
      </c>
      <c r="AE424" s="72" t="str">
        <f t="shared" si="144"/>
        <v/>
      </c>
      <c r="AH424" s="64" t="str">
        <f t="shared" si="155"/>
        <v/>
      </c>
      <c r="AI424" s="72" t="str">
        <f t="shared" si="145"/>
        <v/>
      </c>
      <c r="AL424" s="64" t="str">
        <f t="shared" si="156"/>
        <v/>
      </c>
      <c r="AM424" s="72" t="str">
        <f t="shared" si="146"/>
        <v/>
      </c>
      <c r="AP424" s="64" t="str">
        <f t="shared" si="157"/>
        <v/>
      </c>
      <c r="AQ424" s="72" t="str">
        <f t="shared" si="147"/>
        <v/>
      </c>
    </row>
    <row r="425" spans="1:43" x14ac:dyDescent="0.25">
      <c r="A425" s="49">
        <v>-48.500000000000043</v>
      </c>
      <c r="B425" s="50">
        <v>-84.004464167090518</v>
      </c>
      <c r="C425" s="38">
        <f t="shared" si="137"/>
        <v>96.999999999999986</v>
      </c>
      <c r="F425" s="1" t="str">
        <f t="shared" si="148"/>
        <v/>
      </c>
      <c r="G425" s="1" t="str">
        <f t="shared" si="138"/>
        <v/>
      </c>
      <c r="J425" s="64" t="str">
        <f t="shared" si="149"/>
        <v/>
      </c>
      <c r="K425" s="72" t="str">
        <f t="shared" si="139"/>
        <v/>
      </c>
      <c r="N425" s="64" t="str">
        <f t="shared" si="150"/>
        <v/>
      </c>
      <c r="O425" s="72" t="str">
        <f t="shared" si="140"/>
        <v/>
      </c>
      <c r="R425" s="64" t="str">
        <f t="shared" si="151"/>
        <v/>
      </c>
      <c r="S425" s="72" t="str">
        <f t="shared" si="141"/>
        <v/>
      </c>
      <c r="V425" s="64" t="str">
        <f t="shared" si="152"/>
        <v/>
      </c>
      <c r="W425" s="72" t="str">
        <f t="shared" si="142"/>
        <v/>
      </c>
      <c r="Z425" s="64" t="str">
        <f t="shared" si="153"/>
        <v/>
      </c>
      <c r="AA425" s="72" t="str">
        <f t="shared" si="143"/>
        <v/>
      </c>
      <c r="AD425" s="64" t="str">
        <f t="shared" si="154"/>
        <v/>
      </c>
      <c r="AE425" s="72" t="str">
        <f t="shared" si="144"/>
        <v/>
      </c>
      <c r="AH425" s="64" t="str">
        <f t="shared" si="155"/>
        <v/>
      </c>
      <c r="AI425" s="72" t="str">
        <f t="shared" si="145"/>
        <v/>
      </c>
      <c r="AL425" s="64" t="str">
        <f t="shared" si="156"/>
        <v/>
      </c>
      <c r="AM425" s="72" t="str">
        <f t="shared" si="146"/>
        <v/>
      </c>
      <c r="AP425" s="64" t="str">
        <f t="shared" si="157"/>
        <v/>
      </c>
      <c r="AQ425" s="72" t="str">
        <f t="shared" si="147"/>
        <v/>
      </c>
    </row>
    <row r="426" spans="1:43" x14ac:dyDescent="0.25">
      <c r="A426" s="49">
        <v>-33.175953902589846</v>
      </c>
      <c r="B426" s="50">
        <v>-91.150184216233114</v>
      </c>
      <c r="C426" s="38">
        <f t="shared" si="137"/>
        <v>96.999999999999986</v>
      </c>
      <c r="F426" s="1" t="str">
        <f t="shared" si="148"/>
        <v/>
      </c>
      <c r="G426" s="1" t="str">
        <f t="shared" si="138"/>
        <v/>
      </c>
      <c r="J426" s="64" t="str">
        <f t="shared" si="149"/>
        <v/>
      </c>
      <c r="K426" s="72" t="str">
        <f t="shared" si="139"/>
        <v/>
      </c>
      <c r="N426" s="64" t="str">
        <f t="shared" si="150"/>
        <v/>
      </c>
      <c r="O426" s="72" t="str">
        <f t="shared" si="140"/>
        <v/>
      </c>
      <c r="R426" s="64" t="str">
        <f t="shared" si="151"/>
        <v/>
      </c>
      <c r="S426" s="72" t="str">
        <f t="shared" si="141"/>
        <v/>
      </c>
      <c r="V426" s="64" t="str">
        <f t="shared" si="152"/>
        <v/>
      </c>
      <c r="W426" s="72" t="str">
        <f t="shared" si="142"/>
        <v/>
      </c>
      <c r="Z426" s="64" t="str">
        <f t="shared" si="153"/>
        <v/>
      </c>
      <c r="AA426" s="72" t="str">
        <f t="shared" si="143"/>
        <v/>
      </c>
      <c r="AD426" s="64" t="str">
        <f t="shared" si="154"/>
        <v/>
      </c>
      <c r="AE426" s="72" t="str">
        <f t="shared" si="144"/>
        <v/>
      </c>
      <c r="AH426" s="64" t="str">
        <f t="shared" si="155"/>
        <v/>
      </c>
      <c r="AI426" s="72" t="str">
        <f t="shared" si="145"/>
        <v/>
      </c>
      <c r="AL426" s="64" t="str">
        <f t="shared" si="156"/>
        <v/>
      </c>
      <c r="AM426" s="72" t="str">
        <f t="shared" si="146"/>
        <v/>
      </c>
      <c r="AP426" s="64" t="str">
        <f t="shared" si="157"/>
        <v/>
      </c>
      <c r="AQ426" s="72" t="str">
        <f t="shared" si="147"/>
        <v/>
      </c>
    </row>
    <row r="427" spans="1:43" x14ac:dyDescent="0.25">
      <c r="A427" s="49">
        <v>-16.843873233692243</v>
      </c>
      <c r="B427" s="50">
        <v>-95.526352042184172</v>
      </c>
      <c r="C427" s="38">
        <f t="shared" si="137"/>
        <v>96.999999999999986</v>
      </c>
      <c r="F427" s="1" t="str">
        <f t="shared" si="148"/>
        <v/>
      </c>
      <c r="G427" s="1" t="str">
        <f t="shared" si="138"/>
        <v/>
      </c>
      <c r="J427" s="64" t="str">
        <f t="shared" si="149"/>
        <v/>
      </c>
      <c r="K427" s="72" t="str">
        <f t="shared" si="139"/>
        <v/>
      </c>
      <c r="N427" s="64" t="str">
        <f t="shared" si="150"/>
        <v/>
      </c>
      <c r="O427" s="72" t="str">
        <f t="shared" si="140"/>
        <v/>
      </c>
      <c r="R427" s="64" t="str">
        <f t="shared" si="151"/>
        <v/>
      </c>
      <c r="S427" s="72" t="str">
        <f t="shared" si="141"/>
        <v/>
      </c>
      <c r="V427" s="64" t="str">
        <f t="shared" si="152"/>
        <v/>
      </c>
      <c r="W427" s="72" t="str">
        <f t="shared" si="142"/>
        <v/>
      </c>
      <c r="Z427" s="64" t="str">
        <f t="shared" si="153"/>
        <v/>
      </c>
      <c r="AA427" s="72" t="str">
        <f t="shared" si="143"/>
        <v/>
      </c>
      <c r="AD427" s="64" t="str">
        <f t="shared" si="154"/>
        <v/>
      </c>
      <c r="AE427" s="72" t="str">
        <f t="shared" si="144"/>
        <v/>
      </c>
      <c r="AH427" s="64" t="str">
        <f t="shared" si="155"/>
        <v/>
      </c>
      <c r="AI427" s="72" t="str">
        <f t="shared" si="145"/>
        <v/>
      </c>
      <c r="AL427" s="64" t="str">
        <f t="shared" si="156"/>
        <v/>
      </c>
      <c r="AM427" s="72" t="str">
        <f t="shared" si="146"/>
        <v/>
      </c>
      <c r="AP427" s="64" t="str">
        <f t="shared" si="157"/>
        <v/>
      </c>
      <c r="AQ427" s="72" t="str">
        <f t="shared" si="147"/>
        <v/>
      </c>
    </row>
    <row r="428" spans="1:43" x14ac:dyDescent="0.25">
      <c r="A428" s="49">
        <v>-1.7825910018920421E-14</v>
      </c>
      <c r="B428" s="50">
        <v>-97</v>
      </c>
      <c r="C428" s="38">
        <f t="shared" si="137"/>
        <v>97</v>
      </c>
      <c r="F428" s="1" t="str">
        <f t="shared" si="148"/>
        <v/>
      </c>
      <c r="G428" s="1" t="str">
        <f t="shared" si="138"/>
        <v/>
      </c>
      <c r="J428" s="64" t="str">
        <f t="shared" si="149"/>
        <v/>
      </c>
      <c r="K428" s="72" t="str">
        <f t="shared" si="139"/>
        <v/>
      </c>
      <c r="N428" s="64" t="str">
        <f t="shared" si="150"/>
        <v/>
      </c>
      <c r="O428" s="72" t="str">
        <f t="shared" si="140"/>
        <v/>
      </c>
      <c r="R428" s="64" t="str">
        <f t="shared" si="151"/>
        <v/>
      </c>
      <c r="S428" s="72" t="str">
        <f t="shared" si="141"/>
        <v/>
      </c>
      <c r="V428" s="64" t="str">
        <f t="shared" si="152"/>
        <v/>
      </c>
      <c r="W428" s="72" t="str">
        <f t="shared" si="142"/>
        <v/>
      </c>
      <c r="Z428" s="64" t="str">
        <f t="shared" si="153"/>
        <v/>
      </c>
      <c r="AA428" s="72" t="str">
        <f t="shared" si="143"/>
        <v/>
      </c>
      <c r="AD428" s="64" t="str">
        <f t="shared" si="154"/>
        <v/>
      </c>
      <c r="AE428" s="72" t="str">
        <f t="shared" si="144"/>
        <v/>
      </c>
      <c r="AH428" s="64" t="str">
        <f t="shared" si="155"/>
        <v/>
      </c>
      <c r="AI428" s="72" t="str">
        <f t="shared" si="145"/>
        <v/>
      </c>
      <c r="AL428" s="64" t="str">
        <f t="shared" si="156"/>
        <v/>
      </c>
      <c r="AM428" s="72" t="str">
        <f t="shared" si="146"/>
        <v/>
      </c>
      <c r="AP428" s="64" t="str">
        <f t="shared" si="157"/>
        <v/>
      </c>
      <c r="AQ428" s="72" t="str">
        <f t="shared" si="147"/>
        <v/>
      </c>
    </row>
    <row r="429" spans="1:43" x14ac:dyDescent="0.25">
      <c r="A429" s="49">
        <v>16.843873233692207</v>
      </c>
      <c r="B429" s="50">
        <v>-95.526352042184186</v>
      </c>
      <c r="C429" s="38">
        <f t="shared" si="137"/>
        <v>97</v>
      </c>
      <c r="F429" s="1" t="str">
        <f t="shared" si="148"/>
        <v/>
      </c>
      <c r="G429" s="1" t="str">
        <f t="shared" si="138"/>
        <v/>
      </c>
      <c r="J429" s="64" t="str">
        <f t="shared" si="149"/>
        <v/>
      </c>
      <c r="K429" s="72" t="str">
        <f t="shared" si="139"/>
        <v/>
      </c>
      <c r="N429" s="64" t="str">
        <f t="shared" si="150"/>
        <v/>
      </c>
      <c r="O429" s="72" t="str">
        <f t="shared" si="140"/>
        <v/>
      </c>
      <c r="R429" s="64" t="str">
        <f t="shared" si="151"/>
        <v/>
      </c>
      <c r="S429" s="72" t="str">
        <f t="shared" si="141"/>
        <v/>
      </c>
      <c r="V429" s="64" t="str">
        <f t="shared" si="152"/>
        <v/>
      </c>
      <c r="W429" s="72" t="str">
        <f t="shared" si="142"/>
        <v/>
      </c>
      <c r="Z429" s="64" t="str">
        <f t="shared" si="153"/>
        <v/>
      </c>
      <c r="AA429" s="72" t="str">
        <f t="shared" si="143"/>
        <v/>
      </c>
      <c r="AD429" s="64" t="str">
        <f t="shared" si="154"/>
        <v/>
      </c>
      <c r="AE429" s="72" t="str">
        <f t="shared" si="144"/>
        <v/>
      </c>
      <c r="AH429" s="64" t="str">
        <f t="shared" si="155"/>
        <v/>
      </c>
      <c r="AI429" s="72" t="str">
        <f t="shared" si="145"/>
        <v/>
      </c>
      <c r="AL429" s="64" t="str">
        <f t="shared" si="156"/>
        <v/>
      </c>
      <c r="AM429" s="72" t="str">
        <f t="shared" si="146"/>
        <v/>
      </c>
      <c r="AP429" s="64" t="str">
        <f t="shared" si="157"/>
        <v/>
      </c>
      <c r="AQ429" s="72" t="str">
        <f t="shared" si="147"/>
        <v/>
      </c>
    </row>
    <row r="430" spans="1:43" x14ac:dyDescent="0.25">
      <c r="A430" s="49">
        <v>33.175953902589889</v>
      </c>
      <c r="B430" s="50">
        <v>-91.1501842162331</v>
      </c>
      <c r="C430" s="38">
        <f t="shared" si="137"/>
        <v>97</v>
      </c>
      <c r="F430" s="1" t="str">
        <f t="shared" si="148"/>
        <v/>
      </c>
      <c r="G430" s="1" t="str">
        <f t="shared" si="138"/>
        <v/>
      </c>
      <c r="J430" s="64" t="str">
        <f t="shared" si="149"/>
        <v/>
      </c>
      <c r="K430" s="72" t="str">
        <f t="shared" si="139"/>
        <v/>
      </c>
      <c r="N430" s="64" t="str">
        <f t="shared" si="150"/>
        <v/>
      </c>
      <c r="O430" s="72" t="str">
        <f t="shared" si="140"/>
        <v/>
      </c>
      <c r="R430" s="64" t="str">
        <f t="shared" si="151"/>
        <v/>
      </c>
      <c r="S430" s="72" t="str">
        <f t="shared" si="141"/>
        <v/>
      </c>
      <c r="V430" s="64" t="str">
        <f t="shared" si="152"/>
        <v/>
      </c>
      <c r="W430" s="72" t="str">
        <f t="shared" si="142"/>
        <v/>
      </c>
      <c r="Z430" s="64" t="str">
        <f t="shared" si="153"/>
        <v/>
      </c>
      <c r="AA430" s="72" t="str">
        <f t="shared" si="143"/>
        <v/>
      </c>
      <c r="AD430" s="64" t="str">
        <f t="shared" si="154"/>
        <v/>
      </c>
      <c r="AE430" s="72" t="str">
        <f t="shared" si="144"/>
        <v/>
      </c>
      <c r="AH430" s="64" t="str">
        <f t="shared" si="155"/>
        <v/>
      </c>
      <c r="AI430" s="72" t="str">
        <f t="shared" si="145"/>
        <v/>
      </c>
      <c r="AL430" s="64" t="str">
        <f t="shared" si="156"/>
        <v/>
      </c>
      <c r="AM430" s="72" t="str">
        <f t="shared" si="146"/>
        <v/>
      </c>
      <c r="AP430" s="64" t="str">
        <f t="shared" si="157"/>
        <v/>
      </c>
      <c r="AQ430" s="72" t="str">
        <f t="shared" si="147"/>
        <v/>
      </c>
    </row>
    <row r="431" spans="1:43" x14ac:dyDescent="0.25">
      <c r="A431" s="49">
        <v>48.500000000000014</v>
      </c>
      <c r="B431" s="50">
        <v>-84.004464167090546</v>
      </c>
      <c r="C431" s="38">
        <f t="shared" si="137"/>
        <v>97.000000000000014</v>
      </c>
      <c r="F431" s="1" t="str">
        <f t="shared" si="148"/>
        <v/>
      </c>
      <c r="G431" s="1" t="str">
        <f t="shared" si="138"/>
        <v/>
      </c>
      <c r="J431" s="64" t="str">
        <f t="shared" si="149"/>
        <v/>
      </c>
      <c r="K431" s="72" t="str">
        <f t="shared" si="139"/>
        <v/>
      </c>
      <c r="N431" s="64" t="str">
        <f t="shared" si="150"/>
        <v/>
      </c>
      <c r="O431" s="72" t="str">
        <f t="shared" si="140"/>
        <v/>
      </c>
      <c r="R431" s="64" t="str">
        <f t="shared" si="151"/>
        <v/>
      </c>
      <c r="S431" s="72" t="str">
        <f t="shared" si="141"/>
        <v/>
      </c>
      <c r="V431" s="64" t="str">
        <f t="shared" si="152"/>
        <v/>
      </c>
      <c r="W431" s="72" t="str">
        <f t="shared" si="142"/>
        <v/>
      </c>
      <c r="Z431" s="64" t="str">
        <f t="shared" si="153"/>
        <v/>
      </c>
      <c r="AA431" s="72" t="str">
        <f t="shared" si="143"/>
        <v/>
      </c>
      <c r="AD431" s="64" t="str">
        <f t="shared" si="154"/>
        <v/>
      </c>
      <c r="AE431" s="72" t="str">
        <f t="shared" si="144"/>
        <v/>
      </c>
      <c r="AH431" s="64" t="str">
        <f t="shared" si="155"/>
        <v/>
      </c>
      <c r="AI431" s="72" t="str">
        <f t="shared" si="145"/>
        <v/>
      </c>
      <c r="AL431" s="64" t="str">
        <f t="shared" si="156"/>
        <v/>
      </c>
      <c r="AM431" s="72" t="str">
        <f t="shared" si="146"/>
        <v/>
      </c>
      <c r="AP431" s="64" t="str">
        <f t="shared" si="157"/>
        <v/>
      </c>
      <c r="AQ431" s="72" t="str">
        <f t="shared" si="147"/>
        <v/>
      </c>
    </row>
    <row r="432" spans="1:43" x14ac:dyDescent="0.25">
      <c r="A432" s="49">
        <v>62.350398139594304</v>
      </c>
      <c r="B432" s="50">
        <v>-74.306310982540879</v>
      </c>
      <c r="C432" s="38">
        <f t="shared" si="137"/>
        <v>97</v>
      </c>
      <c r="F432" s="1" t="str">
        <f t="shared" si="148"/>
        <v/>
      </c>
      <c r="G432" s="1" t="str">
        <f t="shared" si="138"/>
        <v/>
      </c>
      <c r="J432" s="64" t="str">
        <f t="shared" si="149"/>
        <v/>
      </c>
      <c r="K432" s="72" t="str">
        <f t="shared" si="139"/>
        <v/>
      </c>
      <c r="N432" s="64" t="str">
        <f t="shared" si="150"/>
        <v/>
      </c>
      <c r="O432" s="72" t="str">
        <f t="shared" si="140"/>
        <v/>
      </c>
      <c r="R432" s="64" t="str">
        <f t="shared" si="151"/>
        <v/>
      </c>
      <c r="S432" s="72" t="str">
        <f t="shared" si="141"/>
        <v/>
      </c>
      <c r="V432" s="64" t="str">
        <f t="shared" si="152"/>
        <v/>
      </c>
      <c r="W432" s="72" t="str">
        <f t="shared" si="142"/>
        <v/>
      </c>
      <c r="Z432" s="64" t="str">
        <f t="shared" si="153"/>
        <v/>
      </c>
      <c r="AA432" s="72" t="str">
        <f t="shared" si="143"/>
        <v/>
      </c>
      <c r="AD432" s="64" t="str">
        <f t="shared" si="154"/>
        <v/>
      </c>
      <c r="AE432" s="72" t="str">
        <f t="shared" si="144"/>
        <v/>
      </c>
      <c r="AH432" s="64" t="str">
        <f t="shared" si="155"/>
        <v/>
      </c>
      <c r="AI432" s="72" t="str">
        <f t="shared" si="145"/>
        <v/>
      </c>
      <c r="AL432" s="64" t="str">
        <f t="shared" si="156"/>
        <v/>
      </c>
      <c r="AM432" s="72" t="str">
        <f t="shared" si="146"/>
        <v/>
      </c>
      <c r="AP432" s="64" t="str">
        <f t="shared" si="157"/>
        <v/>
      </c>
      <c r="AQ432" s="72" t="str">
        <f t="shared" si="147"/>
        <v/>
      </c>
    </row>
    <row r="433" spans="1:43" x14ac:dyDescent="0.25">
      <c r="A433" s="49">
        <v>74.30631098254085</v>
      </c>
      <c r="B433" s="50">
        <v>-62.35039813959434</v>
      </c>
      <c r="C433" s="38">
        <f t="shared" si="137"/>
        <v>97</v>
      </c>
      <c r="F433" s="1" t="str">
        <f t="shared" si="148"/>
        <v/>
      </c>
      <c r="G433" s="1" t="str">
        <f t="shared" si="138"/>
        <v/>
      </c>
      <c r="J433" s="64" t="str">
        <f t="shared" si="149"/>
        <v/>
      </c>
      <c r="K433" s="72" t="str">
        <f t="shared" si="139"/>
        <v/>
      </c>
      <c r="N433" s="64" t="str">
        <f t="shared" si="150"/>
        <v/>
      </c>
      <c r="O433" s="72" t="str">
        <f t="shared" si="140"/>
        <v/>
      </c>
      <c r="R433" s="64" t="str">
        <f t="shared" si="151"/>
        <v/>
      </c>
      <c r="S433" s="72" t="str">
        <f t="shared" si="141"/>
        <v/>
      </c>
      <c r="V433" s="64" t="str">
        <f t="shared" si="152"/>
        <v/>
      </c>
      <c r="W433" s="72" t="str">
        <f t="shared" si="142"/>
        <v/>
      </c>
      <c r="Z433" s="64" t="str">
        <f t="shared" si="153"/>
        <v/>
      </c>
      <c r="AA433" s="72" t="str">
        <f t="shared" si="143"/>
        <v/>
      </c>
      <c r="AD433" s="64" t="str">
        <f t="shared" si="154"/>
        <v/>
      </c>
      <c r="AE433" s="72" t="str">
        <f t="shared" si="144"/>
        <v/>
      </c>
      <c r="AH433" s="64" t="str">
        <f t="shared" si="155"/>
        <v/>
      </c>
      <c r="AI433" s="72" t="str">
        <f t="shared" si="145"/>
        <v/>
      </c>
      <c r="AL433" s="64" t="str">
        <f t="shared" si="156"/>
        <v/>
      </c>
      <c r="AM433" s="72" t="str">
        <f t="shared" si="146"/>
        <v/>
      </c>
      <c r="AP433" s="64" t="str">
        <f t="shared" si="157"/>
        <v/>
      </c>
      <c r="AQ433" s="72" t="str">
        <f t="shared" si="147"/>
        <v/>
      </c>
    </row>
    <row r="434" spans="1:43" x14ac:dyDescent="0.25">
      <c r="A434" s="49">
        <v>84.004464167090518</v>
      </c>
      <c r="B434" s="50">
        <v>-48.500000000000043</v>
      </c>
      <c r="C434" s="38">
        <f t="shared" si="137"/>
        <v>96.999999999999986</v>
      </c>
      <c r="F434" s="1" t="str">
        <f t="shared" si="148"/>
        <v/>
      </c>
      <c r="G434" s="1" t="str">
        <f t="shared" si="138"/>
        <v/>
      </c>
      <c r="J434" s="64" t="str">
        <f t="shared" si="149"/>
        <v/>
      </c>
      <c r="K434" s="72" t="str">
        <f t="shared" si="139"/>
        <v/>
      </c>
      <c r="N434" s="64" t="str">
        <f t="shared" si="150"/>
        <v/>
      </c>
      <c r="O434" s="72" t="str">
        <f t="shared" si="140"/>
        <v/>
      </c>
      <c r="R434" s="64" t="str">
        <f t="shared" si="151"/>
        <v/>
      </c>
      <c r="S434" s="72" t="str">
        <f t="shared" si="141"/>
        <v/>
      </c>
      <c r="V434" s="64" t="str">
        <f t="shared" si="152"/>
        <v/>
      </c>
      <c r="W434" s="72" t="str">
        <f t="shared" si="142"/>
        <v/>
      </c>
      <c r="Z434" s="64" t="str">
        <f t="shared" si="153"/>
        <v/>
      </c>
      <c r="AA434" s="72" t="str">
        <f t="shared" si="143"/>
        <v/>
      </c>
      <c r="AD434" s="64" t="str">
        <f t="shared" si="154"/>
        <v/>
      </c>
      <c r="AE434" s="72" t="str">
        <f t="shared" si="144"/>
        <v/>
      </c>
      <c r="AH434" s="64" t="str">
        <f t="shared" si="155"/>
        <v/>
      </c>
      <c r="AI434" s="72" t="str">
        <f t="shared" si="145"/>
        <v/>
      </c>
      <c r="AL434" s="64" t="str">
        <f t="shared" si="156"/>
        <v/>
      </c>
      <c r="AM434" s="72" t="str">
        <f t="shared" si="146"/>
        <v/>
      </c>
      <c r="AP434" s="64" t="str">
        <f t="shared" si="157"/>
        <v/>
      </c>
      <c r="AQ434" s="72" t="str">
        <f t="shared" si="147"/>
        <v/>
      </c>
    </row>
    <row r="435" spans="1:43" x14ac:dyDescent="0.25">
      <c r="A435" s="49">
        <v>91.150184216233114</v>
      </c>
      <c r="B435" s="50">
        <v>-33.175953902589853</v>
      </c>
      <c r="C435" s="38">
        <f t="shared" si="137"/>
        <v>97</v>
      </c>
      <c r="F435" s="1" t="str">
        <f t="shared" si="148"/>
        <v/>
      </c>
      <c r="G435" s="1" t="str">
        <f t="shared" si="138"/>
        <v/>
      </c>
      <c r="J435" s="64" t="str">
        <f t="shared" si="149"/>
        <v/>
      </c>
      <c r="K435" s="72" t="str">
        <f t="shared" si="139"/>
        <v/>
      </c>
      <c r="N435" s="64" t="str">
        <f t="shared" si="150"/>
        <v/>
      </c>
      <c r="O435" s="72" t="str">
        <f t="shared" si="140"/>
        <v/>
      </c>
      <c r="R435" s="64" t="str">
        <f t="shared" si="151"/>
        <v/>
      </c>
      <c r="S435" s="72" t="str">
        <f t="shared" si="141"/>
        <v/>
      </c>
      <c r="V435" s="64" t="str">
        <f t="shared" si="152"/>
        <v/>
      </c>
      <c r="W435" s="72" t="str">
        <f t="shared" si="142"/>
        <v/>
      </c>
      <c r="Z435" s="64" t="str">
        <f t="shared" si="153"/>
        <v/>
      </c>
      <c r="AA435" s="72" t="str">
        <f t="shared" si="143"/>
        <v/>
      </c>
      <c r="AD435" s="64" t="str">
        <f t="shared" si="154"/>
        <v/>
      </c>
      <c r="AE435" s="72" t="str">
        <f t="shared" si="144"/>
        <v/>
      </c>
      <c r="AH435" s="64" t="str">
        <f t="shared" si="155"/>
        <v/>
      </c>
      <c r="AI435" s="72" t="str">
        <f t="shared" si="145"/>
        <v/>
      </c>
      <c r="AL435" s="64" t="str">
        <f t="shared" si="156"/>
        <v/>
      </c>
      <c r="AM435" s="72" t="str">
        <f t="shared" si="146"/>
        <v/>
      </c>
      <c r="AP435" s="64" t="str">
        <f t="shared" si="157"/>
        <v/>
      </c>
      <c r="AQ435" s="72" t="str">
        <f t="shared" si="147"/>
        <v/>
      </c>
    </row>
    <row r="436" spans="1:43" x14ac:dyDescent="0.25">
      <c r="A436" s="49">
        <v>95.526352042184172</v>
      </c>
      <c r="B436" s="50">
        <v>-16.843873233692246</v>
      </c>
      <c r="C436" s="38">
        <f t="shared" si="137"/>
        <v>96.999999999999986</v>
      </c>
      <c r="F436" s="1" t="str">
        <f t="shared" si="148"/>
        <v/>
      </c>
      <c r="G436" s="1" t="str">
        <f t="shared" si="138"/>
        <v/>
      </c>
      <c r="J436" s="64" t="str">
        <f t="shared" si="149"/>
        <v/>
      </c>
      <c r="K436" s="72" t="str">
        <f t="shared" si="139"/>
        <v/>
      </c>
      <c r="N436" s="64" t="str">
        <f t="shared" si="150"/>
        <v/>
      </c>
      <c r="O436" s="72" t="str">
        <f t="shared" si="140"/>
        <v/>
      </c>
      <c r="R436" s="64" t="str">
        <f t="shared" si="151"/>
        <v/>
      </c>
      <c r="S436" s="72" t="str">
        <f t="shared" si="141"/>
        <v/>
      </c>
      <c r="V436" s="64" t="str">
        <f t="shared" si="152"/>
        <v/>
      </c>
      <c r="W436" s="72" t="str">
        <f t="shared" si="142"/>
        <v/>
      </c>
      <c r="Z436" s="64" t="str">
        <f t="shared" si="153"/>
        <v/>
      </c>
      <c r="AA436" s="72" t="str">
        <f t="shared" si="143"/>
        <v/>
      </c>
      <c r="AD436" s="64" t="str">
        <f t="shared" si="154"/>
        <v/>
      </c>
      <c r="AE436" s="72" t="str">
        <f t="shared" si="144"/>
        <v/>
      </c>
      <c r="AH436" s="64" t="str">
        <f t="shared" si="155"/>
        <v/>
      </c>
      <c r="AI436" s="72" t="str">
        <f t="shared" si="145"/>
        <v/>
      </c>
      <c r="AL436" s="64" t="str">
        <f t="shared" si="156"/>
        <v/>
      </c>
      <c r="AM436" s="72" t="str">
        <f t="shared" si="146"/>
        <v/>
      </c>
      <c r="AP436" s="64" t="str">
        <f t="shared" si="157"/>
        <v/>
      </c>
      <c r="AQ436" s="72" t="str">
        <f t="shared" si="147"/>
        <v/>
      </c>
    </row>
  </sheetData>
  <mergeCells count="71">
    <mergeCell ref="P5:S5"/>
    <mergeCell ref="H6:K6"/>
    <mergeCell ref="H1:K1"/>
    <mergeCell ref="H2:K2"/>
    <mergeCell ref="H3:K3"/>
    <mergeCell ref="H4:K4"/>
    <mergeCell ref="H5:K5"/>
    <mergeCell ref="L6:O6"/>
    <mergeCell ref="D6:G6"/>
    <mergeCell ref="A8:B9"/>
    <mergeCell ref="A11:B11"/>
    <mergeCell ref="A12:B12"/>
    <mergeCell ref="D1:G1"/>
    <mergeCell ref="D5:G5"/>
    <mergeCell ref="D4:G4"/>
    <mergeCell ref="D3:G3"/>
    <mergeCell ref="D2:G2"/>
    <mergeCell ref="A13:B13"/>
    <mergeCell ref="A6:C6"/>
    <mergeCell ref="A1:C1"/>
    <mergeCell ref="A2:C2"/>
    <mergeCell ref="A3:C3"/>
    <mergeCell ref="A4:C4"/>
    <mergeCell ref="A5:C5"/>
    <mergeCell ref="A10:B10"/>
    <mergeCell ref="AF5:AI5"/>
    <mergeCell ref="X6:AA6"/>
    <mergeCell ref="X1:AA1"/>
    <mergeCell ref="X2:AA2"/>
    <mergeCell ref="X3:AA3"/>
    <mergeCell ref="X4:AA4"/>
    <mergeCell ref="X5:AA5"/>
    <mergeCell ref="AB6:AE6"/>
    <mergeCell ref="T6:W6"/>
    <mergeCell ref="L1:O1"/>
    <mergeCell ref="L2:O2"/>
    <mergeCell ref="L3:O3"/>
    <mergeCell ref="L4:O4"/>
    <mergeCell ref="L5:O5"/>
    <mergeCell ref="P6:S6"/>
    <mergeCell ref="P1:S1"/>
    <mergeCell ref="P2:S2"/>
    <mergeCell ref="P3:S3"/>
    <mergeCell ref="T1:W1"/>
    <mergeCell ref="T2:W2"/>
    <mergeCell ref="T3:W3"/>
    <mergeCell ref="T4:W4"/>
    <mergeCell ref="T5:W5"/>
    <mergeCell ref="P4:S4"/>
    <mergeCell ref="AJ6:AM6"/>
    <mergeCell ref="AB1:AE1"/>
    <mergeCell ref="AB2:AE2"/>
    <mergeCell ref="AB3:AE3"/>
    <mergeCell ref="AB4:AE4"/>
    <mergeCell ref="AB5:AE5"/>
    <mergeCell ref="AF6:AI6"/>
    <mergeCell ref="AF1:AI1"/>
    <mergeCell ref="AF2:AI2"/>
    <mergeCell ref="AF3:AI3"/>
    <mergeCell ref="AJ1:AM1"/>
    <mergeCell ref="AJ2:AM2"/>
    <mergeCell ref="AJ3:AM3"/>
    <mergeCell ref="AJ4:AM4"/>
    <mergeCell ref="AJ5:AM5"/>
    <mergeCell ref="AF4:AI4"/>
    <mergeCell ref="AN6:AQ6"/>
    <mergeCell ref="AN1:AQ1"/>
    <mergeCell ref="AN2:AQ2"/>
    <mergeCell ref="AN3:AQ3"/>
    <mergeCell ref="AN4:AQ4"/>
    <mergeCell ref="AN5:AQ5"/>
  </mergeCells>
  <phoneticPr fontId="1"/>
  <conditionalFormatting sqref="F19:F120">
    <cfRule type="colorScale" priority="72">
      <colorScale>
        <cfvo type="min"/>
        <cfvo type="max"/>
        <color rgb="FF63BE7B"/>
        <color rgb="FFFFEF9C"/>
      </colorScale>
    </cfRule>
  </conditionalFormatting>
  <conditionalFormatting sqref="G19:G120">
    <cfRule type="colorScale" priority="71">
      <colorScale>
        <cfvo type="min"/>
        <cfvo type="max"/>
        <color rgb="FF63BE7B"/>
        <color rgb="FFFFEF9C"/>
      </colorScale>
    </cfRule>
  </conditionalFormatting>
  <conditionalFormatting sqref="F124:F436">
    <cfRule type="colorScale" priority="70">
      <colorScale>
        <cfvo type="min"/>
        <cfvo type="max"/>
        <color rgb="FF63BE7B"/>
        <color rgb="FFFFEF9C"/>
      </colorScale>
    </cfRule>
  </conditionalFormatting>
  <conditionalFormatting sqref="G124:G436">
    <cfRule type="colorScale" priority="69">
      <colorScale>
        <cfvo type="min"/>
        <cfvo type="max"/>
        <color rgb="FF63BE7B"/>
        <color rgb="FFFFEF9C"/>
      </colorScale>
    </cfRule>
  </conditionalFormatting>
  <conditionalFormatting sqref="J19:J120">
    <cfRule type="colorScale" priority="40">
      <colorScale>
        <cfvo type="min"/>
        <cfvo type="max"/>
        <color rgb="FF63BE7B"/>
        <color rgb="FFFFEF9C"/>
      </colorScale>
    </cfRule>
  </conditionalFormatting>
  <conditionalFormatting sqref="K19:K120">
    <cfRule type="colorScale" priority="39">
      <colorScale>
        <cfvo type="min"/>
        <cfvo type="max"/>
        <color rgb="FF63BE7B"/>
        <color rgb="FFFFEF9C"/>
      </colorScale>
    </cfRule>
  </conditionalFormatting>
  <conditionalFormatting sqref="J124:J436">
    <cfRule type="colorScale" priority="38">
      <colorScale>
        <cfvo type="min"/>
        <cfvo type="max"/>
        <color rgb="FF63BE7B"/>
        <color rgb="FFFFEF9C"/>
      </colorScale>
    </cfRule>
  </conditionalFormatting>
  <conditionalFormatting sqref="K124:K436">
    <cfRule type="colorScale" priority="37">
      <colorScale>
        <cfvo type="min"/>
        <cfvo type="max"/>
        <color rgb="FF63BE7B"/>
        <color rgb="FFFFEF9C"/>
      </colorScale>
    </cfRule>
  </conditionalFormatting>
  <conditionalFormatting sqref="N19:N120">
    <cfRule type="colorScale" priority="36">
      <colorScale>
        <cfvo type="min"/>
        <cfvo type="max"/>
        <color rgb="FF63BE7B"/>
        <color rgb="FFFFEF9C"/>
      </colorScale>
    </cfRule>
  </conditionalFormatting>
  <conditionalFormatting sqref="O19:O120">
    <cfRule type="colorScale" priority="35">
      <colorScale>
        <cfvo type="min"/>
        <cfvo type="max"/>
        <color rgb="FF63BE7B"/>
        <color rgb="FFFFEF9C"/>
      </colorScale>
    </cfRule>
  </conditionalFormatting>
  <conditionalFormatting sqref="N124:N436">
    <cfRule type="colorScale" priority="34">
      <colorScale>
        <cfvo type="min"/>
        <cfvo type="max"/>
        <color rgb="FF63BE7B"/>
        <color rgb="FFFFEF9C"/>
      </colorScale>
    </cfRule>
  </conditionalFormatting>
  <conditionalFormatting sqref="O124:O436">
    <cfRule type="colorScale" priority="33">
      <colorScale>
        <cfvo type="min"/>
        <cfvo type="max"/>
        <color rgb="FF63BE7B"/>
        <color rgb="FFFFEF9C"/>
      </colorScale>
    </cfRule>
  </conditionalFormatting>
  <conditionalFormatting sqref="R19:R120">
    <cfRule type="colorScale" priority="32">
      <colorScale>
        <cfvo type="min"/>
        <cfvo type="max"/>
        <color rgb="FF63BE7B"/>
        <color rgb="FFFFEF9C"/>
      </colorScale>
    </cfRule>
  </conditionalFormatting>
  <conditionalFormatting sqref="S19:S120">
    <cfRule type="colorScale" priority="31">
      <colorScale>
        <cfvo type="min"/>
        <cfvo type="max"/>
        <color rgb="FF63BE7B"/>
        <color rgb="FFFFEF9C"/>
      </colorScale>
    </cfRule>
  </conditionalFormatting>
  <conditionalFormatting sqref="R124:R436">
    <cfRule type="colorScale" priority="30">
      <colorScale>
        <cfvo type="min"/>
        <cfvo type="max"/>
        <color rgb="FF63BE7B"/>
        <color rgb="FFFFEF9C"/>
      </colorScale>
    </cfRule>
  </conditionalFormatting>
  <conditionalFormatting sqref="S124:S436">
    <cfRule type="colorScale" priority="29">
      <colorScale>
        <cfvo type="min"/>
        <cfvo type="max"/>
        <color rgb="FF63BE7B"/>
        <color rgb="FFFFEF9C"/>
      </colorScale>
    </cfRule>
  </conditionalFormatting>
  <conditionalFormatting sqref="V19:V120">
    <cfRule type="colorScale" priority="28">
      <colorScale>
        <cfvo type="min"/>
        <cfvo type="max"/>
        <color rgb="FF63BE7B"/>
        <color rgb="FFFFEF9C"/>
      </colorScale>
    </cfRule>
  </conditionalFormatting>
  <conditionalFormatting sqref="W19:W120">
    <cfRule type="colorScale" priority="27">
      <colorScale>
        <cfvo type="min"/>
        <cfvo type="max"/>
        <color rgb="FF63BE7B"/>
        <color rgb="FFFFEF9C"/>
      </colorScale>
    </cfRule>
  </conditionalFormatting>
  <conditionalFormatting sqref="V124:V436">
    <cfRule type="colorScale" priority="26">
      <colorScale>
        <cfvo type="min"/>
        <cfvo type="max"/>
        <color rgb="FF63BE7B"/>
        <color rgb="FFFFEF9C"/>
      </colorScale>
    </cfRule>
  </conditionalFormatting>
  <conditionalFormatting sqref="W124:W436">
    <cfRule type="colorScale" priority="25">
      <colorScale>
        <cfvo type="min"/>
        <cfvo type="max"/>
        <color rgb="FF63BE7B"/>
        <color rgb="FFFFEF9C"/>
      </colorScale>
    </cfRule>
  </conditionalFormatting>
  <conditionalFormatting sqref="Z19:Z120">
    <cfRule type="colorScale" priority="24">
      <colorScale>
        <cfvo type="min"/>
        <cfvo type="max"/>
        <color rgb="FF63BE7B"/>
        <color rgb="FFFFEF9C"/>
      </colorScale>
    </cfRule>
  </conditionalFormatting>
  <conditionalFormatting sqref="AA19:AA120">
    <cfRule type="colorScale" priority="23">
      <colorScale>
        <cfvo type="min"/>
        <cfvo type="max"/>
        <color rgb="FF63BE7B"/>
        <color rgb="FFFFEF9C"/>
      </colorScale>
    </cfRule>
  </conditionalFormatting>
  <conditionalFormatting sqref="Z124:Z436">
    <cfRule type="colorScale" priority="22">
      <colorScale>
        <cfvo type="min"/>
        <cfvo type="max"/>
        <color rgb="FF63BE7B"/>
        <color rgb="FFFFEF9C"/>
      </colorScale>
    </cfRule>
  </conditionalFormatting>
  <conditionalFormatting sqref="AA124:AA436">
    <cfRule type="colorScale" priority="21">
      <colorScale>
        <cfvo type="min"/>
        <cfvo type="max"/>
        <color rgb="FF63BE7B"/>
        <color rgb="FFFFEF9C"/>
      </colorScale>
    </cfRule>
  </conditionalFormatting>
  <conditionalFormatting sqref="AD19:AD120">
    <cfRule type="colorScale" priority="20">
      <colorScale>
        <cfvo type="min"/>
        <cfvo type="max"/>
        <color rgb="FF63BE7B"/>
        <color rgb="FFFFEF9C"/>
      </colorScale>
    </cfRule>
  </conditionalFormatting>
  <conditionalFormatting sqref="AE19:AE120">
    <cfRule type="colorScale" priority="19">
      <colorScale>
        <cfvo type="min"/>
        <cfvo type="max"/>
        <color rgb="FF63BE7B"/>
        <color rgb="FFFFEF9C"/>
      </colorScale>
    </cfRule>
  </conditionalFormatting>
  <conditionalFormatting sqref="AD124:AD436">
    <cfRule type="colorScale" priority="18">
      <colorScale>
        <cfvo type="min"/>
        <cfvo type="max"/>
        <color rgb="FF63BE7B"/>
        <color rgb="FFFFEF9C"/>
      </colorScale>
    </cfRule>
  </conditionalFormatting>
  <conditionalFormatting sqref="AE124:AE436">
    <cfRule type="colorScale" priority="17">
      <colorScale>
        <cfvo type="min"/>
        <cfvo type="max"/>
        <color rgb="FF63BE7B"/>
        <color rgb="FFFFEF9C"/>
      </colorScale>
    </cfRule>
  </conditionalFormatting>
  <conditionalFormatting sqref="AH19:AH120">
    <cfRule type="colorScale" priority="16">
      <colorScale>
        <cfvo type="min"/>
        <cfvo type="max"/>
        <color rgb="FF63BE7B"/>
        <color rgb="FFFFEF9C"/>
      </colorScale>
    </cfRule>
  </conditionalFormatting>
  <conditionalFormatting sqref="AI19:AI120">
    <cfRule type="colorScale" priority="15">
      <colorScale>
        <cfvo type="min"/>
        <cfvo type="max"/>
        <color rgb="FF63BE7B"/>
        <color rgb="FFFFEF9C"/>
      </colorScale>
    </cfRule>
  </conditionalFormatting>
  <conditionalFormatting sqref="AH124:AH436">
    <cfRule type="colorScale" priority="14">
      <colorScale>
        <cfvo type="min"/>
        <cfvo type="max"/>
        <color rgb="FF63BE7B"/>
        <color rgb="FFFFEF9C"/>
      </colorScale>
    </cfRule>
  </conditionalFormatting>
  <conditionalFormatting sqref="AI124:AI436">
    <cfRule type="colorScale" priority="13">
      <colorScale>
        <cfvo type="min"/>
        <cfvo type="max"/>
        <color rgb="FF63BE7B"/>
        <color rgb="FFFFEF9C"/>
      </colorScale>
    </cfRule>
  </conditionalFormatting>
  <conditionalFormatting sqref="AL19:AL120">
    <cfRule type="colorScale" priority="12">
      <colorScale>
        <cfvo type="min"/>
        <cfvo type="max"/>
        <color rgb="FF63BE7B"/>
        <color rgb="FFFFEF9C"/>
      </colorScale>
    </cfRule>
  </conditionalFormatting>
  <conditionalFormatting sqref="AM19:AM120">
    <cfRule type="colorScale" priority="11">
      <colorScale>
        <cfvo type="min"/>
        <cfvo type="max"/>
        <color rgb="FF63BE7B"/>
        <color rgb="FFFFEF9C"/>
      </colorScale>
    </cfRule>
  </conditionalFormatting>
  <conditionalFormatting sqref="AL124:AL436">
    <cfRule type="colorScale" priority="10">
      <colorScale>
        <cfvo type="min"/>
        <cfvo type="max"/>
        <color rgb="FF63BE7B"/>
        <color rgb="FFFFEF9C"/>
      </colorScale>
    </cfRule>
  </conditionalFormatting>
  <conditionalFormatting sqref="AM124:AM436">
    <cfRule type="colorScale" priority="9">
      <colorScale>
        <cfvo type="min"/>
        <cfvo type="max"/>
        <color rgb="FF63BE7B"/>
        <color rgb="FFFFEF9C"/>
      </colorScale>
    </cfRule>
  </conditionalFormatting>
  <conditionalFormatting sqref="AP19:AP120">
    <cfRule type="colorScale" priority="8">
      <colorScale>
        <cfvo type="min"/>
        <cfvo type="max"/>
        <color rgb="FF63BE7B"/>
        <color rgb="FFFFEF9C"/>
      </colorScale>
    </cfRule>
  </conditionalFormatting>
  <conditionalFormatting sqref="AQ19:AQ120">
    <cfRule type="colorScale" priority="7">
      <colorScale>
        <cfvo type="min"/>
        <cfvo type="max"/>
        <color rgb="FF63BE7B"/>
        <color rgb="FFFFEF9C"/>
      </colorScale>
    </cfRule>
  </conditionalFormatting>
  <conditionalFormatting sqref="AP124:AP436">
    <cfRule type="colorScale" priority="6">
      <colorScale>
        <cfvo type="min"/>
        <cfvo type="max"/>
        <color rgb="FF63BE7B"/>
        <color rgb="FFFFEF9C"/>
      </colorScale>
    </cfRule>
  </conditionalFormatting>
  <conditionalFormatting sqref="AQ124:AQ436">
    <cfRule type="colorScale" priority="5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andPaste01">
                <anchor>
                  <from>
                    <xdr:col>0</xdr:col>
                    <xdr:colOff>16329</xdr:colOff>
                    <xdr:row>5</xdr:row>
                    <xdr:rowOff>234043</xdr:rowOff>
                  </from>
                  <to>
                    <xdr:col>1</xdr:col>
                    <xdr:colOff>212271</xdr:colOff>
                    <xdr:row>5</xdr:row>
                    <xdr:rowOff>522514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Graph">
                <anchor>
                  <from>
                    <xdr:col>1</xdr:col>
                    <xdr:colOff>375557</xdr:colOff>
                    <xdr:row>5</xdr:row>
                    <xdr:rowOff>234043</xdr:rowOff>
                  </from>
                  <to>
                    <xdr:col>2</xdr:col>
                    <xdr:colOff>571500</xdr:colOff>
                    <xdr:row>5</xdr:row>
                    <xdr:rowOff>522514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Data01">
                <anchor moveWithCells="1" sizeWithCells="1">
                  <from>
                    <xdr:col>0</xdr:col>
                    <xdr:colOff>0</xdr:colOff>
                    <xdr:row>1</xdr:row>
                    <xdr:rowOff>5443</xdr:rowOff>
                  </from>
                  <to>
                    <xdr:col>0</xdr:col>
                    <xdr:colOff>576943</xdr:colOff>
                    <xdr:row>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59352-9801-4194-841A-D537203B1F01}">
  <sheetPr codeName="Sheet3"/>
  <dimension ref="A1:AH202"/>
  <sheetViews>
    <sheetView zoomScaleNormal="100" workbookViewId="0">
      <selection sqref="A1:A2"/>
    </sheetView>
  </sheetViews>
  <sheetFormatPr defaultRowHeight="11.6" x14ac:dyDescent="0.25"/>
  <cols>
    <col min="1" max="1" width="9.23046875" style="33" customWidth="1"/>
    <col min="2" max="2" width="9.23046875" style="22" customWidth="1"/>
    <col min="3" max="3" width="11.07421875" style="22" customWidth="1"/>
    <col min="4" max="4" width="9.23046875" style="22" customWidth="1"/>
    <col min="5" max="5" width="11.07421875" style="22" customWidth="1"/>
    <col min="6" max="6" width="21.15234375" style="27" customWidth="1"/>
    <col min="7" max="10" width="9.23046875" style="31" customWidth="1"/>
    <col min="11" max="11" width="9.23046875" style="34" customWidth="1"/>
    <col min="12" max="12" width="4.921875" style="6" customWidth="1"/>
    <col min="13" max="17" width="9.23046875" style="5"/>
    <col min="18" max="19" width="9.23046875" style="5" customWidth="1"/>
    <col min="20" max="20" width="4.921875" style="5" customWidth="1"/>
    <col min="21" max="21" width="9.23046875" style="7" customWidth="1"/>
    <col min="22" max="22" width="9.23046875" style="7"/>
    <col min="23" max="23" width="9.23046875" style="5"/>
    <col min="24" max="24" width="9.23046875" style="7"/>
    <col min="25" max="33" width="9.23046875" style="5"/>
    <col min="34" max="34" width="9.23046875" style="7"/>
    <col min="35" max="16384" width="9.23046875" style="5"/>
  </cols>
  <sheetData>
    <row r="1" spans="1:34" ht="23.6" customHeight="1" x14ac:dyDescent="0.25">
      <c r="A1" s="121" t="s">
        <v>1</v>
      </c>
      <c r="B1" s="35" t="s">
        <v>39</v>
      </c>
      <c r="C1" s="35" t="s">
        <v>38</v>
      </c>
      <c r="D1" s="35" t="s">
        <v>37</v>
      </c>
      <c r="E1" s="35" t="s">
        <v>55</v>
      </c>
      <c r="F1" s="35" t="s">
        <v>40</v>
      </c>
      <c r="G1" s="126" t="s">
        <v>35</v>
      </c>
      <c r="H1" s="127"/>
      <c r="I1" s="127"/>
      <c r="J1" s="128"/>
      <c r="K1" s="36" t="s">
        <v>32</v>
      </c>
      <c r="M1" s="124" t="s">
        <v>53</v>
      </c>
      <c r="N1" s="117" t="s">
        <v>54</v>
      </c>
      <c r="O1" s="117"/>
      <c r="P1" s="117"/>
      <c r="Q1" s="117"/>
      <c r="R1" s="117"/>
      <c r="S1" s="118"/>
      <c r="T1" s="9"/>
      <c r="U1" s="8" t="s">
        <v>44</v>
      </c>
      <c r="V1" s="23" t="s">
        <v>50</v>
      </c>
      <c r="W1" s="4" t="s">
        <v>1</v>
      </c>
      <c r="X1" s="8" t="s">
        <v>45</v>
      </c>
      <c r="Y1" s="24" t="s">
        <v>46</v>
      </c>
      <c r="Z1" s="24" t="s">
        <v>47</v>
      </c>
      <c r="AA1" s="24" t="s">
        <v>48</v>
      </c>
      <c r="AB1" s="24" t="s">
        <v>49</v>
      </c>
      <c r="AC1" s="24"/>
      <c r="AD1" s="24"/>
      <c r="AE1" s="24"/>
      <c r="AF1" s="24"/>
      <c r="AG1" s="24"/>
    </row>
    <row r="2" spans="1:34" s="11" customFormat="1" ht="23.6" thickBot="1" x14ac:dyDescent="0.3">
      <c r="A2" s="122"/>
      <c r="B2" s="29" t="s">
        <v>41</v>
      </c>
      <c r="C2" s="29" t="s">
        <v>42</v>
      </c>
      <c r="D2" s="29" t="s">
        <v>42</v>
      </c>
      <c r="E2" s="29" t="s">
        <v>56</v>
      </c>
      <c r="F2" s="29" t="s">
        <v>43</v>
      </c>
      <c r="G2" s="30" t="s">
        <v>64</v>
      </c>
      <c r="H2" s="30" t="s">
        <v>65</v>
      </c>
      <c r="I2" s="30" t="s">
        <v>66</v>
      </c>
      <c r="J2" s="30" t="s">
        <v>67</v>
      </c>
      <c r="K2" s="32" t="s">
        <v>31</v>
      </c>
      <c r="M2" s="125"/>
      <c r="N2" s="119"/>
      <c r="O2" s="119"/>
      <c r="P2" s="119"/>
      <c r="Q2" s="119"/>
      <c r="R2" s="119"/>
      <c r="S2" s="120"/>
      <c r="T2" s="12"/>
      <c r="U2" s="19" t="s">
        <v>23</v>
      </c>
      <c r="V2" s="20" t="s">
        <v>5</v>
      </c>
      <c r="W2" s="13" t="s">
        <v>7</v>
      </c>
      <c r="X2" s="19" t="s">
        <v>19</v>
      </c>
      <c r="Y2" s="10" t="s">
        <v>19</v>
      </c>
      <c r="Z2" s="10" t="s">
        <v>19</v>
      </c>
      <c r="AA2" s="10" t="s">
        <v>19</v>
      </c>
      <c r="AB2" s="10" t="s">
        <v>19</v>
      </c>
      <c r="AC2" s="10" t="s">
        <v>19</v>
      </c>
      <c r="AD2" s="10" t="s">
        <v>19</v>
      </c>
      <c r="AE2" s="10" t="s">
        <v>19</v>
      </c>
      <c r="AF2" s="10" t="s">
        <v>19</v>
      </c>
      <c r="AG2" s="10" t="s">
        <v>19</v>
      </c>
      <c r="AH2" s="21"/>
    </row>
    <row r="3" spans="1:34" ht="12" thickTop="1" x14ac:dyDescent="0.25">
      <c r="A3" s="33" t="s">
        <v>45</v>
      </c>
      <c r="B3" s="22" cm="1">
        <f t="array" aca="1" ref="B3" ca="1">IFERROR(INDIRECT("List"&amp;"!"&amp;ADDRESS(MATCH($A3,List!$B:$B,0),MATCH($B$1,List!$1:$1,0),4)),"")</f>
        <v>10</v>
      </c>
      <c r="C3" s="22" cm="1">
        <f t="array" aca="1" ref="C3" ca="1">IFERROR(INDIRECT("List"&amp;"!"&amp;ADDRESS(MATCH($A3,List!$B:$B,0),MATCH($C$1,List!$1:$1,0),4)),"")</f>
        <v>1000</v>
      </c>
      <c r="D3" s="22" cm="1">
        <f t="array" aca="1" ref="D3" ca="1">IFERROR(INDIRECT("List"&amp;"!"&amp;ADDRESS(MATCH($A3,List!$B:$B,0),MATCH($D$1,List!$1:$1,0),4)),"")</f>
        <v>500</v>
      </c>
      <c r="E3" s="22" cm="1">
        <f t="array" aca="1" ref="E3" ca="1">IFERROR(INDIRECT("List"&amp;"!"&amp;ADDRESS(MATCH($A3,List!$B:$B,0),MATCH($E$1,List!$1:$1,0),4)),"")</f>
        <v>50</v>
      </c>
      <c r="F3" s="27" t="str" cm="1">
        <f t="array" aca="1" ref="F3" ca="1">IFERROR(INDIRECT("List"&amp;"!"&amp;ADDRESS(MATCH($A3,List!$B:$B,0),MATCH($F$1,List!$1:$1,0),4)),"")</f>
        <v>100Ar / 60SF6 / 40O2</v>
      </c>
      <c r="G3" s="31" t="str" cm="1">
        <f t="array" aca="1" ref="G3" ca="1">IFERROR(INDIRECT("Data"&amp;"!"&amp;ADDRESS(MATCH($G$1,Data!$A$1:$A$20,0),MATCH($A3,Data!$2:$2,0)+3,4)),"")</f>
        <v/>
      </c>
      <c r="H3" s="31" t="str" cm="1">
        <f t="array" aca="1" ref="H3" ca="1">IFERROR(INDIRECT("Data"&amp;"!"&amp;ADDRESS(MATCH($G$1,Data!$A$1:$A$20,0),MATCH($A3,Data!$2:$2,0),4)),"")</f>
        <v/>
      </c>
      <c r="I3" s="31" t="str" cm="1">
        <f t="array" aca="1" ref="I3" ca="1">IFERROR(INDIRECT("Data"&amp;"!"&amp;ADDRESS(MATCH($G$1,Data!$A$1:$A$20,0),MATCH($A3,Data!$2:$2,0)+1,4)),"")</f>
        <v/>
      </c>
      <c r="J3" s="31" t="str" cm="1">
        <f t="array" aca="1" ref="J3" ca="1">IFERROR(INDIRECT("Data"&amp;"!"&amp;ADDRESS(MATCH($G$1,Data!$A$1:$A$20,0),MATCH($A3,Data!$2:$2,0)+2,4)),"")</f>
        <v/>
      </c>
      <c r="K3" s="34" t="str" cm="1">
        <f t="array" aca="1" ref="K3" ca="1">IFERROR(INDIRECT("Data"&amp;"!"&amp;ADDRESS(MATCH($K$1,Data!$A$1:$A$20,0),MATCH($A3,Data!$2:$2,0)+2,4)),"")</f>
        <v/>
      </c>
      <c r="M3" s="123" t="s">
        <v>51</v>
      </c>
      <c r="N3" s="17"/>
      <c r="O3" s="17"/>
      <c r="P3" s="17"/>
      <c r="Q3" s="17"/>
      <c r="R3" s="17"/>
      <c r="S3" s="18"/>
      <c r="T3" s="6"/>
      <c r="U3" s="7">
        <v>0</v>
      </c>
      <c r="V3" s="7">
        <v>-98</v>
      </c>
      <c r="W3" s="5">
        <v>0</v>
      </c>
      <c r="X3" s="7" t="str" cm="1">
        <f t="array" aca="1" ref="X3" ca="1">IFERROR(INDIRECT("Data"&amp;"!"&amp;ADDRESS(MATCH($V$1,Data!$A:$A,0)+3+$U3,MATCH(X$1,Data!$2:$2,0)+3,4)),"")</f>
        <v/>
      </c>
      <c r="Y3" s="5" t="str" cm="1">
        <f t="array" aca="1" ref="Y3" ca="1">IFERROR(INDIRECT("Data"&amp;"!"&amp;ADDRESS(MATCH($V$1,Data!$A:$A,0)+3+$U3,MATCH(Y$1,Data!$2:$2,0)+3,4)),"")</f>
        <v/>
      </c>
      <c r="Z3" s="5" t="str" cm="1">
        <f t="array" aca="1" ref="Z3" ca="1">IFERROR(INDIRECT("Data"&amp;"!"&amp;ADDRESS(MATCH($V$1,Data!$A:$A,0)+3+$U3,MATCH(Z$1,Data!$2:$2,0)+3,4)),"")</f>
        <v/>
      </c>
      <c r="AA3" s="5" t="str" cm="1">
        <f t="array" aca="1" ref="AA3" ca="1">IFERROR(INDIRECT("Data"&amp;"!"&amp;ADDRESS(MATCH($V$1,Data!$A:$A,0)+3+$U3,MATCH(AA$1,Data!$2:$2,0)+3,4)),"")</f>
        <v/>
      </c>
      <c r="AB3" s="5" t="str" cm="1">
        <f t="array" aca="1" ref="AB3" ca="1">IFERROR(INDIRECT("Data"&amp;"!"&amp;ADDRESS(MATCH($V$1,Data!$A:$A,0)+3+$U3,MATCH(AB$1,Data!$2:$2,0)+3,4)),"")</f>
        <v/>
      </c>
      <c r="AC3" s="5" t="str" cm="1">
        <f t="array" aca="1" ref="AC3" ca="1">IFERROR(INDIRECT("Data"&amp;"!"&amp;ADDRESS(MATCH($V$1,Data!$A:$A,0)+3+$U3,MATCH(AC$1,Data!$2:$2,0)+3,4)),"")</f>
        <v/>
      </c>
      <c r="AD3" s="5" t="str" cm="1">
        <f t="array" aca="1" ref="AD3" ca="1">IFERROR(INDIRECT("Data"&amp;"!"&amp;ADDRESS(MATCH($V$1,Data!$A:$A,0)+3+$U3,MATCH(AD$1,Data!$2:$2,0)+3,4)),"")</f>
        <v/>
      </c>
      <c r="AE3" s="5" t="str" cm="1">
        <f t="array" aca="1" ref="AE3" ca="1">IFERROR(INDIRECT("Data"&amp;"!"&amp;ADDRESS(MATCH($V$1,Data!$A:$A,0)+3+$U3,MATCH(AE$1,Data!$2:$2,0)+3,4)),"")</f>
        <v/>
      </c>
      <c r="AF3" s="5" t="str" cm="1">
        <f t="array" aca="1" ref="AF3" ca="1">IFERROR(INDIRECT("Data"&amp;"!"&amp;ADDRESS(MATCH($V$1,Data!$A:$A,0)+3+$U3,MATCH(AF$1,Data!$2:$2,0)+3,4)),"")</f>
        <v/>
      </c>
      <c r="AG3" s="5" t="str" cm="1">
        <f t="array" aca="1" ref="AG3" ca="1">IFERROR(INDIRECT("Data"&amp;"!"&amp;ADDRESS(MATCH($V$1,Data!$A:$A,0)+3+$U3,MATCH(AG$1,Data!$2:$2,0)+3,4)),"")</f>
        <v/>
      </c>
    </row>
    <row r="4" spans="1:34" x14ac:dyDescent="0.25">
      <c r="A4" s="33" t="s">
        <v>46</v>
      </c>
      <c r="B4" s="22" cm="1">
        <f t="array" aca="1" ref="B4" ca="1">IFERROR(INDIRECT("List"&amp;"!"&amp;ADDRESS(MATCH($A4,List!$B:$B,0),MATCH($B$1,List!$1:$1,0),4)),"")</f>
        <v>9</v>
      </c>
      <c r="C4" s="22" cm="1">
        <f t="array" aca="1" ref="C4" ca="1">IFERROR(INDIRECT("List"&amp;"!"&amp;ADDRESS(MATCH($A4,List!$B:$B,0),MATCH($C$1,List!$1:$1,0),4)),"")</f>
        <v>1000</v>
      </c>
      <c r="D4" s="22" cm="1">
        <f t="array" aca="1" ref="D4" ca="1">IFERROR(INDIRECT("List"&amp;"!"&amp;ADDRESS(MATCH($A4,List!$B:$B,0),MATCH($D$1,List!$1:$1,0),4)),"")</f>
        <v>450</v>
      </c>
      <c r="E4" s="22" cm="1">
        <f t="array" aca="1" ref="E4" ca="1">IFERROR(INDIRECT("List"&amp;"!"&amp;ADDRESS(MATCH($A4,List!$B:$B,0),MATCH($E$1,List!$1:$1,0),4)),"")</f>
        <v>50</v>
      </c>
      <c r="F4" s="27" t="str" cm="1">
        <f t="array" aca="1" ref="F4" ca="1">IFERROR(INDIRECT("List"&amp;"!"&amp;ADDRESS(MATCH($A4,List!$B:$B,0),MATCH($F$1,List!$1:$1,0),4)),"")</f>
        <v>100Ar / 60SF6 / 40O2</v>
      </c>
      <c r="G4" s="31" t="str" cm="1">
        <f t="array" aca="1" ref="G4" ca="1">IFERROR(INDIRECT("Data"&amp;"!"&amp;ADDRESS(MATCH($G$1,Data!$A$1:$A$20,0),MATCH($A4,Data!$2:$2,0)+3,4)),"")</f>
        <v/>
      </c>
      <c r="H4" s="31" t="str" cm="1">
        <f t="array" aca="1" ref="H4" ca="1">IFERROR(INDIRECT("Data"&amp;"!"&amp;ADDRESS(MATCH($G$1,Data!$A$1:$A$20,0),MATCH($A4,Data!$2:$2,0),4)),"")</f>
        <v/>
      </c>
      <c r="I4" s="31" t="str" cm="1">
        <f t="array" aca="1" ref="I4" ca="1">IFERROR(INDIRECT("Data"&amp;"!"&amp;ADDRESS(MATCH($G$1,Data!$A$1:$A$20,0),MATCH($A4,Data!$2:$2,0)+1,4)),"")</f>
        <v/>
      </c>
      <c r="J4" s="31" t="str" cm="1">
        <f t="array" aca="1" ref="J4" ca="1">IFERROR(INDIRECT("Data"&amp;"!"&amp;ADDRESS(MATCH($G$1,Data!$A$1:$A$20,0),MATCH($A4,Data!$2:$2,0)+2,4)),"")</f>
        <v/>
      </c>
      <c r="K4" s="34" t="str" cm="1">
        <f t="array" aca="1" ref="K4" ca="1">IFERROR(INDIRECT("Data"&amp;"!"&amp;ADDRESS(MATCH($K$1,Data!$A$1:$A$20,0),MATCH($A4,Data!$2:$2,0)+2,4)),"")</f>
        <v/>
      </c>
      <c r="M4" s="115"/>
      <c r="N4" s="6"/>
      <c r="O4" s="6"/>
      <c r="P4" s="6"/>
      <c r="Q4" s="6"/>
      <c r="R4" s="6"/>
      <c r="S4" s="14"/>
      <c r="T4" s="6"/>
      <c r="U4" s="7">
        <v>1</v>
      </c>
      <c r="V4" s="7">
        <v>-97</v>
      </c>
      <c r="W4" s="5">
        <v>0</v>
      </c>
      <c r="X4" s="7" t="str" cm="1">
        <f t="array" aca="1" ref="X4" ca="1">IFERROR(INDIRECT("Data"&amp;"!"&amp;ADDRESS(MATCH($V$1,Data!$A:$A,0)+3+$U4,MATCH(X$1,Data!$2:$2,0)+3,4)),"")</f>
        <v/>
      </c>
      <c r="Y4" s="5" t="str" cm="1">
        <f t="array" aca="1" ref="Y4" ca="1">IFERROR(INDIRECT("Data"&amp;"!"&amp;ADDRESS(MATCH($V$1,Data!$A:$A,0)+3+$U4,MATCH(Y$1,Data!$2:$2,0)+3,4)),"")</f>
        <v/>
      </c>
      <c r="Z4" s="5" t="str" cm="1">
        <f t="array" aca="1" ref="Z4" ca="1">IFERROR(INDIRECT("Data"&amp;"!"&amp;ADDRESS(MATCH($V$1,Data!$A:$A,0)+3+$U4,MATCH(Z$1,Data!$2:$2,0)+3,4)),"")</f>
        <v/>
      </c>
      <c r="AA4" s="5" t="str" cm="1">
        <f t="array" aca="1" ref="AA4" ca="1">IFERROR(INDIRECT("Data"&amp;"!"&amp;ADDRESS(MATCH($V$1,Data!$A:$A,0)+3+$U4,MATCH(AA$1,Data!$2:$2,0)+3,4)),"")</f>
        <v/>
      </c>
      <c r="AB4" s="5" t="str" cm="1">
        <f t="array" aca="1" ref="AB4" ca="1">IFERROR(INDIRECT("Data"&amp;"!"&amp;ADDRESS(MATCH($V$1,Data!$A:$A,0)+3+$U4,MATCH(AB$1,Data!$2:$2,0)+3,4)),"")</f>
        <v/>
      </c>
      <c r="AC4" s="5" t="str" cm="1">
        <f t="array" aca="1" ref="AC4" ca="1">IFERROR(INDIRECT("Data"&amp;"!"&amp;ADDRESS(MATCH($V$1,Data!$A:$A,0)+3+$U4,MATCH(AC$1,Data!$2:$2,0)+3,4)),"")</f>
        <v/>
      </c>
      <c r="AD4" s="5" t="str" cm="1">
        <f t="array" aca="1" ref="AD4" ca="1">IFERROR(INDIRECT("Data"&amp;"!"&amp;ADDRESS(MATCH($V$1,Data!$A:$A,0)+3+$U4,MATCH(AD$1,Data!$2:$2,0)+3,4)),"")</f>
        <v/>
      </c>
      <c r="AE4" s="5" t="str" cm="1">
        <f t="array" aca="1" ref="AE4" ca="1">IFERROR(INDIRECT("Data"&amp;"!"&amp;ADDRESS(MATCH($V$1,Data!$A:$A,0)+3+$U4,MATCH(AE$1,Data!$2:$2,0)+3,4)),"")</f>
        <v/>
      </c>
      <c r="AF4" s="5" t="str" cm="1">
        <f t="array" aca="1" ref="AF4" ca="1">IFERROR(INDIRECT("Data"&amp;"!"&amp;ADDRESS(MATCH($V$1,Data!$A:$A,0)+3+$U4,MATCH(AF$1,Data!$2:$2,0)+3,4)),"")</f>
        <v/>
      </c>
      <c r="AG4" s="5" t="str" cm="1">
        <f t="array" aca="1" ref="AG4" ca="1">IFERROR(INDIRECT("Data"&amp;"!"&amp;ADDRESS(MATCH($V$1,Data!$A:$A,0)+3+$U4,MATCH(AG$1,Data!$2:$2,0)+3,4)),"")</f>
        <v/>
      </c>
    </row>
    <row r="5" spans="1:34" x14ac:dyDescent="0.25">
      <c r="A5" s="33" t="s">
        <v>47</v>
      </c>
      <c r="B5" s="22" cm="1">
        <f t="array" aca="1" ref="B5" ca="1">IFERROR(INDIRECT("List"&amp;"!"&amp;ADDRESS(MATCH($A5,List!$B:$B,0),MATCH($B$1,List!$1:$1,0),4)),"")</f>
        <v>8</v>
      </c>
      <c r="C5" s="22" cm="1">
        <f t="array" aca="1" ref="C5" ca="1">IFERROR(INDIRECT("List"&amp;"!"&amp;ADDRESS(MATCH($A5,List!$B:$B,0),MATCH($C$1,List!$1:$1,0),4)),"")</f>
        <v>1000</v>
      </c>
      <c r="D5" s="22" cm="1">
        <f t="array" aca="1" ref="D5" ca="1">IFERROR(INDIRECT("List"&amp;"!"&amp;ADDRESS(MATCH($A5,List!$B:$B,0),MATCH($D$1,List!$1:$1,0),4)),"")</f>
        <v>400</v>
      </c>
      <c r="E5" s="22" cm="1">
        <f t="array" aca="1" ref="E5" ca="1">IFERROR(INDIRECT("List"&amp;"!"&amp;ADDRESS(MATCH($A5,List!$B:$B,0),MATCH($E$1,List!$1:$1,0),4)),"")</f>
        <v>50</v>
      </c>
      <c r="F5" s="27" t="str" cm="1">
        <f t="array" aca="1" ref="F5" ca="1">IFERROR(INDIRECT("List"&amp;"!"&amp;ADDRESS(MATCH($A5,List!$B:$B,0),MATCH($F$1,List!$1:$1,0),4)),"")</f>
        <v>100Ar / 60SF6 / 40O2</v>
      </c>
      <c r="G5" s="31" t="str" cm="1">
        <f t="array" aca="1" ref="G5" ca="1">IFERROR(INDIRECT("Data"&amp;"!"&amp;ADDRESS(MATCH($G$1,Data!$A$1:$A$20,0),MATCH($A5,Data!$2:$2,0)+3,4)),"")</f>
        <v/>
      </c>
      <c r="H5" s="31" t="str" cm="1">
        <f t="array" aca="1" ref="H5" ca="1">IFERROR(INDIRECT("Data"&amp;"!"&amp;ADDRESS(MATCH($G$1,Data!$A$1:$A$20,0),MATCH($A5,Data!$2:$2,0),4)),"")</f>
        <v/>
      </c>
      <c r="I5" s="31" t="str" cm="1">
        <f t="array" aca="1" ref="I5" ca="1">IFERROR(INDIRECT("Data"&amp;"!"&amp;ADDRESS(MATCH($G$1,Data!$A$1:$A$20,0),MATCH($A5,Data!$2:$2,0)+1,4)),"")</f>
        <v/>
      </c>
      <c r="J5" s="31" t="str" cm="1">
        <f t="array" aca="1" ref="J5" ca="1">IFERROR(INDIRECT("Data"&amp;"!"&amp;ADDRESS(MATCH($G$1,Data!$A$1:$A$20,0),MATCH($A5,Data!$2:$2,0)+2,4)),"")</f>
        <v/>
      </c>
      <c r="K5" s="34" t="str" cm="1">
        <f t="array" aca="1" ref="K5" ca="1">IFERROR(INDIRECT("Data"&amp;"!"&amp;ADDRESS(MATCH($K$1,Data!$A$1:$A$20,0),MATCH($A5,Data!$2:$2,0)+2,4)),"")</f>
        <v/>
      </c>
      <c r="M5" s="115"/>
      <c r="N5" s="6"/>
      <c r="O5" s="6"/>
      <c r="P5" s="6"/>
      <c r="Q5" s="6"/>
      <c r="R5" s="6"/>
      <c r="S5" s="14"/>
      <c r="T5" s="6"/>
      <c r="U5" s="7">
        <v>2</v>
      </c>
      <c r="V5" s="7">
        <v>-96</v>
      </c>
      <c r="W5" s="5">
        <v>0</v>
      </c>
      <c r="X5" s="7" t="str" cm="1">
        <f t="array" aca="1" ref="X5" ca="1">IFERROR(INDIRECT("Data"&amp;"!"&amp;ADDRESS(MATCH($V$1,Data!$A:$A,0)+3+$U5,MATCH(X$1,Data!$2:$2,0)+3,4)),"")</f>
        <v/>
      </c>
      <c r="Y5" s="5" t="str" cm="1">
        <f t="array" aca="1" ref="Y5" ca="1">IFERROR(INDIRECT("Data"&amp;"!"&amp;ADDRESS(MATCH($V$1,Data!$A:$A,0)+3+$U5,MATCH(Y$1,Data!$2:$2,0)+3,4)),"")</f>
        <v/>
      </c>
      <c r="Z5" s="5" t="str" cm="1">
        <f t="array" aca="1" ref="Z5" ca="1">IFERROR(INDIRECT("Data"&amp;"!"&amp;ADDRESS(MATCH($V$1,Data!$A:$A,0)+3+$U5,MATCH(Z$1,Data!$2:$2,0)+3,4)),"")</f>
        <v/>
      </c>
      <c r="AA5" s="5" t="str" cm="1">
        <f t="array" aca="1" ref="AA5" ca="1">IFERROR(INDIRECT("Data"&amp;"!"&amp;ADDRESS(MATCH($V$1,Data!$A:$A,0)+3+$U5,MATCH(AA$1,Data!$2:$2,0)+3,4)),"")</f>
        <v/>
      </c>
      <c r="AB5" s="5" t="str" cm="1">
        <f t="array" aca="1" ref="AB5" ca="1">IFERROR(INDIRECT("Data"&amp;"!"&amp;ADDRESS(MATCH($V$1,Data!$A:$A,0)+3+$U5,MATCH(AB$1,Data!$2:$2,0)+3,4)),"")</f>
        <v/>
      </c>
      <c r="AC5" s="5" t="str" cm="1">
        <f t="array" aca="1" ref="AC5" ca="1">IFERROR(INDIRECT("Data"&amp;"!"&amp;ADDRESS(MATCH($V$1,Data!$A:$A,0)+3+$U5,MATCH(AC$1,Data!$2:$2,0)+3,4)),"")</f>
        <v/>
      </c>
      <c r="AD5" s="5" t="str" cm="1">
        <f t="array" aca="1" ref="AD5" ca="1">IFERROR(INDIRECT("Data"&amp;"!"&amp;ADDRESS(MATCH($V$1,Data!$A:$A,0)+3+$U5,MATCH(AD$1,Data!$2:$2,0)+3,4)),"")</f>
        <v/>
      </c>
      <c r="AE5" s="5" t="str" cm="1">
        <f t="array" aca="1" ref="AE5" ca="1">IFERROR(INDIRECT("Data"&amp;"!"&amp;ADDRESS(MATCH($V$1,Data!$A:$A,0)+3+$U5,MATCH(AE$1,Data!$2:$2,0)+3,4)),"")</f>
        <v/>
      </c>
      <c r="AF5" s="5" t="str" cm="1">
        <f t="array" aca="1" ref="AF5" ca="1">IFERROR(INDIRECT("Data"&amp;"!"&amp;ADDRESS(MATCH($V$1,Data!$A:$A,0)+3+$U5,MATCH(AF$1,Data!$2:$2,0)+3,4)),"")</f>
        <v/>
      </c>
      <c r="AG5" s="5" t="str" cm="1">
        <f t="array" aca="1" ref="AG5" ca="1">IFERROR(INDIRECT("Data"&amp;"!"&amp;ADDRESS(MATCH($V$1,Data!$A:$A,0)+3+$U5,MATCH(AG$1,Data!$2:$2,0)+3,4)),"")</f>
        <v/>
      </c>
    </row>
    <row r="6" spans="1:34" x14ac:dyDescent="0.25">
      <c r="A6" s="33" t="s">
        <v>48</v>
      </c>
      <c r="B6" s="22" cm="1">
        <f t="array" aca="1" ref="B6" ca="1">IFERROR(INDIRECT("List"&amp;"!"&amp;ADDRESS(MATCH($A6,List!$B:$B,0),MATCH($B$1,List!$1:$1,0),4)),"")</f>
        <v>7</v>
      </c>
      <c r="C6" s="22" cm="1">
        <f t="array" aca="1" ref="C6" ca="1">IFERROR(INDIRECT("List"&amp;"!"&amp;ADDRESS(MATCH($A6,List!$B:$B,0),MATCH($C$1,List!$1:$1,0),4)),"")</f>
        <v>1000</v>
      </c>
      <c r="D6" s="22" cm="1">
        <f t="array" aca="1" ref="D6" ca="1">IFERROR(INDIRECT("List"&amp;"!"&amp;ADDRESS(MATCH($A6,List!$B:$B,0),MATCH($D$1,List!$1:$1,0),4)),"")</f>
        <v>350</v>
      </c>
      <c r="E6" s="22" cm="1">
        <f t="array" aca="1" ref="E6" ca="1">IFERROR(INDIRECT("List"&amp;"!"&amp;ADDRESS(MATCH($A6,List!$B:$B,0),MATCH($E$1,List!$1:$1,0),4)),"")</f>
        <v>50</v>
      </c>
      <c r="F6" s="27" t="str" cm="1">
        <f t="array" aca="1" ref="F6" ca="1">IFERROR(INDIRECT("List"&amp;"!"&amp;ADDRESS(MATCH($A6,List!$B:$B,0),MATCH($F$1,List!$1:$1,0),4)),"")</f>
        <v>100Ar / 60SF6 / 40O2</v>
      </c>
      <c r="G6" s="31" t="str" cm="1">
        <f t="array" aca="1" ref="G6" ca="1">IFERROR(INDIRECT("Data"&amp;"!"&amp;ADDRESS(MATCH($G$1,Data!$A$1:$A$20,0),MATCH($A6,Data!$2:$2,0)+3,4)),"")</f>
        <v/>
      </c>
      <c r="H6" s="31" t="str" cm="1">
        <f t="array" aca="1" ref="H6" ca="1">IFERROR(INDIRECT("Data"&amp;"!"&amp;ADDRESS(MATCH($G$1,Data!$A$1:$A$20,0),MATCH($A6,Data!$2:$2,0),4)),"")</f>
        <v/>
      </c>
      <c r="I6" s="31" t="str" cm="1">
        <f t="array" aca="1" ref="I6" ca="1">IFERROR(INDIRECT("Data"&amp;"!"&amp;ADDRESS(MATCH($G$1,Data!$A$1:$A$20,0),MATCH($A6,Data!$2:$2,0)+1,4)),"")</f>
        <v/>
      </c>
      <c r="J6" s="31" t="str" cm="1">
        <f t="array" aca="1" ref="J6" ca="1">IFERROR(INDIRECT("Data"&amp;"!"&amp;ADDRESS(MATCH($G$1,Data!$A$1:$A$20,0),MATCH($A6,Data!$2:$2,0)+2,4)),"")</f>
        <v/>
      </c>
      <c r="K6" s="34" t="str" cm="1">
        <f t="array" aca="1" ref="K6" ca="1">IFERROR(INDIRECT("Data"&amp;"!"&amp;ADDRESS(MATCH($K$1,Data!$A$1:$A$20,0),MATCH($A6,Data!$2:$2,0)+2,4)),"")</f>
        <v/>
      </c>
      <c r="M6" s="115"/>
      <c r="N6" s="6"/>
      <c r="O6" s="6"/>
      <c r="P6" s="6"/>
      <c r="Q6" s="6"/>
      <c r="R6" s="6"/>
      <c r="S6" s="14"/>
      <c r="T6" s="6"/>
      <c r="U6" s="7">
        <v>3</v>
      </c>
      <c r="V6" s="7">
        <v>-95</v>
      </c>
      <c r="W6" s="5">
        <v>0</v>
      </c>
      <c r="X6" s="7" t="str" cm="1">
        <f t="array" aca="1" ref="X6" ca="1">IFERROR(INDIRECT("Data"&amp;"!"&amp;ADDRESS(MATCH($V$1,Data!$A:$A,0)+3+$U6,MATCH(X$1,Data!$2:$2,0)+3,4)),"")</f>
        <v/>
      </c>
      <c r="Y6" s="5" t="str" cm="1">
        <f t="array" aca="1" ref="Y6" ca="1">IFERROR(INDIRECT("Data"&amp;"!"&amp;ADDRESS(MATCH($V$1,Data!$A:$A,0)+3+$U6,MATCH(Y$1,Data!$2:$2,0)+3,4)),"")</f>
        <v/>
      </c>
      <c r="Z6" s="5" t="str" cm="1">
        <f t="array" aca="1" ref="Z6" ca="1">IFERROR(INDIRECT("Data"&amp;"!"&amp;ADDRESS(MATCH($V$1,Data!$A:$A,0)+3+$U6,MATCH(Z$1,Data!$2:$2,0)+3,4)),"")</f>
        <v/>
      </c>
      <c r="AA6" s="5" t="str" cm="1">
        <f t="array" aca="1" ref="AA6" ca="1">IFERROR(INDIRECT("Data"&amp;"!"&amp;ADDRESS(MATCH($V$1,Data!$A:$A,0)+3+$U6,MATCH(AA$1,Data!$2:$2,0)+3,4)),"")</f>
        <v/>
      </c>
      <c r="AB6" s="5" t="str" cm="1">
        <f t="array" aca="1" ref="AB6" ca="1">IFERROR(INDIRECT("Data"&amp;"!"&amp;ADDRESS(MATCH($V$1,Data!$A:$A,0)+3+$U6,MATCH(AB$1,Data!$2:$2,0)+3,4)),"")</f>
        <v/>
      </c>
      <c r="AC6" s="5" t="str" cm="1">
        <f t="array" aca="1" ref="AC6" ca="1">IFERROR(INDIRECT("Data"&amp;"!"&amp;ADDRESS(MATCH($V$1,Data!$A:$A,0)+3+$U6,MATCH(AC$1,Data!$2:$2,0)+3,4)),"")</f>
        <v/>
      </c>
      <c r="AD6" s="5" t="str" cm="1">
        <f t="array" aca="1" ref="AD6" ca="1">IFERROR(INDIRECT("Data"&amp;"!"&amp;ADDRESS(MATCH($V$1,Data!$A:$A,0)+3+$U6,MATCH(AD$1,Data!$2:$2,0)+3,4)),"")</f>
        <v/>
      </c>
      <c r="AE6" s="5" t="str" cm="1">
        <f t="array" aca="1" ref="AE6" ca="1">IFERROR(INDIRECT("Data"&amp;"!"&amp;ADDRESS(MATCH($V$1,Data!$A:$A,0)+3+$U6,MATCH(AE$1,Data!$2:$2,0)+3,4)),"")</f>
        <v/>
      </c>
      <c r="AF6" s="5" t="str" cm="1">
        <f t="array" aca="1" ref="AF6" ca="1">IFERROR(INDIRECT("Data"&amp;"!"&amp;ADDRESS(MATCH($V$1,Data!$A:$A,0)+3+$U6,MATCH(AF$1,Data!$2:$2,0)+3,4)),"")</f>
        <v/>
      </c>
      <c r="AG6" s="5" t="str" cm="1">
        <f t="array" aca="1" ref="AG6" ca="1">IFERROR(INDIRECT("Data"&amp;"!"&amp;ADDRESS(MATCH($V$1,Data!$A:$A,0)+3+$U6,MATCH(AG$1,Data!$2:$2,0)+3,4)),"")</f>
        <v/>
      </c>
    </row>
    <row r="7" spans="1:34" x14ac:dyDescent="0.25">
      <c r="A7" s="33" t="s">
        <v>49</v>
      </c>
      <c r="B7" s="22" cm="1">
        <f t="array" aca="1" ref="B7" ca="1">IFERROR(INDIRECT("List"&amp;"!"&amp;ADDRESS(MATCH($A7,List!$B:$B,0),MATCH($B$1,List!$1:$1,0),4)),"")</f>
        <v>6</v>
      </c>
      <c r="C7" s="22" cm="1">
        <f t="array" aca="1" ref="C7" ca="1">IFERROR(INDIRECT("List"&amp;"!"&amp;ADDRESS(MATCH($A7,List!$B:$B,0),MATCH($C$1,List!$1:$1,0),4)),"")</f>
        <v>1000</v>
      </c>
      <c r="D7" s="22" cm="1">
        <f t="array" aca="1" ref="D7" ca="1">IFERROR(INDIRECT("List"&amp;"!"&amp;ADDRESS(MATCH($A7,List!$B:$B,0),MATCH($D$1,List!$1:$1,0),4)),"")</f>
        <v>300</v>
      </c>
      <c r="E7" s="22" cm="1">
        <f t="array" aca="1" ref="E7" ca="1">IFERROR(INDIRECT("List"&amp;"!"&amp;ADDRESS(MATCH($A7,List!$B:$B,0),MATCH($E$1,List!$1:$1,0),4)),"")</f>
        <v>50</v>
      </c>
      <c r="F7" s="27" t="str" cm="1">
        <f t="array" aca="1" ref="F7" ca="1">IFERROR(INDIRECT("List"&amp;"!"&amp;ADDRESS(MATCH($A7,List!$B:$B,0),MATCH($F$1,List!$1:$1,0),4)),"")</f>
        <v>100Ar / 60SF6 / 40O2</v>
      </c>
      <c r="G7" s="31" t="str" cm="1">
        <f t="array" aca="1" ref="G7" ca="1">IFERROR(INDIRECT("Data"&amp;"!"&amp;ADDRESS(MATCH($G$1,Data!$A$1:$A$20,0),MATCH($A7,Data!$2:$2,0)+3,4)),"")</f>
        <v/>
      </c>
      <c r="H7" s="31" t="str" cm="1">
        <f t="array" aca="1" ref="H7" ca="1">IFERROR(INDIRECT("Data"&amp;"!"&amp;ADDRESS(MATCH($G$1,Data!$A$1:$A$20,0),MATCH($A7,Data!$2:$2,0),4)),"")</f>
        <v/>
      </c>
      <c r="I7" s="31" t="str" cm="1">
        <f t="array" aca="1" ref="I7" ca="1">IFERROR(INDIRECT("Data"&amp;"!"&amp;ADDRESS(MATCH($G$1,Data!$A$1:$A$20,0),MATCH($A7,Data!$2:$2,0)+1,4)),"")</f>
        <v/>
      </c>
      <c r="J7" s="31" t="str" cm="1">
        <f t="array" aca="1" ref="J7" ca="1">IFERROR(INDIRECT("Data"&amp;"!"&amp;ADDRESS(MATCH($G$1,Data!$A$1:$A$20,0),MATCH($A7,Data!$2:$2,0)+2,4)),"")</f>
        <v/>
      </c>
      <c r="K7" s="34" t="str" cm="1">
        <f t="array" aca="1" ref="K7" ca="1">IFERROR(INDIRECT("Data"&amp;"!"&amp;ADDRESS(MATCH($K$1,Data!$A$1:$A$20,0),MATCH($A7,Data!$2:$2,0)+2,4)),"")</f>
        <v/>
      </c>
      <c r="M7" s="115"/>
      <c r="N7" s="6"/>
      <c r="O7" s="6"/>
      <c r="P7" s="6"/>
      <c r="Q7" s="6"/>
      <c r="R7" s="6"/>
      <c r="S7" s="14"/>
      <c r="T7" s="6"/>
      <c r="U7" s="7">
        <v>4</v>
      </c>
      <c r="V7" s="7">
        <v>-94</v>
      </c>
      <c r="W7" s="5">
        <v>0</v>
      </c>
      <c r="X7" s="7" t="str" cm="1">
        <f t="array" aca="1" ref="X7" ca="1">IFERROR(INDIRECT("Data"&amp;"!"&amp;ADDRESS(MATCH($V$1,Data!$A:$A,0)+3+$U7,MATCH(X$1,Data!$2:$2,0)+3,4)),"")</f>
        <v/>
      </c>
      <c r="Y7" s="5" t="str" cm="1">
        <f t="array" aca="1" ref="Y7" ca="1">IFERROR(INDIRECT("Data"&amp;"!"&amp;ADDRESS(MATCH($V$1,Data!$A:$A,0)+3+$U7,MATCH(Y$1,Data!$2:$2,0)+3,4)),"")</f>
        <v/>
      </c>
      <c r="Z7" s="5" t="str" cm="1">
        <f t="array" aca="1" ref="Z7" ca="1">IFERROR(INDIRECT("Data"&amp;"!"&amp;ADDRESS(MATCH($V$1,Data!$A:$A,0)+3+$U7,MATCH(Z$1,Data!$2:$2,0)+3,4)),"")</f>
        <v/>
      </c>
      <c r="AA7" s="5" t="str" cm="1">
        <f t="array" aca="1" ref="AA7" ca="1">IFERROR(INDIRECT("Data"&amp;"!"&amp;ADDRESS(MATCH($V$1,Data!$A:$A,0)+3+$U7,MATCH(AA$1,Data!$2:$2,0)+3,4)),"")</f>
        <v/>
      </c>
      <c r="AB7" s="5" t="str" cm="1">
        <f t="array" aca="1" ref="AB7" ca="1">IFERROR(INDIRECT("Data"&amp;"!"&amp;ADDRESS(MATCH($V$1,Data!$A:$A,0)+3+$U7,MATCH(AB$1,Data!$2:$2,0)+3,4)),"")</f>
        <v/>
      </c>
      <c r="AC7" s="5" t="str" cm="1">
        <f t="array" aca="1" ref="AC7" ca="1">IFERROR(INDIRECT("Data"&amp;"!"&amp;ADDRESS(MATCH($V$1,Data!$A:$A,0)+3+$U7,MATCH(AC$1,Data!$2:$2,0)+3,4)),"")</f>
        <v/>
      </c>
      <c r="AD7" s="5" t="str" cm="1">
        <f t="array" aca="1" ref="AD7" ca="1">IFERROR(INDIRECT("Data"&amp;"!"&amp;ADDRESS(MATCH($V$1,Data!$A:$A,0)+3+$U7,MATCH(AD$1,Data!$2:$2,0)+3,4)),"")</f>
        <v/>
      </c>
      <c r="AE7" s="5" t="str" cm="1">
        <f t="array" aca="1" ref="AE7" ca="1">IFERROR(INDIRECT("Data"&amp;"!"&amp;ADDRESS(MATCH($V$1,Data!$A:$A,0)+3+$U7,MATCH(AE$1,Data!$2:$2,0)+3,4)),"")</f>
        <v/>
      </c>
      <c r="AF7" s="5" t="str" cm="1">
        <f t="array" aca="1" ref="AF7" ca="1">IFERROR(INDIRECT("Data"&amp;"!"&amp;ADDRESS(MATCH($V$1,Data!$A:$A,0)+3+$U7,MATCH(AF$1,Data!$2:$2,0)+3,4)),"")</f>
        <v/>
      </c>
      <c r="AG7" s="5" t="str" cm="1">
        <f t="array" aca="1" ref="AG7" ca="1">IFERROR(INDIRECT("Data"&amp;"!"&amp;ADDRESS(MATCH($V$1,Data!$A:$A,0)+3+$U7,MATCH(AG$1,Data!$2:$2,0)+3,4)),"")</f>
        <v/>
      </c>
    </row>
    <row r="8" spans="1:34" x14ac:dyDescent="0.25">
      <c r="B8" s="22" t="str" cm="1">
        <f t="array" aca="1" ref="B8" ca="1">IFERROR(INDIRECT("List"&amp;"!"&amp;ADDRESS(MATCH($A8,List!$B:$B,0),MATCH($B$1,List!$1:$1,0),4)),"")</f>
        <v/>
      </c>
      <c r="C8" s="22" t="str" cm="1">
        <f t="array" aca="1" ref="C8" ca="1">IFERROR(INDIRECT("List"&amp;"!"&amp;ADDRESS(MATCH($A8,List!$B:$B,0),MATCH($C$1,List!$1:$1,0),4)),"")</f>
        <v/>
      </c>
      <c r="D8" s="22" t="str" cm="1">
        <f t="array" aca="1" ref="D8" ca="1">IFERROR(INDIRECT("List"&amp;"!"&amp;ADDRESS(MATCH($A8,List!$B:$B,0),MATCH($D$1,List!$1:$1,0),4)),"")</f>
        <v/>
      </c>
      <c r="E8" s="22" t="str" cm="1">
        <f t="array" aca="1" ref="E8" ca="1">IFERROR(INDIRECT("List"&amp;"!"&amp;ADDRESS(MATCH($A8,List!$B:$B,0),MATCH($E$1,List!$1:$1,0),4)),"")</f>
        <v/>
      </c>
      <c r="F8" s="27" t="str" cm="1">
        <f t="array" aca="1" ref="F8" ca="1">IFERROR(INDIRECT("List"&amp;"!"&amp;ADDRESS(MATCH($A8,List!$B:$B,0),MATCH($F$1,List!$1:$1,0),4)),"")</f>
        <v/>
      </c>
      <c r="G8" s="31" t="str" cm="1">
        <f t="array" aca="1" ref="G8" ca="1">IFERROR(INDIRECT("Data"&amp;"!"&amp;ADDRESS(MATCH($G$1,Data!$A$1:$A$20,0),MATCH($A8,Data!$2:$2,0)+3,4)),"")</f>
        <v/>
      </c>
      <c r="H8" s="31" t="str" cm="1">
        <f t="array" aca="1" ref="H8" ca="1">IFERROR(INDIRECT("Data"&amp;"!"&amp;ADDRESS(MATCH($G$1,Data!$A$1:$A$20,0),MATCH($A8,Data!$2:$2,0),4)),"")</f>
        <v/>
      </c>
      <c r="I8" s="31" t="str" cm="1">
        <f t="array" aca="1" ref="I8" ca="1">IFERROR(INDIRECT("Data"&amp;"!"&amp;ADDRESS(MATCH($G$1,Data!$A$1:$A$20,0),MATCH($A8,Data!$2:$2,0)+1,4)),"")</f>
        <v/>
      </c>
      <c r="J8" s="31" t="str" cm="1">
        <f t="array" aca="1" ref="J8" ca="1">IFERROR(INDIRECT("Data"&amp;"!"&amp;ADDRESS(MATCH($G$1,Data!$A$1:$A$20,0),MATCH($A8,Data!$2:$2,0)+2,4)),"")</f>
        <v/>
      </c>
      <c r="K8" s="34" t="str" cm="1">
        <f t="array" aca="1" ref="K8" ca="1">IFERROR(INDIRECT("Data"&amp;"!"&amp;ADDRESS(MATCH($K$1,Data!$A$1:$A$20,0),MATCH($A8,Data!$2:$2,0)+2,4)),"")</f>
        <v/>
      </c>
      <c r="M8" s="115"/>
      <c r="N8" s="6"/>
      <c r="O8" s="6"/>
      <c r="P8" s="6"/>
      <c r="Q8" s="6"/>
      <c r="R8" s="6"/>
      <c r="S8" s="14"/>
      <c r="T8" s="6"/>
      <c r="U8" s="7">
        <v>5</v>
      </c>
      <c r="V8" s="7">
        <v>-92</v>
      </c>
      <c r="W8" s="5">
        <v>0</v>
      </c>
      <c r="X8" s="7" t="str" cm="1">
        <f t="array" aca="1" ref="X8" ca="1">IFERROR(INDIRECT("Data"&amp;"!"&amp;ADDRESS(MATCH($V$1,Data!$A:$A,0)+3+$U8,MATCH(X$1,Data!$2:$2,0)+3,4)),"")</f>
        <v/>
      </c>
      <c r="Y8" s="5" t="str" cm="1">
        <f t="array" aca="1" ref="Y8" ca="1">IFERROR(INDIRECT("Data"&amp;"!"&amp;ADDRESS(MATCH($V$1,Data!$A:$A,0)+3+$U8,MATCH(Y$1,Data!$2:$2,0)+3,4)),"")</f>
        <v/>
      </c>
      <c r="Z8" s="5" t="str" cm="1">
        <f t="array" aca="1" ref="Z8" ca="1">IFERROR(INDIRECT("Data"&amp;"!"&amp;ADDRESS(MATCH($V$1,Data!$A:$A,0)+3+$U8,MATCH(Z$1,Data!$2:$2,0)+3,4)),"")</f>
        <v/>
      </c>
      <c r="AA8" s="5" t="str" cm="1">
        <f t="array" aca="1" ref="AA8" ca="1">IFERROR(INDIRECT("Data"&amp;"!"&amp;ADDRESS(MATCH($V$1,Data!$A:$A,0)+3+$U8,MATCH(AA$1,Data!$2:$2,0)+3,4)),"")</f>
        <v/>
      </c>
      <c r="AB8" s="5" t="str" cm="1">
        <f t="array" aca="1" ref="AB8" ca="1">IFERROR(INDIRECT("Data"&amp;"!"&amp;ADDRESS(MATCH($V$1,Data!$A:$A,0)+3+$U8,MATCH(AB$1,Data!$2:$2,0)+3,4)),"")</f>
        <v/>
      </c>
      <c r="AC8" s="5" t="str" cm="1">
        <f t="array" aca="1" ref="AC8" ca="1">IFERROR(INDIRECT("Data"&amp;"!"&amp;ADDRESS(MATCH($V$1,Data!$A:$A,0)+3+$U8,MATCH(AC$1,Data!$2:$2,0)+3,4)),"")</f>
        <v/>
      </c>
      <c r="AD8" s="5" t="str" cm="1">
        <f t="array" aca="1" ref="AD8" ca="1">IFERROR(INDIRECT("Data"&amp;"!"&amp;ADDRESS(MATCH($V$1,Data!$A:$A,0)+3+$U8,MATCH(AD$1,Data!$2:$2,0)+3,4)),"")</f>
        <v/>
      </c>
      <c r="AE8" s="5" t="str" cm="1">
        <f t="array" aca="1" ref="AE8" ca="1">IFERROR(INDIRECT("Data"&amp;"!"&amp;ADDRESS(MATCH($V$1,Data!$A:$A,0)+3+$U8,MATCH(AE$1,Data!$2:$2,0)+3,4)),"")</f>
        <v/>
      </c>
      <c r="AF8" s="5" t="str" cm="1">
        <f t="array" aca="1" ref="AF8" ca="1">IFERROR(INDIRECT("Data"&amp;"!"&amp;ADDRESS(MATCH($V$1,Data!$A:$A,0)+3+$U8,MATCH(AF$1,Data!$2:$2,0)+3,4)),"")</f>
        <v/>
      </c>
      <c r="AG8" s="5" t="str" cm="1">
        <f t="array" aca="1" ref="AG8" ca="1">IFERROR(INDIRECT("Data"&amp;"!"&amp;ADDRESS(MATCH($V$1,Data!$A:$A,0)+3+$U8,MATCH(AG$1,Data!$2:$2,0)+3,4)),"")</f>
        <v/>
      </c>
    </row>
    <row r="9" spans="1:34" x14ac:dyDescent="0.25">
      <c r="B9" s="22" t="str" cm="1">
        <f t="array" aca="1" ref="B9" ca="1">IFERROR(INDIRECT("List"&amp;"!"&amp;ADDRESS(MATCH($A9,List!$B:$B,0),MATCH($B$1,List!$1:$1,0),4)),"")</f>
        <v/>
      </c>
      <c r="C9" s="22" t="str" cm="1">
        <f t="array" aca="1" ref="C9" ca="1">IFERROR(INDIRECT("List"&amp;"!"&amp;ADDRESS(MATCH($A9,List!$B:$B,0),MATCH($C$1,List!$1:$1,0),4)),"")</f>
        <v/>
      </c>
      <c r="D9" s="22" t="str" cm="1">
        <f t="array" aca="1" ref="D9" ca="1">IFERROR(INDIRECT("List"&amp;"!"&amp;ADDRESS(MATCH($A9,List!$B:$B,0),MATCH($D$1,List!$1:$1,0),4)),"")</f>
        <v/>
      </c>
      <c r="E9" s="22" t="str" cm="1">
        <f t="array" aca="1" ref="E9" ca="1">IFERROR(INDIRECT("List"&amp;"!"&amp;ADDRESS(MATCH($A9,List!$B:$B,0),MATCH($E$1,List!$1:$1,0),4)),"")</f>
        <v/>
      </c>
      <c r="F9" s="27" t="str" cm="1">
        <f t="array" aca="1" ref="F9" ca="1">IFERROR(INDIRECT("List"&amp;"!"&amp;ADDRESS(MATCH($A9,List!$B:$B,0),MATCH($F$1,List!$1:$1,0),4)),"")</f>
        <v/>
      </c>
      <c r="G9" s="31" t="str" cm="1">
        <f t="array" aca="1" ref="G9" ca="1">IFERROR(INDIRECT("Data"&amp;"!"&amp;ADDRESS(MATCH($G$1,Data!$A$1:$A$20,0),MATCH($A9,Data!$2:$2,0)+3,4)),"")</f>
        <v/>
      </c>
      <c r="H9" s="31" t="str" cm="1">
        <f t="array" aca="1" ref="H9" ca="1">IFERROR(INDIRECT("Data"&amp;"!"&amp;ADDRESS(MATCH($G$1,Data!$A$1:$A$20,0),MATCH($A9,Data!$2:$2,0),4)),"")</f>
        <v/>
      </c>
      <c r="I9" s="31" t="str" cm="1">
        <f t="array" aca="1" ref="I9" ca="1">IFERROR(INDIRECT("Data"&amp;"!"&amp;ADDRESS(MATCH($G$1,Data!$A$1:$A$20,0),MATCH($A9,Data!$2:$2,0)+1,4)),"")</f>
        <v/>
      </c>
      <c r="J9" s="31" t="str" cm="1">
        <f t="array" aca="1" ref="J9" ca="1">IFERROR(INDIRECT("Data"&amp;"!"&amp;ADDRESS(MATCH($G$1,Data!$A$1:$A$20,0),MATCH($A9,Data!$2:$2,0)+2,4)),"")</f>
        <v/>
      </c>
      <c r="K9" s="34" t="str" cm="1">
        <f t="array" aca="1" ref="K9" ca="1">IFERROR(INDIRECT("Data"&amp;"!"&amp;ADDRESS(MATCH($K$1,Data!$A$1:$A$20,0),MATCH($A9,Data!$2:$2,0)+2,4)),"")</f>
        <v/>
      </c>
      <c r="M9" s="115"/>
      <c r="N9" s="6"/>
      <c r="O9" s="6"/>
      <c r="P9" s="6"/>
      <c r="Q9" s="6"/>
      <c r="R9" s="6"/>
      <c r="S9" s="14"/>
      <c r="T9" s="6"/>
      <c r="U9" s="7">
        <v>6</v>
      </c>
      <c r="V9" s="7">
        <v>-90</v>
      </c>
      <c r="W9" s="5">
        <v>0</v>
      </c>
      <c r="X9" s="7" t="str" cm="1">
        <f t="array" aca="1" ref="X9" ca="1">IFERROR(INDIRECT("Data"&amp;"!"&amp;ADDRESS(MATCH($V$1,Data!$A:$A,0)+3+$U9,MATCH(X$1,Data!$2:$2,0)+3,4)),"")</f>
        <v/>
      </c>
      <c r="Y9" s="5" t="str" cm="1">
        <f t="array" aca="1" ref="Y9" ca="1">IFERROR(INDIRECT("Data"&amp;"!"&amp;ADDRESS(MATCH($V$1,Data!$A:$A,0)+3+$U9,MATCH(Y$1,Data!$2:$2,0)+3,4)),"")</f>
        <v/>
      </c>
      <c r="Z9" s="5" t="str" cm="1">
        <f t="array" aca="1" ref="Z9" ca="1">IFERROR(INDIRECT("Data"&amp;"!"&amp;ADDRESS(MATCH($V$1,Data!$A:$A,0)+3+$U9,MATCH(Z$1,Data!$2:$2,0)+3,4)),"")</f>
        <v/>
      </c>
      <c r="AA9" s="5" t="str" cm="1">
        <f t="array" aca="1" ref="AA9" ca="1">IFERROR(INDIRECT("Data"&amp;"!"&amp;ADDRESS(MATCH($V$1,Data!$A:$A,0)+3+$U9,MATCH(AA$1,Data!$2:$2,0)+3,4)),"")</f>
        <v/>
      </c>
      <c r="AB9" s="5" t="str" cm="1">
        <f t="array" aca="1" ref="AB9" ca="1">IFERROR(INDIRECT("Data"&amp;"!"&amp;ADDRESS(MATCH($V$1,Data!$A:$A,0)+3+$U9,MATCH(AB$1,Data!$2:$2,0)+3,4)),"")</f>
        <v/>
      </c>
      <c r="AC9" s="5" t="str" cm="1">
        <f t="array" aca="1" ref="AC9" ca="1">IFERROR(INDIRECT("Data"&amp;"!"&amp;ADDRESS(MATCH($V$1,Data!$A:$A,0)+3+$U9,MATCH(AC$1,Data!$2:$2,0)+3,4)),"")</f>
        <v/>
      </c>
      <c r="AD9" s="5" t="str" cm="1">
        <f t="array" aca="1" ref="AD9" ca="1">IFERROR(INDIRECT("Data"&amp;"!"&amp;ADDRESS(MATCH($V$1,Data!$A:$A,0)+3+$U9,MATCH(AD$1,Data!$2:$2,0)+3,4)),"")</f>
        <v/>
      </c>
      <c r="AE9" s="5" t="str" cm="1">
        <f t="array" aca="1" ref="AE9" ca="1">IFERROR(INDIRECT("Data"&amp;"!"&amp;ADDRESS(MATCH($V$1,Data!$A:$A,0)+3+$U9,MATCH(AE$1,Data!$2:$2,0)+3,4)),"")</f>
        <v/>
      </c>
      <c r="AF9" s="5" t="str" cm="1">
        <f t="array" aca="1" ref="AF9" ca="1">IFERROR(INDIRECT("Data"&amp;"!"&amp;ADDRESS(MATCH($V$1,Data!$A:$A,0)+3+$U9,MATCH(AF$1,Data!$2:$2,0)+3,4)),"")</f>
        <v/>
      </c>
      <c r="AG9" s="5" t="str" cm="1">
        <f t="array" aca="1" ref="AG9" ca="1">IFERROR(INDIRECT("Data"&amp;"!"&amp;ADDRESS(MATCH($V$1,Data!$A:$A,0)+3+$U9,MATCH(AG$1,Data!$2:$2,0)+3,4)),"")</f>
        <v/>
      </c>
    </row>
    <row r="10" spans="1:34" x14ac:dyDescent="0.25">
      <c r="B10" s="22" t="str" cm="1">
        <f t="array" aca="1" ref="B10" ca="1">IFERROR(INDIRECT("List"&amp;"!"&amp;ADDRESS(MATCH($A10,List!$B:$B,0),MATCH($B$1,List!$1:$1,0),4)),"")</f>
        <v/>
      </c>
      <c r="C10" s="22" t="str" cm="1">
        <f t="array" aca="1" ref="C10" ca="1">IFERROR(INDIRECT("List"&amp;"!"&amp;ADDRESS(MATCH($A10,List!$B:$B,0),MATCH($C$1,List!$1:$1,0),4)),"")</f>
        <v/>
      </c>
      <c r="D10" s="22" t="str" cm="1">
        <f t="array" aca="1" ref="D10" ca="1">IFERROR(INDIRECT("List"&amp;"!"&amp;ADDRESS(MATCH($A10,List!$B:$B,0),MATCH($D$1,List!$1:$1,0),4)),"")</f>
        <v/>
      </c>
      <c r="E10" s="22" t="str" cm="1">
        <f t="array" aca="1" ref="E10" ca="1">IFERROR(INDIRECT("List"&amp;"!"&amp;ADDRESS(MATCH($A10,List!$B:$B,0),MATCH($E$1,List!$1:$1,0),4)),"")</f>
        <v/>
      </c>
      <c r="F10" s="27" t="str" cm="1">
        <f t="array" aca="1" ref="F10" ca="1">IFERROR(INDIRECT("List"&amp;"!"&amp;ADDRESS(MATCH($A10,List!$B:$B,0),MATCH($F$1,List!$1:$1,0),4)),"")</f>
        <v/>
      </c>
      <c r="G10" s="31" t="str" cm="1">
        <f t="array" aca="1" ref="G10" ca="1">IFERROR(INDIRECT("Data"&amp;"!"&amp;ADDRESS(MATCH($G$1,Data!$A$1:$A$20,0),MATCH($A10,Data!$2:$2,0)+3,4)),"")</f>
        <v/>
      </c>
      <c r="H10" s="31" t="str" cm="1">
        <f t="array" aca="1" ref="H10" ca="1">IFERROR(INDIRECT("Data"&amp;"!"&amp;ADDRESS(MATCH($G$1,Data!$A$1:$A$20,0),MATCH($A10,Data!$2:$2,0),4)),"")</f>
        <v/>
      </c>
      <c r="I10" s="31" t="str" cm="1">
        <f t="array" aca="1" ref="I10" ca="1">IFERROR(INDIRECT("Data"&amp;"!"&amp;ADDRESS(MATCH($G$1,Data!$A$1:$A$20,0),MATCH($A10,Data!$2:$2,0)+1,4)),"")</f>
        <v/>
      </c>
      <c r="J10" s="31" t="str" cm="1">
        <f t="array" aca="1" ref="J10" ca="1">IFERROR(INDIRECT("Data"&amp;"!"&amp;ADDRESS(MATCH($G$1,Data!$A$1:$A$20,0),MATCH($A10,Data!$2:$2,0)+2,4)),"")</f>
        <v/>
      </c>
      <c r="K10" s="34" t="str" cm="1">
        <f t="array" aca="1" ref="K10" ca="1">IFERROR(INDIRECT("Data"&amp;"!"&amp;ADDRESS(MATCH($K$1,Data!$A$1:$A$20,0),MATCH($A10,Data!$2:$2,0)+2,4)),"")</f>
        <v/>
      </c>
      <c r="M10" s="115"/>
      <c r="N10" s="6"/>
      <c r="O10" s="6"/>
      <c r="P10" s="6"/>
      <c r="Q10" s="6"/>
      <c r="R10" s="6"/>
      <c r="S10" s="14"/>
      <c r="T10" s="6"/>
      <c r="U10" s="7">
        <v>7</v>
      </c>
      <c r="V10" s="7">
        <v>-85</v>
      </c>
      <c r="W10" s="5">
        <v>0</v>
      </c>
      <c r="X10" s="7" t="str" cm="1">
        <f t="array" aca="1" ref="X10" ca="1">IFERROR(INDIRECT("Data"&amp;"!"&amp;ADDRESS(MATCH($V$1,Data!$A:$A,0)+3+$U10,MATCH(X$1,Data!$2:$2,0)+3,4)),"")</f>
        <v/>
      </c>
      <c r="Y10" s="5" t="str" cm="1">
        <f t="array" aca="1" ref="Y10" ca="1">IFERROR(INDIRECT("Data"&amp;"!"&amp;ADDRESS(MATCH($V$1,Data!$A:$A,0)+3+$U10,MATCH(Y$1,Data!$2:$2,0)+3,4)),"")</f>
        <v/>
      </c>
      <c r="Z10" s="5" t="str" cm="1">
        <f t="array" aca="1" ref="Z10" ca="1">IFERROR(INDIRECT("Data"&amp;"!"&amp;ADDRESS(MATCH($V$1,Data!$A:$A,0)+3+$U10,MATCH(Z$1,Data!$2:$2,0)+3,4)),"")</f>
        <v/>
      </c>
      <c r="AA10" s="5" t="str" cm="1">
        <f t="array" aca="1" ref="AA10" ca="1">IFERROR(INDIRECT("Data"&amp;"!"&amp;ADDRESS(MATCH($V$1,Data!$A:$A,0)+3+$U10,MATCH(AA$1,Data!$2:$2,0)+3,4)),"")</f>
        <v/>
      </c>
      <c r="AB10" s="5" t="str" cm="1">
        <f t="array" aca="1" ref="AB10" ca="1">IFERROR(INDIRECT("Data"&amp;"!"&amp;ADDRESS(MATCH($V$1,Data!$A:$A,0)+3+$U10,MATCH(AB$1,Data!$2:$2,0)+3,4)),"")</f>
        <v/>
      </c>
      <c r="AC10" s="5" t="str" cm="1">
        <f t="array" aca="1" ref="AC10" ca="1">IFERROR(INDIRECT("Data"&amp;"!"&amp;ADDRESS(MATCH($V$1,Data!$A:$A,0)+3+$U10,MATCH(AC$1,Data!$2:$2,0)+3,4)),"")</f>
        <v/>
      </c>
      <c r="AD10" s="5" t="str" cm="1">
        <f t="array" aca="1" ref="AD10" ca="1">IFERROR(INDIRECT("Data"&amp;"!"&amp;ADDRESS(MATCH($V$1,Data!$A:$A,0)+3+$U10,MATCH(AD$1,Data!$2:$2,0)+3,4)),"")</f>
        <v/>
      </c>
      <c r="AE10" s="5" t="str" cm="1">
        <f t="array" aca="1" ref="AE10" ca="1">IFERROR(INDIRECT("Data"&amp;"!"&amp;ADDRESS(MATCH($V$1,Data!$A:$A,0)+3+$U10,MATCH(AE$1,Data!$2:$2,0)+3,4)),"")</f>
        <v/>
      </c>
      <c r="AF10" s="5" t="str" cm="1">
        <f t="array" aca="1" ref="AF10" ca="1">IFERROR(INDIRECT("Data"&amp;"!"&amp;ADDRESS(MATCH($V$1,Data!$A:$A,0)+3+$U10,MATCH(AF$1,Data!$2:$2,0)+3,4)),"")</f>
        <v/>
      </c>
      <c r="AG10" s="5" t="str" cm="1">
        <f t="array" aca="1" ref="AG10" ca="1">IFERROR(INDIRECT("Data"&amp;"!"&amp;ADDRESS(MATCH($V$1,Data!$A:$A,0)+3+$U10,MATCH(AG$1,Data!$2:$2,0)+3,4)),"")</f>
        <v/>
      </c>
    </row>
    <row r="11" spans="1:34" x14ac:dyDescent="0.25">
      <c r="B11" s="22" t="str" cm="1">
        <f t="array" aca="1" ref="B11" ca="1">IFERROR(INDIRECT("List"&amp;"!"&amp;ADDRESS(MATCH($A11,List!$B:$B,0),MATCH($B$1,List!$1:$1,0),4)),"")</f>
        <v/>
      </c>
      <c r="C11" s="22" t="str" cm="1">
        <f t="array" aca="1" ref="C11" ca="1">IFERROR(INDIRECT("List"&amp;"!"&amp;ADDRESS(MATCH($A11,List!$B:$B,0),MATCH($C$1,List!$1:$1,0),4)),"")</f>
        <v/>
      </c>
      <c r="D11" s="22" t="str" cm="1">
        <f t="array" aca="1" ref="D11" ca="1">IFERROR(INDIRECT("List"&amp;"!"&amp;ADDRESS(MATCH($A11,List!$B:$B,0),MATCH($D$1,List!$1:$1,0),4)),"")</f>
        <v/>
      </c>
      <c r="E11" s="22" t="str" cm="1">
        <f t="array" aca="1" ref="E11" ca="1">IFERROR(INDIRECT("List"&amp;"!"&amp;ADDRESS(MATCH($A11,List!$B:$B,0),MATCH($E$1,List!$1:$1,0),4)),"")</f>
        <v/>
      </c>
      <c r="F11" s="27" t="str" cm="1">
        <f t="array" aca="1" ref="F11" ca="1">IFERROR(INDIRECT("List"&amp;"!"&amp;ADDRESS(MATCH($A11,List!$B:$B,0),MATCH($F$1,List!$1:$1,0),4)),"")</f>
        <v/>
      </c>
      <c r="G11" s="31" t="str" cm="1">
        <f t="array" aca="1" ref="G11" ca="1">IFERROR(INDIRECT("Data"&amp;"!"&amp;ADDRESS(MATCH($G$1,Data!$A$1:$A$20,0),MATCH($A11,Data!$2:$2,0)+3,4)),"")</f>
        <v/>
      </c>
      <c r="H11" s="31" t="str" cm="1">
        <f t="array" aca="1" ref="H11" ca="1">IFERROR(INDIRECT("Data"&amp;"!"&amp;ADDRESS(MATCH($G$1,Data!$A$1:$A$20,0),MATCH($A11,Data!$2:$2,0),4)),"")</f>
        <v/>
      </c>
      <c r="I11" s="31" t="str" cm="1">
        <f t="array" aca="1" ref="I11" ca="1">IFERROR(INDIRECT("Data"&amp;"!"&amp;ADDRESS(MATCH($G$1,Data!$A$1:$A$20,0),MATCH($A11,Data!$2:$2,0)+1,4)),"")</f>
        <v/>
      </c>
      <c r="J11" s="31" t="str" cm="1">
        <f t="array" aca="1" ref="J11" ca="1">IFERROR(INDIRECT("Data"&amp;"!"&amp;ADDRESS(MATCH($G$1,Data!$A$1:$A$20,0),MATCH($A11,Data!$2:$2,0)+2,4)),"")</f>
        <v/>
      </c>
      <c r="K11" s="34" t="str" cm="1">
        <f t="array" aca="1" ref="K11" ca="1">IFERROR(INDIRECT("Data"&amp;"!"&amp;ADDRESS(MATCH($K$1,Data!$A$1:$A$20,0),MATCH($A11,Data!$2:$2,0)+2,4)),"")</f>
        <v/>
      </c>
      <c r="M11" s="115"/>
      <c r="N11" s="6"/>
      <c r="O11" s="6"/>
      <c r="P11" s="6"/>
      <c r="Q11" s="6"/>
      <c r="R11" s="6"/>
      <c r="S11" s="14"/>
      <c r="T11" s="6"/>
      <c r="U11" s="7">
        <v>8</v>
      </c>
      <c r="V11" s="7">
        <v>-80</v>
      </c>
      <c r="W11" s="5">
        <v>0</v>
      </c>
      <c r="X11" s="7" t="str" cm="1">
        <f t="array" aca="1" ref="X11" ca="1">IFERROR(INDIRECT("Data"&amp;"!"&amp;ADDRESS(MATCH($V$1,Data!$A:$A,0)+3+$U11,MATCH(X$1,Data!$2:$2,0)+3,4)),"")</f>
        <v/>
      </c>
      <c r="Y11" s="5" t="str" cm="1">
        <f t="array" aca="1" ref="Y11" ca="1">IFERROR(INDIRECT("Data"&amp;"!"&amp;ADDRESS(MATCH($V$1,Data!$A:$A,0)+3+$U11,MATCH(Y$1,Data!$2:$2,0)+3,4)),"")</f>
        <v/>
      </c>
      <c r="Z11" s="5" t="str" cm="1">
        <f t="array" aca="1" ref="Z11" ca="1">IFERROR(INDIRECT("Data"&amp;"!"&amp;ADDRESS(MATCH($V$1,Data!$A:$A,0)+3+$U11,MATCH(Z$1,Data!$2:$2,0)+3,4)),"")</f>
        <v/>
      </c>
      <c r="AA11" s="5" t="str" cm="1">
        <f t="array" aca="1" ref="AA11" ca="1">IFERROR(INDIRECT("Data"&amp;"!"&amp;ADDRESS(MATCH($V$1,Data!$A:$A,0)+3+$U11,MATCH(AA$1,Data!$2:$2,0)+3,4)),"")</f>
        <v/>
      </c>
      <c r="AB11" s="5" t="str" cm="1">
        <f t="array" aca="1" ref="AB11" ca="1">IFERROR(INDIRECT("Data"&amp;"!"&amp;ADDRESS(MATCH($V$1,Data!$A:$A,0)+3+$U11,MATCH(AB$1,Data!$2:$2,0)+3,4)),"")</f>
        <v/>
      </c>
      <c r="AC11" s="5" t="str" cm="1">
        <f t="array" aca="1" ref="AC11" ca="1">IFERROR(INDIRECT("Data"&amp;"!"&amp;ADDRESS(MATCH($V$1,Data!$A:$A,0)+3+$U11,MATCH(AC$1,Data!$2:$2,0)+3,4)),"")</f>
        <v/>
      </c>
      <c r="AD11" s="5" t="str" cm="1">
        <f t="array" aca="1" ref="AD11" ca="1">IFERROR(INDIRECT("Data"&amp;"!"&amp;ADDRESS(MATCH($V$1,Data!$A:$A,0)+3+$U11,MATCH(AD$1,Data!$2:$2,0)+3,4)),"")</f>
        <v/>
      </c>
      <c r="AE11" s="5" t="str" cm="1">
        <f t="array" aca="1" ref="AE11" ca="1">IFERROR(INDIRECT("Data"&amp;"!"&amp;ADDRESS(MATCH($V$1,Data!$A:$A,0)+3+$U11,MATCH(AE$1,Data!$2:$2,0)+3,4)),"")</f>
        <v/>
      </c>
      <c r="AF11" s="5" t="str" cm="1">
        <f t="array" aca="1" ref="AF11" ca="1">IFERROR(INDIRECT("Data"&amp;"!"&amp;ADDRESS(MATCH($V$1,Data!$A:$A,0)+3+$U11,MATCH(AF$1,Data!$2:$2,0)+3,4)),"")</f>
        <v/>
      </c>
      <c r="AG11" s="5" t="str" cm="1">
        <f t="array" aca="1" ref="AG11" ca="1">IFERROR(INDIRECT("Data"&amp;"!"&amp;ADDRESS(MATCH($V$1,Data!$A:$A,0)+3+$U11,MATCH(AG$1,Data!$2:$2,0)+3,4)),"")</f>
        <v/>
      </c>
    </row>
    <row r="12" spans="1:34" x14ac:dyDescent="0.25">
      <c r="B12" s="22" t="str" cm="1">
        <f t="array" aca="1" ref="B12" ca="1">IFERROR(INDIRECT("List"&amp;"!"&amp;ADDRESS(MATCH($A12,List!$B:$B,0),MATCH($B$1,List!$1:$1,0),4)),"")</f>
        <v/>
      </c>
      <c r="C12" s="22" t="str" cm="1">
        <f t="array" aca="1" ref="C12" ca="1">IFERROR(INDIRECT("List"&amp;"!"&amp;ADDRESS(MATCH($A12,List!$B:$B,0),MATCH($C$1,List!$1:$1,0),4)),"")</f>
        <v/>
      </c>
      <c r="D12" s="22" t="str" cm="1">
        <f t="array" aca="1" ref="D12" ca="1">IFERROR(INDIRECT("List"&amp;"!"&amp;ADDRESS(MATCH($A12,List!$B:$B,0),MATCH($D$1,List!$1:$1,0),4)),"")</f>
        <v/>
      </c>
      <c r="E12" s="22" t="str" cm="1">
        <f t="array" aca="1" ref="E12" ca="1">IFERROR(INDIRECT("List"&amp;"!"&amp;ADDRESS(MATCH($A12,List!$B:$B,0),MATCH($E$1,List!$1:$1,0),4)),"")</f>
        <v/>
      </c>
      <c r="F12" s="27" t="str" cm="1">
        <f t="array" aca="1" ref="F12" ca="1">IFERROR(INDIRECT("List"&amp;"!"&amp;ADDRESS(MATCH($A12,List!$B:$B,0),MATCH($F$1,List!$1:$1,0),4)),"")</f>
        <v/>
      </c>
      <c r="G12" s="31" t="str" cm="1">
        <f t="array" aca="1" ref="G12" ca="1">IFERROR(INDIRECT("Data"&amp;"!"&amp;ADDRESS(MATCH($G$1,Data!$A$1:$A$20,0),MATCH($A12,Data!$2:$2,0)+3,4)),"")</f>
        <v/>
      </c>
      <c r="H12" s="31" t="str" cm="1">
        <f t="array" aca="1" ref="H12" ca="1">IFERROR(INDIRECT("Data"&amp;"!"&amp;ADDRESS(MATCH($G$1,Data!$A$1:$A$20,0),MATCH($A12,Data!$2:$2,0),4)),"")</f>
        <v/>
      </c>
      <c r="I12" s="31" t="str" cm="1">
        <f t="array" aca="1" ref="I12" ca="1">IFERROR(INDIRECT("Data"&amp;"!"&amp;ADDRESS(MATCH($G$1,Data!$A$1:$A$20,0),MATCH($A12,Data!$2:$2,0)+1,4)),"")</f>
        <v/>
      </c>
      <c r="J12" s="31" t="str" cm="1">
        <f t="array" aca="1" ref="J12" ca="1">IFERROR(INDIRECT("Data"&amp;"!"&amp;ADDRESS(MATCH($G$1,Data!$A$1:$A$20,0),MATCH($A12,Data!$2:$2,0)+2,4)),"")</f>
        <v/>
      </c>
      <c r="K12" s="34" t="str" cm="1">
        <f t="array" aca="1" ref="K12" ca="1">IFERROR(INDIRECT("Data"&amp;"!"&amp;ADDRESS(MATCH($K$1,Data!$A$1:$A$20,0),MATCH($A12,Data!$2:$2,0)+2,4)),"")</f>
        <v/>
      </c>
      <c r="M12" s="115"/>
      <c r="N12" s="6"/>
      <c r="O12" s="6"/>
      <c r="P12" s="6"/>
      <c r="Q12" s="6"/>
      <c r="R12" s="6"/>
      <c r="S12" s="14"/>
      <c r="T12" s="6"/>
      <c r="U12" s="7">
        <v>9</v>
      </c>
      <c r="V12" s="7">
        <v>-75</v>
      </c>
      <c r="W12" s="5">
        <v>0</v>
      </c>
      <c r="X12" s="7" t="str" cm="1">
        <f t="array" aca="1" ref="X12" ca="1">IFERROR(INDIRECT("Data"&amp;"!"&amp;ADDRESS(MATCH($V$1,Data!$A:$A,0)+3+$U12,MATCH(X$1,Data!$2:$2,0)+3,4)),"")</f>
        <v/>
      </c>
      <c r="Y12" s="5" t="str" cm="1">
        <f t="array" aca="1" ref="Y12" ca="1">IFERROR(INDIRECT("Data"&amp;"!"&amp;ADDRESS(MATCH($V$1,Data!$A:$A,0)+3+$U12,MATCH(Y$1,Data!$2:$2,0)+3,4)),"")</f>
        <v/>
      </c>
      <c r="Z12" s="5" t="str" cm="1">
        <f t="array" aca="1" ref="Z12" ca="1">IFERROR(INDIRECT("Data"&amp;"!"&amp;ADDRESS(MATCH($V$1,Data!$A:$A,0)+3+$U12,MATCH(Z$1,Data!$2:$2,0)+3,4)),"")</f>
        <v/>
      </c>
      <c r="AA12" s="5" t="str" cm="1">
        <f t="array" aca="1" ref="AA12" ca="1">IFERROR(INDIRECT("Data"&amp;"!"&amp;ADDRESS(MATCH($V$1,Data!$A:$A,0)+3+$U12,MATCH(AA$1,Data!$2:$2,0)+3,4)),"")</f>
        <v/>
      </c>
      <c r="AB12" s="5" t="str" cm="1">
        <f t="array" aca="1" ref="AB12" ca="1">IFERROR(INDIRECT("Data"&amp;"!"&amp;ADDRESS(MATCH($V$1,Data!$A:$A,0)+3+$U12,MATCH(AB$1,Data!$2:$2,0)+3,4)),"")</f>
        <v/>
      </c>
      <c r="AC12" s="5" t="str" cm="1">
        <f t="array" aca="1" ref="AC12" ca="1">IFERROR(INDIRECT("Data"&amp;"!"&amp;ADDRESS(MATCH($V$1,Data!$A:$A,0)+3+$U12,MATCH(AC$1,Data!$2:$2,0)+3,4)),"")</f>
        <v/>
      </c>
      <c r="AD12" s="5" t="str" cm="1">
        <f t="array" aca="1" ref="AD12" ca="1">IFERROR(INDIRECT("Data"&amp;"!"&amp;ADDRESS(MATCH($V$1,Data!$A:$A,0)+3+$U12,MATCH(AD$1,Data!$2:$2,0)+3,4)),"")</f>
        <v/>
      </c>
      <c r="AE12" s="5" t="str" cm="1">
        <f t="array" aca="1" ref="AE12" ca="1">IFERROR(INDIRECT("Data"&amp;"!"&amp;ADDRESS(MATCH($V$1,Data!$A:$A,0)+3+$U12,MATCH(AE$1,Data!$2:$2,0)+3,4)),"")</f>
        <v/>
      </c>
      <c r="AF12" s="5" t="str" cm="1">
        <f t="array" aca="1" ref="AF12" ca="1">IFERROR(INDIRECT("Data"&amp;"!"&amp;ADDRESS(MATCH($V$1,Data!$A:$A,0)+3+$U12,MATCH(AF$1,Data!$2:$2,0)+3,4)),"")</f>
        <v/>
      </c>
      <c r="AG12" s="5" t="str" cm="1">
        <f t="array" aca="1" ref="AG12" ca="1">IFERROR(INDIRECT("Data"&amp;"!"&amp;ADDRESS(MATCH($V$1,Data!$A:$A,0)+3+$U12,MATCH(AG$1,Data!$2:$2,0)+3,4)),"")</f>
        <v/>
      </c>
    </row>
    <row r="13" spans="1:34" x14ac:dyDescent="0.25">
      <c r="B13" s="22" t="str" cm="1">
        <f t="array" aca="1" ref="B13" ca="1">IFERROR(INDIRECT("List"&amp;"!"&amp;ADDRESS(MATCH($A13,List!$B:$B,0),MATCH($B$1,List!$1:$1,0),4)),"")</f>
        <v/>
      </c>
      <c r="C13" s="22" t="str" cm="1">
        <f t="array" aca="1" ref="C13" ca="1">IFERROR(INDIRECT("List"&amp;"!"&amp;ADDRESS(MATCH($A13,List!$B:$B,0),MATCH($C$1,List!$1:$1,0),4)),"")</f>
        <v/>
      </c>
      <c r="D13" s="22" t="str" cm="1">
        <f t="array" aca="1" ref="D13" ca="1">IFERROR(INDIRECT("List"&amp;"!"&amp;ADDRESS(MATCH($A13,List!$B:$B,0),MATCH($D$1,List!$1:$1,0),4)),"")</f>
        <v/>
      </c>
      <c r="E13" s="22" t="str" cm="1">
        <f t="array" aca="1" ref="E13" ca="1">IFERROR(INDIRECT("List"&amp;"!"&amp;ADDRESS(MATCH($A13,List!$B:$B,0),MATCH($E$1,List!$1:$1,0),4)),"")</f>
        <v/>
      </c>
      <c r="F13" s="27" t="str" cm="1">
        <f t="array" aca="1" ref="F13" ca="1">IFERROR(INDIRECT("List"&amp;"!"&amp;ADDRESS(MATCH($A13,List!$B:$B,0),MATCH($F$1,List!$1:$1,0),4)),"")</f>
        <v/>
      </c>
      <c r="G13" s="31" t="str" cm="1">
        <f t="array" aca="1" ref="G13" ca="1">IFERROR(INDIRECT("Data"&amp;"!"&amp;ADDRESS(MATCH($G$1,Data!$A$1:$A$20,0),MATCH($A13,Data!$2:$2,0)+3,4)),"")</f>
        <v/>
      </c>
      <c r="H13" s="31" t="str" cm="1">
        <f t="array" aca="1" ref="H13" ca="1">IFERROR(INDIRECT("Data"&amp;"!"&amp;ADDRESS(MATCH($G$1,Data!$A$1:$A$20,0),MATCH($A13,Data!$2:$2,0),4)),"")</f>
        <v/>
      </c>
      <c r="I13" s="31" t="str" cm="1">
        <f t="array" aca="1" ref="I13" ca="1">IFERROR(INDIRECT("Data"&amp;"!"&amp;ADDRESS(MATCH($G$1,Data!$A$1:$A$20,0),MATCH($A13,Data!$2:$2,0)+1,4)),"")</f>
        <v/>
      </c>
      <c r="J13" s="31" t="str" cm="1">
        <f t="array" aca="1" ref="J13" ca="1">IFERROR(INDIRECT("Data"&amp;"!"&amp;ADDRESS(MATCH($G$1,Data!$A$1:$A$20,0),MATCH($A13,Data!$2:$2,0)+2,4)),"")</f>
        <v/>
      </c>
      <c r="K13" s="34" t="str" cm="1">
        <f t="array" aca="1" ref="K13" ca="1">IFERROR(INDIRECT("Data"&amp;"!"&amp;ADDRESS(MATCH($K$1,Data!$A$1:$A$20,0),MATCH($A13,Data!$2:$2,0)+2,4)),"")</f>
        <v/>
      </c>
      <c r="M13" s="115"/>
      <c r="N13" s="6"/>
      <c r="O13" s="6"/>
      <c r="P13" s="6"/>
      <c r="Q13" s="6"/>
      <c r="R13" s="6"/>
      <c r="S13" s="14"/>
      <c r="T13" s="6"/>
      <c r="U13" s="7">
        <v>10</v>
      </c>
      <c r="V13" s="7">
        <v>-70</v>
      </c>
      <c r="W13" s="5">
        <v>0</v>
      </c>
      <c r="X13" s="7" t="str" cm="1">
        <f t="array" aca="1" ref="X13" ca="1">IFERROR(INDIRECT("Data"&amp;"!"&amp;ADDRESS(MATCH($V$1,Data!$A:$A,0)+3+$U13,MATCH(X$1,Data!$2:$2,0)+3,4)),"")</f>
        <v/>
      </c>
      <c r="Y13" s="5" t="str" cm="1">
        <f t="array" aca="1" ref="Y13" ca="1">IFERROR(INDIRECT("Data"&amp;"!"&amp;ADDRESS(MATCH($V$1,Data!$A:$A,0)+3+$U13,MATCH(Y$1,Data!$2:$2,0)+3,4)),"")</f>
        <v/>
      </c>
      <c r="Z13" s="5" t="str" cm="1">
        <f t="array" aca="1" ref="Z13" ca="1">IFERROR(INDIRECT("Data"&amp;"!"&amp;ADDRESS(MATCH($V$1,Data!$A:$A,0)+3+$U13,MATCH(Z$1,Data!$2:$2,0)+3,4)),"")</f>
        <v/>
      </c>
      <c r="AA13" s="5" t="str" cm="1">
        <f t="array" aca="1" ref="AA13" ca="1">IFERROR(INDIRECT("Data"&amp;"!"&amp;ADDRESS(MATCH($V$1,Data!$A:$A,0)+3+$U13,MATCH(AA$1,Data!$2:$2,0)+3,4)),"")</f>
        <v/>
      </c>
      <c r="AB13" s="5" t="str" cm="1">
        <f t="array" aca="1" ref="AB13" ca="1">IFERROR(INDIRECT("Data"&amp;"!"&amp;ADDRESS(MATCH($V$1,Data!$A:$A,0)+3+$U13,MATCH(AB$1,Data!$2:$2,0)+3,4)),"")</f>
        <v/>
      </c>
      <c r="AC13" s="5" t="str" cm="1">
        <f t="array" aca="1" ref="AC13" ca="1">IFERROR(INDIRECT("Data"&amp;"!"&amp;ADDRESS(MATCH($V$1,Data!$A:$A,0)+3+$U13,MATCH(AC$1,Data!$2:$2,0)+3,4)),"")</f>
        <v/>
      </c>
      <c r="AD13" s="5" t="str" cm="1">
        <f t="array" aca="1" ref="AD13" ca="1">IFERROR(INDIRECT("Data"&amp;"!"&amp;ADDRESS(MATCH($V$1,Data!$A:$A,0)+3+$U13,MATCH(AD$1,Data!$2:$2,0)+3,4)),"")</f>
        <v/>
      </c>
      <c r="AE13" s="5" t="str" cm="1">
        <f t="array" aca="1" ref="AE13" ca="1">IFERROR(INDIRECT("Data"&amp;"!"&amp;ADDRESS(MATCH($V$1,Data!$A:$A,0)+3+$U13,MATCH(AE$1,Data!$2:$2,0)+3,4)),"")</f>
        <v/>
      </c>
      <c r="AF13" s="5" t="str" cm="1">
        <f t="array" aca="1" ref="AF13" ca="1">IFERROR(INDIRECT("Data"&amp;"!"&amp;ADDRESS(MATCH($V$1,Data!$A:$A,0)+3+$U13,MATCH(AF$1,Data!$2:$2,0)+3,4)),"")</f>
        <v/>
      </c>
      <c r="AG13" s="5" t="str" cm="1">
        <f t="array" aca="1" ref="AG13" ca="1">IFERROR(INDIRECT("Data"&amp;"!"&amp;ADDRESS(MATCH($V$1,Data!$A:$A,0)+3+$U13,MATCH(AG$1,Data!$2:$2,0)+3,4)),"")</f>
        <v/>
      </c>
    </row>
    <row r="14" spans="1:34" x14ac:dyDescent="0.25">
      <c r="B14" s="22" t="str" cm="1">
        <f t="array" aca="1" ref="B14" ca="1">IFERROR(INDIRECT("List"&amp;"!"&amp;ADDRESS(MATCH($A14,List!$B:$B,0),MATCH($B$1,List!$1:$1,0),4)),"")</f>
        <v/>
      </c>
      <c r="C14" s="22" t="str" cm="1">
        <f t="array" aca="1" ref="C14" ca="1">IFERROR(INDIRECT("List"&amp;"!"&amp;ADDRESS(MATCH($A14,List!$B:$B,0),MATCH($C$1,List!$1:$1,0),4)),"")</f>
        <v/>
      </c>
      <c r="D14" s="22" t="str" cm="1">
        <f t="array" aca="1" ref="D14" ca="1">IFERROR(INDIRECT("List"&amp;"!"&amp;ADDRESS(MATCH($A14,List!$B:$B,0),MATCH($D$1,List!$1:$1,0),4)),"")</f>
        <v/>
      </c>
      <c r="E14" s="22" t="str" cm="1">
        <f t="array" aca="1" ref="E14" ca="1">IFERROR(INDIRECT("List"&amp;"!"&amp;ADDRESS(MATCH($A14,List!$B:$B,0),MATCH($E$1,List!$1:$1,0),4)),"")</f>
        <v/>
      </c>
      <c r="F14" s="27" t="str" cm="1">
        <f t="array" aca="1" ref="F14" ca="1">IFERROR(INDIRECT("List"&amp;"!"&amp;ADDRESS(MATCH($A14,List!$B:$B,0),MATCH($F$1,List!$1:$1,0),4)),"")</f>
        <v/>
      </c>
      <c r="G14" s="31" t="str" cm="1">
        <f t="array" aca="1" ref="G14" ca="1">IFERROR(INDIRECT("Data"&amp;"!"&amp;ADDRESS(MATCH($G$1,Data!$A$1:$A$20,0),MATCH($A14,Data!$2:$2,0)+3,4)),"")</f>
        <v/>
      </c>
      <c r="H14" s="31" t="str" cm="1">
        <f t="array" aca="1" ref="H14" ca="1">IFERROR(INDIRECT("Data"&amp;"!"&amp;ADDRESS(MATCH($G$1,Data!$A$1:$A$20,0),MATCH($A14,Data!$2:$2,0),4)),"")</f>
        <v/>
      </c>
      <c r="I14" s="31" t="str" cm="1">
        <f t="array" aca="1" ref="I14" ca="1">IFERROR(INDIRECT("Data"&amp;"!"&amp;ADDRESS(MATCH($G$1,Data!$A$1:$A$20,0),MATCH($A14,Data!$2:$2,0)+1,4)),"")</f>
        <v/>
      </c>
      <c r="J14" s="31" t="str" cm="1">
        <f t="array" aca="1" ref="J14" ca="1">IFERROR(INDIRECT("Data"&amp;"!"&amp;ADDRESS(MATCH($G$1,Data!$A$1:$A$20,0),MATCH($A14,Data!$2:$2,0)+2,4)),"")</f>
        <v/>
      </c>
      <c r="K14" s="34" t="str" cm="1">
        <f t="array" aca="1" ref="K14" ca="1">IFERROR(INDIRECT("Data"&amp;"!"&amp;ADDRESS(MATCH($K$1,Data!$A$1:$A$20,0),MATCH($A14,Data!$2:$2,0)+2,4)),"")</f>
        <v/>
      </c>
      <c r="M14" s="115"/>
      <c r="N14" s="6"/>
      <c r="O14" s="6"/>
      <c r="P14" s="6"/>
      <c r="Q14" s="6"/>
      <c r="R14" s="6"/>
      <c r="S14" s="14"/>
      <c r="T14" s="6"/>
      <c r="U14" s="7">
        <v>11</v>
      </c>
      <c r="V14" s="7">
        <v>-65</v>
      </c>
      <c r="W14" s="5">
        <v>0</v>
      </c>
      <c r="X14" s="7" t="str" cm="1">
        <f t="array" aca="1" ref="X14" ca="1">IFERROR(INDIRECT("Data"&amp;"!"&amp;ADDRESS(MATCH($V$1,Data!$A:$A,0)+3+$U14,MATCH(X$1,Data!$2:$2,0)+3,4)),"")</f>
        <v/>
      </c>
      <c r="Y14" s="5" t="str" cm="1">
        <f t="array" aca="1" ref="Y14" ca="1">IFERROR(INDIRECT("Data"&amp;"!"&amp;ADDRESS(MATCH($V$1,Data!$A:$A,0)+3+$U14,MATCH(Y$1,Data!$2:$2,0)+3,4)),"")</f>
        <v/>
      </c>
      <c r="Z14" s="5" t="str" cm="1">
        <f t="array" aca="1" ref="Z14" ca="1">IFERROR(INDIRECT("Data"&amp;"!"&amp;ADDRESS(MATCH($V$1,Data!$A:$A,0)+3+$U14,MATCH(Z$1,Data!$2:$2,0)+3,4)),"")</f>
        <v/>
      </c>
      <c r="AA14" s="5" t="str" cm="1">
        <f t="array" aca="1" ref="AA14" ca="1">IFERROR(INDIRECT("Data"&amp;"!"&amp;ADDRESS(MATCH($V$1,Data!$A:$A,0)+3+$U14,MATCH(AA$1,Data!$2:$2,0)+3,4)),"")</f>
        <v/>
      </c>
      <c r="AB14" s="5" t="str" cm="1">
        <f t="array" aca="1" ref="AB14" ca="1">IFERROR(INDIRECT("Data"&amp;"!"&amp;ADDRESS(MATCH($V$1,Data!$A:$A,0)+3+$U14,MATCH(AB$1,Data!$2:$2,0)+3,4)),"")</f>
        <v/>
      </c>
      <c r="AC14" s="5" t="str" cm="1">
        <f t="array" aca="1" ref="AC14" ca="1">IFERROR(INDIRECT("Data"&amp;"!"&amp;ADDRESS(MATCH($V$1,Data!$A:$A,0)+3+$U14,MATCH(AC$1,Data!$2:$2,0)+3,4)),"")</f>
        <v/>
      </c>
      <c r="AD14" s="5" t="str" cm="1">
        <f t="array" aca="1" ref="AD14" ca="1">IFERROR(INDIRECT("Data"&amp;"!"&amp;ADDRESS(MATCH($V$1,Data!$A:$A,0)+3+$U14,MATCH(AD$1,Data!$2:$2,0)+3,4)),"")</f>
        <v/>
      </c>
      <c r="AE14" s="5" t="str" cm="1">
        <f t="array" aca="1" ref="AE14" ca="1">IFERROR(INDIRECT("Data"&amp;"!"&amp;ADDRESS(MATCH($V$1,Data!$A:$A,0)+3+$U14,MATCH(AE$1,Data!$2:$2,0)+3,4)),"")</f>
        <v/>
      </c>
      <c r="AF14" s="5" t="str" cm="1">
        <f t="array" aca="1" ref="AF14" ca="1">IFERROR(INDIRECT("Data"&amp;"!"&amp;ADDRESS(MATCH($V$1,Data!$A:$A,0)+3+$U14,MATCH(AF$1,Data!$2:$2,0)+3,4)),"")</f>
        <v/>
      </c>
      <c r="AG14" s="5" t="str" cm="1">
        <f t="array" aca="1" ref="AG14" ca="1">IFERROR(INDIRECT("Data"&amp;"!"&amp;ADDRESS(MATCH($V$1,Data!$A:$A,0)+3+$U14,MATCH(AG$1,Data!$2:$2,0)+3,4)),"")</f>
        <v/>
      </c>
    </row>
    <row r="15" spans="1:34" x14ac:dyDescent="0.25">
      <c r="B15" s="22" t="str" cm="1">
        <f t="array" aca="1" ref="B15" ca="1">IFERROR(INDIRECT("List"&amp;"!"&amp;ADDRESS(MATCH($A15,List!$B:$B,0),MATCH($B$1,List!$1:$1,0),4)),"")</f>
        <v/>
      </c>
      <c r="C15" s="22" t="str" cm="1">
        <f t="array" aca="1" ref="C15" ca="1">IFERROR(INDIRECT("List"&amp;"!"&amp;ADDRESS(MATCH($A15,List!$B:$B,0),MATCH($C$1,List!$1:$1,0),4)),"")</f>
        <v/>
      </c>
      <c r="D15" s="22" t="str" cm="1">
        <f t="array" aca="1" ref="D15" ca="1">IFERROR(INDIRECT("List"&amp;"!"&amp;ADDRESS(MATCH($A15,List!$B:$B,0),MATCH($D$1,List!$1:$1,0),4)),"")</f>
        <v/>
      </c>
      <c r="E15" s="22" t="str" cm="1">
        <f t="array" aca="1" ref="E15" ca="1">IFERROR(INDIRECT("List"&amp;"!"&amp;ADDRESS(MATCH($A15,List!$B:$B,0),MATCH($E$1,List!$1:$1,0),4)),"")</f>
        <v/>
      </c>
      <c r="F15" s="27" t="str" cm="1">
        <f t="array" aca="1" ref="F15" ca="1">IFERROR(INDIRECT("List"&amp;"!"&amp;ADDRESS(MATCH($A15,List!$B:$B,0),MATCH($F$1,List!$1:$1,0),4)),"")</f>
        <v/>
      </c>
      <c r="G15" s="31" t="str" cm="1">
        <f t="array" aca="1" ref="G15" ca="1">IFERROR(INDIRECT("Data"&amp;"!"&amp;ADDRESS(MATCH($G$1,Data!$A$1:$A$20,0),MATCH($A15,Data!$2:$2,0)+3,4)),"")</f>
        <v/>
      </c>
      <c r="H15" s="31" t="str" cm="1">
        <f t="array" aca="1" ref="H15" ca="1">IFERROR(INDIRECT("Data"&amp;"!"&amp;ADDRESS(MATCH($G$1,Data!$A$1:$A$20,0),MATCH($A15,Data!$2:$2,0),4)),"")</f>
        <v/>
      </c>
      <c r="I15" s="31" t="str" cm="1">
        <f t="array" aca="1" ref="I15" ca="1">IFERROR(INDIRECT("Data"&amp;"!"&amp;ADDRESS(MATCH($G$1,Data!$A$1:$A$20,0),MATCH($A15,Data!$2:$2,0)+1,4)),"")</f>
        <v/>
      </c>
      <c r="J15" s="31" t="str" cm="1">
        <f t="array" aca="1" ref="J15" ca="1">IFERROR(INDIRECT("Data"&amp;"!"&amp;ADDRESS(MATCH($G$1,Data!$A$1:$A$20,0),MATCH($A15,Data!$2:$2,0)+2,4)),"")</f>
        <v/>
      </c>
      <c r="K15" s="34" t="str" cm="1">
        <f t="array" aca="1" ref="K15" ca="1">IFERROR(INDIRECT("Data"&amp;"!"&amp;ADDRESS(MATCH($K$1,Data!$A$1:$A$20,0),MATCH($A15,Data!$2:$2,0)+2,4)),"")</f>
        <v/>
      </c>
      <c r="M15" s="115"/>
      <c r="N15" s="6"/>
      <c r="O15" s="6"/>
      <c r="P15" s="6"/>
      <c r="Q15" s="6"/>
      <c r="R15" s="6"/>
      <c r="S15" s="14"/>
      <c r="T15" s="6"/>
      <c r="U15" s="7">
        <v>12</v>
      </c>
      <c r="V15" s="7">
        <v>-60</v>
      </c>
      <c r="W15" s="5">
        <v>0</v>
      </c>
      <c r="X15" s="7" t="str" cm="1">
        <f t="array" aca="1" ref="X15" ca="1">IFERROR(INDIRECT("Data"&amp;"!"&amp;ADDRESS(MATCH($V$1,Data!$A:$A,0)+3+$U15,MATCH(X$1,Data!$2:$2,0)+3,4)),"")</f>
        <v/>
      </c>
      <c r="Y15" s="5" t="str" cm="1">
        <f t="array" aca="1" ref="Y15" ca="1">IFERROR(INDIRECT("Data"&amp;"!"&amp;ADDRESS(MATCH($V$1,Data!$A:$A,0)+3+$U15,MATCH(Y$1,Data!$2:$2,0)+3,4)),"")</f>
        <v/>
      </c>
      <c r="Z15" s="5" t="str" cm="1">
        <f t="array" aca="1" ref="Z15" ca="1">IFERROR(INDIRECT("Data"&amp;"!"&amp;ADDRESS(MATCH($V$1,Data!$A:$A,0)+3+$U15,MATCH(Z$1,Data!$2:$2,0)+3,4)),"")</f>
        <v/>
      </c>
      <c r="AA15" s="5" t="str" cm="1">
        <f t="array" aca="1" ref="AA15" ca="1">IFERROR(INDIRECT("Data"&amp;"!"&amp;ADDRESS(MATCH($V$1,Data!$A:$A,0)+3+$U15,MATCH(AA$1,Data!$2:$2,0)+3,4)),"")</f>
        <v/>
      </c>
      <c r="AB15" s="5" t="str" cm="1">
        <f t="array" aca="1" ref="AB15" ca="1">IFERROR(INDIRECT("Data"&amp;"!"&amp;ADDRESS(MATCH($V$1,Data!$A:$A,0)+3+$U15,MATCH(AB$1,Data!$2:$2,0)+3,4)),"")</f>
        <v/>
      </c>
      <c r="AC15" s="5" t="str" cm="1">
        <f t="array" aca="1" ref="AC15" ca="1">IFERROR(INDIRECT("Data"&amp;"!"&amp;ADDRESS(MATCH($V$1,Data!$A:$A,0)+3+$U15,MATCH(AC$1,Data!$2:$2,0)+3,4)),"")</f>
        <v/>
      </c>
      <c r="AD15" s="5" t="str" cm="1">
        <f t="array" aca="1" ref="AD15" ca="1">IFERROR(INDIRECT("Data"&amp;"!"&amp;ADDRESS(MATCH($V$1,Data!$A:$A,0)+3+$U15,MATCH(AD$1,Data!$2:$2,0)+3,4)),"")</f>
        <v/>
      </c>
      <c r="AE15" s="5" t="str" cm="1">
        <f t="array" aca="1" ref="AE15" ca="1">IFERROR(INDIRECT("Data"&amp;"!"&amp;ADDRESS(MATCH($V$1,Data!$A:$A,0)+3+$U15,MATCH(AE$1,Data!$2:$2,0)+3,4)),"")</f>
        <v/>
      </c>
      <c r="AF15" s="5" t="str" cm="1">
        <f t="array" aca="1" ref="AF15" ca="1">IFERROR(INDIRECT("Data"&amp;"!"&amp;ADDRESS(MATCH($V$1,Data!$A:$A,0)+3+$U15,MATCH(AF$1,Data!$2:$2,0)+3,4)),"")</f>
        <v/>
      </c>
      <c r="AG15" s="5" t="str" cm="1">
        <f t="array" aca="1" ref="AG15" ca="1">IFERROR(INDIRECT("Data"&amp;"!"&amp;ADDRESS(MATCH($V$1,Data!$A:$A,0)+3+$U15,MATCH(AG$1,Data!$2:$2,0)+3,4)),"")</f>
        <v/>
      </c>
    </row>
    <row r="16" spans="1:34" x14ac:dyDescent="0.25">
      <c r="B16" s="22" t="str" cm="1">
        <f t="array" aca="1" ref="B16" ca="1">IFERROR(INDIRECT("List"&amp;"!"&amp;ADDRESS(MATCH($A16,List!$B:$B,0),MATCH($B$1,List!$1:$1,0),4)),"")</f>
        <v/>
      </c>
      <c r="C16" s="22" t="str" cm="1">
        <f t="array" aca="1" ref="C16" ca="1">IFERROR(INDIRECT("List"&amp;"!"&amp;ADDRESS(MATCH($A16,List!$B:$B,0),MATCH($C$1,List!$1:$1,0),4)),"")</f>
        <v/>
      </c>
      <c r="D16" s="22" t="str" cm="1">
        <f t="array" aca="1" ref="D16" ca="1">IFERROR(INDIRECT("List"&amp;"!"&amp;ADDRESS(MATCH($A16,List!$B:$B,0),MATCH($D$1,List!$1:$1,0),4)),"")</f>
        <v/>
      </c>
      <c r="E16" s="22" t="str" cm="1">
        <f t="array" aca="1" ref="E16" ca="1">IFERROR(INDIRECT("List"&amp;"!"&amp;ADDRESS(MATCH($A16,List!$B:$B,0),MATCH($E$1,List!$1:$1,0),4)),"")</f>
        <v/>
      </c>
      <c r="F16" s="27" t="str" cm="1">
        <f t="array" aca="1" ref="F16" ca="1">IFERROR(INDIRECT("List"&amp;"!"&amp;ADDRESS(MATCH($A16,List!$B:$B,0),MATCH($F$1,List!$1:$1,0),4)),"")</f>
        <v/>
      </c>
      <c r="G16" s="31" t="str" cm="1">
        <f t="array" aca="1" ref="G16" ca="1">IFERROR(INDIRECT("Data"&amp;"!"&amp;ADDRESS(MATCH($G$1,Data!$A$1:$A$20,0),MATCH($A16,Data!$2:$2,0)+3,4)),"")</f>
        <v/>
      </c>
      <c r="H16" s="31" t="str" cm="1">
        <f t="array" aca="1" ref="H16" ca="1">IFERROR(INDIRECT("Data"&amp;"!"&amp;ADDRESS(MATCH($G$1,Data!$A$1:$A$20,0),MATCH($A16,Data!$2:$2,0),4)),"")</f>
        <v/>
      </c>
      <c r="I16" s="31" t="str" cm="1">
        <f t="array" aca="1" ref="I16" ca="1">IFERROR(INDIRECT("Data"&amp;"!"&amp;ADDRESS(MATCH($G$1,Data!$A$1:$A$20,0),MATCH($A16,Data!$2:$2,0)+1,4)),"")</f>
        <v/>
      </c>
      <c r="J16" s="31" t="str" cm="1">
        <f t="array" aca="1" ref="J16" ca="1">IFERROR(INDIRECT("Data"&amp;"!"&amp;ADDRESS(MATCH($G$1,Data!$A$1:$A$20,0),MATCH($A16,Data!$2:$2,0)+2,4)),"")</f>
        <v/>
      </c>
      <c r="K16" s="34" t="str" cm="1">
        <f t="array" aca="1" ref="K16" ca="1">IFERROR(INDIRECT("Data"&amp;"!"&amp;ADDRESS(MATCH($K$1,Data!$A$1:$A$20,0),MATCH($A16,Data!$2:$2,0)+2,4)),"")</f>
        <v/>
      </c>
      <c r="M16" s="115"/>
      <c r="N16" s="6"/>
      <c r="O16" s="6"/>
      <c r="P16" s="6"/>
      <c r="Q16" s="6"/>
      <c r="R16" s="6"/>
      <c r="S16" s="14"/>
      <c r="T16" s="6"/>
      <c r="U16" s="7">
        <v>13</v>
      </c>
      <c r="V16" s="7">
        <v>-55</v>
      </c>
      <c r="W16" s="5">
        <v>0</v>
      </c>
      <c r="X16" s="7" t="str" cm="1">
        <f t="array" aca="1" ref="X16" ca="1">IFERROR(INDIRECT("Data"&amp;"!"&amp;ADDRESS(MATCH($V$1,Data!$A:$A,0)+3+$U16,MATCH(X$1,Data!$2:$2,0)+3,4)),"")</f>
        <v/>
      </c>
      <c r="Y16" s="5" t="str" cm="1">
        <f t="array" aca="1" ref="Y16" ca="1">IFERROR(INDIRECT("Data"&amp;"!"&amp;ADDRESS(MATCH($V$1,Data!$A:$A,0)+3+$U16,MATCH(Y$1,Data!$2:$2,0)+3,4)),"")</f>
        <v/>
      </c>
      <c r="Z16" s="5" t="str" cm="1">
        <f t="array" aca="1" ref="Z16" ca="1">IFERROR(INDIRECT("Data"&amp;"!"&amp;ADDRESS(MATCH($V$1,Data!$A:$A,0)+3+$U16,MATCH(Z$1,Data!$2:$2,0)+3,4)),"")</f>
        <v/>
      </c>
      <c r="AA16" s="5" t="str" cm="1">
        <f t="array" aca="1" ref="AA16" ca="1">IFERROR(INDIRECT("Data"&amp;"!"&amp;ADDRESS(MATCH($V$1,Data!$A:$A,0)+3+$U16,MATCH(AA$1,Data!$2:$2,0)+3,4)),"")</f>
        <v/>
      </c>
      <c r="AB16" s="5" t="str" cm="1">
        <f t="array" aca="1" ref="AB16" ca="1">IFERROR(INDIRECT("Data"&amp;"!"&amp;ADDRESS(MATCH($V$1,Data!$A:$A,0)+3+$U16,MATCH(AB$1,Data!$2:$2,0)+3,4)),"")</f>
        <v/>
      </c>
      <c r="AC16" s="5" t="str" cm="1">
        <f t="array" aca="1" ref="AC16" ca="1">IFERROR(INDIRECT("Data"&amp;"!"&amp;ADDRESS(MATCH($V$1,Data!$A:$A,0)+3+$U16,MATCH(AC$1,Data!$2:$2,0)+3,4)),"")</f>
        <v/>
      </c>
      <c r="AD16" s="5" t="str" cm="1">
        <f t="array" aca="1" ref="AD16" ca="1">IFERROR(INDIRECT("Data"&amp;"!"&amp;ADDRESS(MATCH($V$1,Data!$A:$A,0)+3+$U16,MATCH(AD$1,Data!$2:$2,0)+3,4)),"")</f>
        <v/>
      </c>
      <c r="AE16" s="5" t="str" cm="1">
        <f t="array" aca="1" ref="AE16" ca="1">IFERROR(INDIRECT("Data"&amp;"!"&amp;ADDRESS(MATCH($V$1,Data!$A:$A,0)+3+$U16,MATCH(AE$1,Data!$2:$2,0)+3,4)),"")</f>
        <v/>
      </c>
      <c r="AF16" s="5" t="str" cm="1">
        <f t="array" aca="1" ref="AF16" ca="1">IFERROR(INDIRECT("Data"&amp;"!"&amp;ADDRESS(MATCH($V$1,Data!$A:$A,0)+3+$U16,MATCH(AF$1,Data!$2:$2,0)+3,4)),"")</f>
        <v/>
      </c>
      <c r="AG16" s="5" t="str" cm="1">
        <f t="array" aca="1" ref="AG16" ca="1">IFERROR(INDIRECT("Data"&amp;"!"&amp;ADDRESS(MATCH($V$1,Data!$A:$A,0)+3+$U16,MATCH(AG$1,Data!$2:$2,0)+3,4)),"")</f>
        <v/>
      </c>
    </row>
    <row r="17" spans="2:33" x14ac:dyDescent="0.25">
      <c r="B17" s="22" t="str" cm="1">
        <f t="array" aca="1" ref="B17" ca="1">IFERROR(INDIRECT("List"&amp;"!"&amp;ADDRESS(MATCH($A17,List!$B:$B,0),MATCH($B$1,List!$1:$1,0),4)),"")</f>
        <v/>
      </c>
      <c r="C17" s="22" t="str" cm="1">
        <f t="array" aca="1" ref="C17" ca="1">IFERROR(INDIRECT("List"&amp;"!"&amp;ADDRESS(MATCH($A17,List!$B:$B,0),MATCH($C$1,List!$1:$1,0),4)),"")</f>
        <v/>
      </c>
      <c r="D17" s="22" t="str" cm="1">
        <f t="array" aca="1" ref="D17" ca="1">IFERROR(INDIRECT("List"&amp;"!"&amp;ADDRESS(MATCH($A17,List!$B:$B,0),MATCH($D$1,List!$1:$1,0),4)),"")</f>
        <v/>
      </c>
      <c r="E17" s="22" t="str" cm="1">
        <f t="array" aca="1" ref="E17" ca="1">IFERROR(INDIRECT("List"&amp;"!"&amp;ADDRESS(MATCH($A17,List!$B:$B,0),MATCH($E$1,List!$1:$1,0),4)),"")</f>
        <v/>
      </c>
      <c r="F17" s="27" t="str" cm="1">
        <f t="array" aca="1" ref="F17" ca="1">IFERROR(INDIRECT("List"&amp;"!"&amp;ADDRESS(MATCH($A17,List!$B:$B,0),MATCH($F$1,List!$1:$1,0),4)),"")</f>
        <v/>
      </c>
      <c r="G17" s="31" t="str" cm="1">
        <f t="array" aca="1" ref="G17" ca="1">IFERROR(INDIRECT("Data"&amp;"!"&amp;ADDRESS(MATCH($G$1,Data!$A$1:$A$20,0),MATCH($A17,Data!$2:$2,0)+3,4)),"")</f>
        <v/>
      </c>
      <c r="H17" s="31" t="str" cm="1">
        <f t="array" aca="1" ref="H17" ca="1">IFERROR(INDIRECT("Data"&amp;"!"&amp;ADDRESS(MATCH($G$1,Data!$A$1:$A$20,0),MATCH($A17,Data!$2:$2,0),4)),"")</f>
        <v/>
      </c>
      <c r="I17" s="31" t="str" cm="1">
        <f t="array" aca="1" ref="I17" ca="1">IFERROR(INDIRECT("Data"&amp;"!"&amp;ADDRESS(MATCH($G$1,Data!$A$1:$A$20,0),MATCH($A17,Data!$2:$2,0)+1,4)),"")</f>
        <v/>
      </c>
      <c r="J17" s="31" t="str" cm="1">
        <f t="array" aca="1" ref="J17" ca="1">IFERROR(INDIRECT("Data"&amp;"!"&amp;ADDRESS(MATCH($G$1,Data!$A$1:$A$20,0),MATCH($A17,Data!$2:$2,0)+2,4)),"")</f>
        <v/>
      </c>
      <c r="K17" s="34" t="str" cm="1">
        <f t="array" aca="1" ref="K17" ca="1">IFERROR(INDIRECT("Data"&amp;"!"&amp;ADDRESS(MATCH($K$1,Data!$A$1:$A$20,0),MATCH($A17,Data!$2:$2,0)+2,4)),"")</f>
        <v/>
      </c>
      <c r="M17" s="115"/>
      <c r="N17" s="6"/>
      <c r="O17" s="6"/>
      <c r="P17" s="6"/>
      <c r="Q17" s="6"/>
      <c r="R17" s="6"/>
      <c r="S17" s="14"/>
      <c r="T17" s="6"/>
      <c r="U17" s="7">
        <v>14</v>
      </c>
      <c r="V17" s="7">
        <v>-50</v>
      </c>
      <c r="W17" s="5">
        <v>0</v>
      </c>
      <c r="X17" s="7" t="str" cm="1">
        <f t="array" aca="1" ref="X17" ca="1">IFERROR(INDIRECT("Data"&amp;"!"&amp;ADDRESS(MATCH($V$1,Data!$A:$A,0)+3+$U17,MATCH(X$1,Data!$2:$2,0)+3,4)),"")</f>
        <v/>
      </c>
      <c r="Y17" s="5" t="str" cm="1">
        <f t="array" aca="1" ref="Y17" ca="1">IFERROR(INDIRECT("Data"&amp;"!"&amp;ADDRESS(MATCH($V$1,Data!$A:$A,0)+3+$U17,MATCH(Y$1,Data!$2:$2,0)+3,4)),"")</f>
        <v/>
      </c>
      <c r="Z17" s="5" t="str" cm="1">
        <f t="array" aca="1" ref="Z17" ca="1">IFERROR(INDIRECT("Data"&amp;"!"&amp;ADDRESS(MATCH($V$1,Data!$A:$A,0)+3+$U17,MATCH(Z$1,Data!$2:$2,0)+3,4)),"")</f>
        <v/>
      </c>
      <c r="AA17" s="5" t="str" cm="1">
        <f t="array" aca="1" ref="AA17" ca="1">IFERROR(INDIRECT("Data"&amp;"!"&amp;ADDRESS(MATCH($V$1,Data!$A:$A,0)+3+$U17,MATCH(AA$1,Data!$2:$2,0)+3,4)),"")</f>
        <v/>
      </c>
      <c r="AB17" s="5" t="str" cm="1">
        <f t="array" aca="1" ref="AB17" ca="1">IFERROR(INDIRECT("Data"&amp;"!"&amp;ADDRESS(MATCH($V$1,Data!$A:$A,0)+3+$U17,MATCH(AB$1,Data!$2:$2,0)+3,4)),"")</f>
        <v/>
      </c>
      <c r="AC17" s="5" t="str" cm="1">
        <f t="array" aca="1" ref="AC17" ca="1">IFERROR(INDIRECT("Data"&amp;"!"&amp;ADDRESS(MATCH($V$1,Data!$A:$A,0)+3+$U17,MATCH(AC$1,Data!$2:$2,0)+3,4)),"")</f>
        <v/>
      </c>
      <c r="AD17" s="5" t="str" cm="1">
        <f t="array" aca="1" ref="AD17" ca="1">IFERROR(INDIRECT("Data"&amp;"!"&amp;ADDRESS(MATCH($V$1,Data!$A:$A,0)+3+$U17,MATCH(AD$1,Data!$2:$2,0)+3,4)),"")</f>
        <v/>
      </c>
      <c r="AE17" s="5" t="str" cm="1">
        <f t="array" aca="1" ref="AE17" ca="1">IFERROR(INDIRECT("Data"&amp;"!"&amp;ADDRESS(MATCH($V$1,Data!$A:$A,0)+3+$U17,MATCH(AE$1,Data!$2:$2,0)+3,4)),"")</f>
        <v/>
      </c>
      <c r="AF17" s="5" t="str" cm="1">
        <f t="array" aca="1" ref="AF17" ca="1">IFERROR(INDIRECT("Data"&amp;"!"&amp;ADDRESS(MATCH($V$1,Data!$A:$A,0)+3+$U17,MATCH(AF$1,Data!$2:$2,0)+3,4)),"")</f>
        <v/>
      </c>
      <c r="AG17" s="5" t="str" cm="1">
        <f t="array" aca="1" ref="AG17" ca="1">IFERROR(INDIRECT("Data"&amp;"!"&amp;ADDRESS(MATCH($V$1,Data!$A:$A,0)+3+$U17,MATCH(AG$1,Data!$2:$2,0)+3,4)),"")</f>
        <v/>
      </c>
    </row>
    <row r="18" spans="2:33" x14ac:dyDescent="0.25">
      <c r="B18" s="22" t="str" cm="1">
        <f t="array" aca="1" ref="B18" ca="1">IFERROR(INDIRECT("List"&amp;"!"&amp;ADDRESS(MATCH($A18,List!$B:$B,0),MATCH($B$1,List!$1:$1,0),4)),"")</f>
        <v/>
      </c>
      <c r="C18" s="22" t="str" cm="1">
        <f t="array" aca="1" ref="C18" ca="1">IFERROR(INDIRECT("List"&amp;"!"&amp;ADDRESS(MATCH($A18,List!$B:$B,0),MATCH($C$1,List!$1:$1,0),4)),"")</f>
        <v/>
      </c>
      <c r="D18" s="22" t="str" cm="1">
        <f t="array" aca="1" ref="D18" ca="1">IFERROR(INDIRECT("List"&amp;"!"&amp;ADDRESS(MATCH($A18,List!$B:$B,0),MATCH($D$1,List!$1:$1,0),4)),"")</f>
        <v/>
      </c>
      <c r="E18" s="22" t="str" cm="1">
        <f t="array" aca="1" ref="E18" ca="1">IFERROR(INDIRECT("List"&amp;"!"&amp;ADDRESS(MATCH($A18,List!$B:$B,0),MATCH($E$1,List!$1:$1,0),4)),"")</f>
        <v/>
      </c>
      <c r="F18" s="27" t="str" cm="1">
        <f t="array" aca="1" ref="F18" ca="1">IFERROR(INDIRECT("List"&amp;"!"&amp;ADDRESS(MATCH($A18,List!$B:$B,0),MATCH($F$1,List!$1:$1,0),4)),"")</f>
        <v/>
      </c>
      <c r="G18" s="31" t="str" cm="1">
        <f t="array" aca="1" ref="G18" ca="1">IFERROR(INDIRECT("Data"&amp;"!"&amp;ADDRESS(MATCH($G$1,Data!$A$1:$A$20,0),MATCH($A18,Data!$2:$2,0)+3,4)),"")</f>
        <v/>
      </c>
      <c r="H18" s="31" t="str" cm="1">
        <f t="array" aca="1" ref="H18" ca="1">IFERROR(INDIRECT("Data"&amp;"!"&amp;ADDRESS(MATCH($G$1,Data!$A$1:$A$20,0),MATCH($A18,Data!$2:$2,0),4)),"")</f>
        <v/>
      </c>
      <c r="I18" s="31" t="str" cm="1">
        <f t="array" aca="1" ref="I18" ca="1">IFERROR(INDIRECT("Data"&amp;"!"&amp;ADDRESS(MATCH($G$1,Data!$A$1:$A$20,0),MATCH($A18,Data!$2:$2,0)+1,4)),"")</f>
        <v/>
      </c>
      <c r="J18" s="31" t="str" cm="1">
        <f t="array" aca="1" ref="J18" ca="1">IFERROR(INDIRECT("Data"&amp;"!"&amp;ADDRESS(MATCH($G$1,Data!$A$1:$A$20,0),MATCH($A18,Data!$2:$2,0)+2,4)),"")</f>
        <v/>
      </c>
      <c r="K18" s="34" t="str" cm="1">
        <f t="array" aca="1" ref="K18" ca="1">IFERROR(INDIRECT("Data"&amp;"!"&amp;ADDRESS(MATCH($K$1,Data!$A$1:$A$20,0),MATCH($A18,Data!$2:$2,0)+2,4)),"")</f>
        <v/>
      </c>
      <c r="M18" s="115"/>
      <c r="N18" s="6"/>
      <c r="O18" s="6"/>
      <c r="P18" s="6"/>
      <c r="Q18" s="6"/>
      <c r="R18" s="6"/>
      <c r="S18" s="14"/>
      <c r="T18" s="6"/>
      <c r="U18" s="7">
        <v>15</v>
      </c>
      <c r="V18" s="7">
        <v>-45</v>
      </c>
      <c r="W18" s="5">
        <v>0</v>
      </c>
      <c r="X18" s="7" t="str" cm="1">
        <f t="array" aca="1" ref="X18" ca="1">IFERROR(INDIRECT("Data"&amp;"!"&amp;ADDRESS(MATCH($V$1,Data!$A:$A,0)+3+$U18,MATCH(X$1,Data!$2:$2,0)+3,4)),"")</f>
        <v/>
      </c>
      <c r="Y18" s="5" t="str" cm="1">
        <f t="array" aca="1" ref="Y18" ca="1">IFERROR(INDIRECT("Data"&amp;"!"&amp;ADDRESS(MATCH($V$1,Data!$A:$A,0)+3+$U18,MATCH(Y$1,Data!$2:$2,0)+3,4)),"")</f>
        <v/>
      </c>
      <c r="Z18" s="5" t="str" cm="1">
        <f t="array" aca="1" ref="Z18" ca="1">IFERROR(INDIRECT("Data"&amp;"!"&amp;ADDRESS(MATCH($V$1,Data!$A:$A,0)+3+$U18,MATCH(Z$1,Data!$2:$2,0)+3,4)),"")</f>
        <v/>
      </c>
      <c r="AA18" s="5" t="str" cm="1">
        <f t="array" aca="1" ref="AA18" ca="1">IFERROR(INDIRECT("Data"&amp;"!"&amp;ADDRESS(MATCH($V$1,Data!$A:$A,0)+3+$U18,MATCH(AA$1,Data!$2:$2,0)+3,4)),"")</f>
        <v/>
      </c>
      <c r="AB18" s="5" t="str" cm="1">
        <f t="array" aca="1" ref="AB18" ca="1">IFERROR(INDIRECT("Data"&amp;"!"&amp;ADDRESS(MATCH($V$1,Data!$A:$A,0)+3+$U18,MATCH(AB$1,Data!$2:$2,0)+3,4)),"")</f>
        <v/>
      </c>
      <c r="AC18" s="5" t="str" cm="1">
        <f t="array" aca="1" ref="AC18" ca="1">IFERROR(INDIRECT("Data"&amp;"!"&amp;ADDRESS(MATCH($V$1,Data!$A:$A,0)+3+$U18,MATCH(AC$1,Data!$2:$2,0)+3,4)),"")</f>
        <v/>
      </c>
      <c r="AD18" s="5" t="str" cm="1">
        <f t="array" aca="1" ref="AD18" ca="1">IFERROR(INDIRECT("Data"&amp;"!"&amp;ADDRESS(MATCH($V$1,Data!$A:$A,0)+3+$U18,MATCH(AD$1,Data!$2:$2,0)+3,4)),"")</f>
        <v/>
      </c>
      <c r="AE18" s="5" t="str" cm="1">
        <f t="array" aca="1" ref="AE18" ca="1">IFERROR(INDIRECT("Data"&amp;"!"&amp;ADDRESS(MATCH($V$1,Data!$A:$A,0)+3+$U18,MATCH(AE$1,Data!$2:$2,0)+3,4)),"")</f>
        <v/>
      </c>
      <c r="AF18" s="5" t="str" cm="1">
        <f t="array" aca="1" ref="AF18" ca="1">IFERROR(INDIRECT("Data"&amp;"!"&amp;ADDRESS(MATCH($V$1,Data!$A:$A,0)+3+$U18,MATCH(AF$1,Data!$2:$2,0)+3,4)),"")</f>
        <v/>
      </c>
      <c r="AG18" s="5" t="str" cm="1">
        <f t="array" aca="1" ref="AG18" ca="1">IFERROR(INDIRECT("Data"&amp;"!"&amp;ADDRESS(MATCH($V$1,Data!$A:$A,0)+3+$U18,MATCH(AG$1,Data!$2:$2,0)+3,4)),"")</f>
        <v/>
      </c>
    </row>
    <row r="19" spans="2:33" x14ac:dyDescent="0.25">
      <c r="B19" s="22" t="str" cm="1">
        <f t="array" aca="1" ref="B19" ca="1">IFERROR(INDIRECT("List"&amp;"!"&amp;ADDRESS(MATCH($A19,List!$B:$B,0),MATCH($B$1,List!$1:$1,0),4)),"")</f>
        <v/>
      </c>
      <c r="C19" s="22" t="str" cm="1">
        <f t="array" aca="1" ref="C19" ca="1">IFERROR(INDIRECT("List"&amp;"!"&amp;ADDRESS(MATCH($A19,List!$B:$B,0),MATCH($C$1,List!$1:$1,0),4)),"")</f>
        <v/>
      </c>
      <c r="D19" s="22" t="str" cm="1">
        <f t="array" aca="1" ref="D19" ca="1">IFERROR(INDIRECT("List"&amp;"!"&amp;ADDRESS(MATCH($A19,List!$B:$B,0),MATCH($D$1,List!$1:$1,0),4)),"")</f>
        <v/>
      </c>
      <c r="E19" s="22" t="str" cm="1">
        <f t="array" aca="1" ref="E19" ca="1">IFERROR(INDIRECT("List"&amp;"!"&amp;ADDRESS(MATCH($A19,List!$B:$B,0),MATCH($E$1,List!$1:$1,0),4)),"")</f>
        <v/>
      </c>
      <c r="F19" s="27" t="str" cm="1">
        <f t="array" aca="1" ref="F19" ca="1">IFERROR(INDIRECT("List"&amp;"!"&amp;ADDRESS(MATCH($A19,List!$B:$B,0),MATCH($F$1,List!$1:$1,0),4)),"")</f>
        <v/>
      </c>
      <c r="G19" s="31" t="str" cm="1">
        <f t="array" aca="1" ref="G19" ca="1">IFERROR(INDIRECT("Data"&amp;"!"&amp;ADDRESS(MATCH($G$1,Data!$A$1:$A$20,0),MATCH($A19,Data!$2:$2,0)+3,4)),"")</f>
        <v/>
      </c>
      <c r="H19" s="31" t="str" cm="1">
        <f t="array" aca="1" ref="H19" ca="1">IFERROR(INDIRECT("Data"&amp;"!"&amp;ADDRESS(MATCH($G$1,Data!$A$1:$A$20,0),MATCH($A19,Data!$2:$2,0),4)),"")</f>
        <v/>
      </c>
      <c r="I19" s="31" t="str" cm="1">
        <f t="array" aca="1" ref="I19" ca="1">IFERROR(INDIRECT("Data"&amp;"!"&amp;ADDRESS(MATCH($G$1,Data!$A$1:$A$20,0),MATCH($A19,Data!$2:$2,0)+1,4)),"")</f>
        <v/>
      </c>
      <c r="J19" s="31" t="str" cm="1">
        <f t="array" aca="1" ref="J19" ca="1">IFERROR(INDIRECT("Data"&amp;"!"&amp;ADDRESS(MATCH($G$1,Data!$A$1:$A$20,0),MATCH($A19,Data!$2:$2,0)+2,4)),"")</f>
        <v/>
      </c>
      <c r="K19" s="34" t="str" cm="1">
        <f t="array" aca="1" ref="K19" ca="1">IFERROR(INDIRECT("Data"&amp;"!"&amp;ADDRESS(MATCH($K$1,Data!$A$1:$A$20,0),MATCH($A19,Data!$2:$2,0)+2,4)),"")</f>
        <v/>
      </c>
      <c r="M19" s="115"/>
      <c r="N19" s="6"/>
      <c r="O19" s="6"/>
      <c r="P19" s="6"/>
      <c r="Q19" s="6"/>
      <c r="R19" s="6"/>
      <c r="S19" s="14"/>
      <c r="T19" s="6"/>
      <c r="U19" s="7">
        <v>16</v>
      </c>
      <c r="V19" s="7">
        <v>-40</v>
      </c>
      <c r="W19" s="5">
        <v>0</v>
      </c>
      <c r="X19" s="7" t="str" cm="1">
        <f t="array" aca="1" ref="X19" ca="1">IFERROR(INDIRECT("Data"&amp;"!"&amp;ADDRESS(MATCH($V$1,Data!$A:$A,0)+3+$U19,MATCH(X$1,Data!$2:$2,0)+3,4)),"")</f>
        <v/>
      </c>
      <c r="Y19" s="5" t="str" cm="1">
        <f t="array" aca="1" ref="Y19" ca="1">IFERROR(INDIRECT("Data"&amp;"!"&amp;ADDRESS(MATCH($V$1,Data!$A:$A,0)+3+$U19,MATCH(Y$1,Data!$2:$2,0)+3,4)),"")</f>
        <v/>
      </c>
      <c r="Z19" s="5" t="str" cm="1">
        <f t="array" aca="1" ref="Z19" ca="1">IFERROR(INDIRECT("Data"&amp;"!"&amp;ADDRESS(MATCH($V$1,Data!$A:$A,0)+3+$U19,MATCH(Z$1,Data!$2:$2,0)+3,4)),"")</f>
        <v/>
      </c>
      <c r="AA19" s="5" t="str" cm="1">
        <f t="array" aca="1" ref="AA19" ca="1">IFERROR(INDIRECT("Data"&amp;"!"&amp;ADDRESS(MATCH($V$1,Data!$A:$A,0)+3+$U19,MATCH(AA$1,Data!$2:$2,0)+3,4)),"")</f>
        <v/>
      </c>
      <c r="AB19" s="5" t="str" cm="1">
        <f t="array" aca="1" ref="AB19" ca="1">IFERROR(INDIRECT("Data"&amp;"!"&amp;ADDRESS(MATCH($V$1,Data!$A:$A,0)+3+$U19,MATCH(AB$1,Data!$2:$2,0)+3,4)),"")</f>
        <v/>
      </c>
      <c r="AC19" s="5" t="str" cm="1">
        <f t="array" aca="1" ref="AC19" ca="1">IFERROR(INDIRECT("Data"&amp;"!"&amp;ADDRESS(MATCH($V$1,Data!$A:$A,0)+3+$U19,MATCH(AC$1,Data!$2:$2,0)+3,4)),"")</f>
        <v/>
      </c>
      <c r="AD19" s="5" t="str" cm="1">
        <f t="array" aca="1" ref="AD19" ca="1">IFERROR(INDIRECT("Data"&amp;"!"&amp;ADDRESS(MATCH($V$1,Data!$A:$A,0)+3+$U19,MATCH(AD$1,Data!$2:$2,0)+3,4)),"")</f>
        <v/>
      </c>
      <c r="AE19" s="5" t="str" cm="1">
        <f t="array" aca="1" ref="AE19" ca="1">IFERROR(INDIRECT("Data"&amp;"!"&amp;ADDRESS(MATCH($V$1,Data!$A:$A,0)+3+$U19,MATCH(AE$1,Data!$2:$2,0)+3,4)),"")</f>
        <v/>
      </c>
      <c r="AF19" s="5" t="str" cm="1">
        <f t="array" aca="1" ref="AF19" ca="1">IFERROR(INDIRECT("Data"&amp;"!"&amp;ADDRESS(MATCH($V$1,Data!$A:$A,0)+3+$U19,MATCH(AF$1,Data!$2:$2,0)+3,4)),"")</f>
        <v/>
      </c>
      <c r="AG19" s="5" t="str" cm="1">
        <f t="array" aca="1" ref="AG19" ca="1">IFERROR(INDIRECT("Data"&amp;"!"&amp;ADDRESS(MATCH($V$1,Data!$A:$A,0)+3+$U19,MATCH(AG$1,Data!$2:$2,0)+3,4)),"")</f>
        <v/>
      </c>
    </row>
    <row r="20" spans="2:33" ht="12" thickBot="1" x14ac:dyDescent="0.3">
      <c r="B20" s="22" t="str" cm="1">
        <f t="array" aca="1" ref="B20" ca="1">IFERROR(INDIRECT("List"&amp;"!"&amp;ADDRESS(MATCH($A20,List!$B:$B,0),MATCH($B$1,List!$1:$1,0),4)),"")</f>
        <v/>
      </c>
      <c r="C20" s="22" t="str" cm="1">
        <f t="array" aca="1" ref="C20" ca="1">IFERROR(INDIRECT("List"&amp;"!"&amp;ADDRESS(MATCH($A20,List!$B:$B,0),MATCH($C$1,List!$1:$1,0),4)),"")</f>
        <v/>
      </c>
      <c r="D20" s="22" t="str" cm="1">
        <f t="array" aca="1" ref="D20" ca="1">IFERROR(INDIRECT("List"&amp;"!"&amp;ADDRESS(MATCH($A20,List!$B:$B,0),MATCH($D$1,List!$1:$1,0),4)),"")</f>
        <v/>
      </c>
      <c r="E20" s="22" t="str" cm="1">
        <f t="array" aca="1" ref="E20" ca="1">IFERROR(INDIRECT("List"&amp;"!"&amp;ADDRESS(MATCH($A20,List!$B:$B,0),MATCH($E$1,List!$1:$1,0),4)),"")</f>
        <v/>
      </c>
      <c r="F20" s="27" t="str" cm="1">
        <f t="array" aca="1" ref="F20" ca="1">IFERROR(INDIRECT("List"&amp;"!"&amp;ADDRESS(MATCH($A20,List!$B:$B,0),MATCH($F$1,List!$1:$1,0),4)),"")</f>
        <v/>
      </c>
      <c r="G20" s="31" t="str" cm="1">
        <f t="array" aca="1" ref="G20" ca="1">IFERROR(INDIRECT("Data"&amp;"!"&amp;ADDRESS(MATCH($G$1,Data!$A$1:$A$20,0),MATCH($A20,Data!$2:$2,0)+3,4)),"")</f>
        <v/>
      </c>
      <c r="H20" s="31" t="str" cm="1">
        <f t="array" aca="1" ref="H20" ca="1">IFERROR(INDIRECT("Data"&amp;"!"&amp;ADDRESS(MATCH($G$1,Data!$A$1:$A$20,0),MATCH($A20,Data!$2:$2,0),4)),"")</f>
        <v/>
      </c>
      <c r="I20" s="31" t="str" cm="1">
        <f t="array" aca="1" ref="I20" ca="1">IFERROR(INDIRECT("Data"&amp;"!"&amp;ADDRESS(MATCH($G$1,Data!$A$1:$A$20,0),MATCH($A20,Data!$2:$2,0)+1,4)),"")</f>
        <v/>
      </c>
      <c r="J20" s="31" t="str" cm="1">
        <f t="array" aca="1" ref="J20" ca="1">IFERROR(INDIRECT("Data"&amp;"!"&amp;ADDRESS(MATCH($G$1,Data!$A$1:$A$20,0),MATCH($A20,Data!$2:$2,0)+2,4)),"")</f>
        <v/>
      </c>
      <c r="K20" s="34" t="str" cm="1">
        <f t="array" aca="1" ref="K20" ca="1">IFERROR(INDIRECT("Data"&amp;"!"&amp;ADDRESS(MATCH($K$1,Data!$A$1:$A$20,0),MATCH($A20,Data!$2:$2,0)+2,4)),"")</f>
        <v/>
      </c>
      <c r="M20" s="116"/>
      <c r="N20" s="15"/>
      <c r="O20" s="15"/>
      <c r="P20" s="15"/>
      <c r="Q20" s="15"/>
      <c r="R20" s="15"/>
      <c r="S20" s="16"/>
      <c r="T20" s="6"/>
      <c r="U20" s="7">
        <v>17</v>
      </c>
      <c r="V20" s="7">
        <v>-35</v>
      </c>
      <c r="W20" s="5">
        <v>0</v>
      </c>
      <c r="X20" s="7" t="str" cm="1">
        <f t="array" aca="1" ref="X20" ca="1">IFERROR(INDIRECT("Data"&amp;"!"&amp;ADDRESS(MATCH($V$1,Data!$A:$A,0)+3+$U20,MATCH(X$1,Data!$2:$2,0)+3,4)),"")</f>
        <v/>
      </c>
      <c r="Y20" s="5" t="str" cm="1">
        <f t="array" aca="1" ref="Y20" ca="1">IFERROR(INDIRECT("Data"&amp;"!"&amp;ADDRESS(MATCH($V$1,Data!$A:$A,0)+3+$U20,MATCH(Y$1,Data!$2:$2,0)+3,4)),"")</f>
        <v/>
      </c>
      <c r="Z20" s="5" t="str" cm="1">
        <f t="array" aca="1" ref="Z20" ca="1">IFERROR(INDIRECT("Data"&amp;"!"&amp;ADDRESS(MATCH($V$1,Data!$A:$A,0)+3+$U20,MATCH(Z$1,Data!$2:$2,0)+3,4)),"")</f>
        <v/>
      </c>
      <c r="AA20" s="5" t="str" cm="1">
        <f t="array" aca="1" ref="AA20" ca="1">IFERROR(INDIRECT("Data"&amp;"!"&amp;ADDRESS(MATCH($V$1,Data!$A:$A,0)+3+$U20,MATCH(AA$1,Data!$2:$2,0)+3,4)),"")</f>
        <v/>
      </c>
      <c r="AB20" s="5" t="str" cm="1">
        <f t="array" aca="1" ref="AB20" ca="1">IFERROR(INDIRECT("Data"&amp;"!"&amp;ADDRESS(MATCH($V$1,Data!$A:$A,0)+3+$U20,MATCH(AB$1,Data!$2:$2,0)+3,4)),"")</f>
        <v/>
      </c>
      <c r="AC20" s="5" t="str" cm="1">
        <f t="array" aca="1" ref="AC20" ca="1">IFERROR(INDIRECT("Data"&amp;"!"&amp;ADDRESS(MATCH($V$1,Data!$A:$A,0)+3+$U20,MATCH(AC$1,Data!$2:$2,0)+3,4)),"")</f>
        <v/>
      </c>
      <c r="AD20" s="5" t="str" cm="1">
        <f t="array" aca="1" ref="AD20" ca="1">IFERROR(INDIRECT("Data"&amp;"!"&amp;ADDRESS(MATCH($V$1,Data!$A:$A,0)+3+$U20,MATCH(AD$1,Data!$2:$2,0)+3,4)),"")</f>
        <v/>
      </c>
      <c r="AE20" s="5" t="str" cm="1">
        <f t="array" aca="1" ref="AE20" ca="1">IFERROR(INDIRECT("Data"&amp;"!"&amp;ADDRESS(MATCH($V$1,Data!$A:$A,0)+3+$U20,MATCH(AE$1,Data!$2:$2,0)+3,4)),"")</f>
        <v/>
      </c>
      <c r="AF20" s="5" t="str" cm="1">
        <f t="array" aca="1" ref="AF20" ca="1">IFERROR(INDIRECT("Data"&amp;"!"&amp;ADDRESS(MATCH($V$1,Data!$A:$A,0)+3+$U20,MATCH(AF$1,Data!$2:$2,0)+3,4)),"")</f>
        <v/>
      </c>
      <c r="AG20" s="5" t="str" cm="1">
        <f t="array" aca="1" ref="AG20" ca="1">IFERROR(INDIRECT("Data"&amp;"!"&amp;ADDRESS(MATCH($V$1,Data!$A:$A,0)+3+$U20,MATCH(AG$1,Data!$2:$2,0)+3,4)),"")</f>
        <v/>
      </c>
    </row>
    <row r="21" spans="2:33" x14ac:dyDescent="0.25">
      <c r="B21" s="22" t="str" cm="1">
        <f t="array" aca="1" ref="B21" ca="1">IFERROR(INDIRECT("List"&amp;"!"&amp;ADDRESS(MATCH($A21,List!$B:$B,0),MATCH($B$1,List!$1:$1,0),4)),"")</f>
        <v/>
      </c>
      <c r="C21" s="22" t="str" cm="1">
        <f t="array" aca="1" ref="C21" ca="1">IFERROR(INDIRECT("List"&amp;"!"&amp;ADDRESS(MATCH($A21,List!$B:$B,0),MATCH($C$1,List!$1:$1,0),4)),"")</f>
        <v/>
      </c>
      <c r="D21" s="22" t="str" cm="1">
        <f t="array" aca="1" ref="D21" ca="1">IFERROR(INDIRECT("List"&amp;"!"&amp;ADDRESS(MATCH($A21,List!$B:$B,0),MATCH($D$1,List!$1:$1,0),4)),"")</f>
        <v/>
      </c>
      <c r="E21" s="22" t="str" cm="1">
        <f t="array" aca="1" ref="E21" ca="1">IFERROR(INDIRECT("List"&amp;"!"&amp;ADDRESS(MATCH($A21,List!$B:$B,0),MATCH($E$1,List!$1:$1,0),4)),"")</f>
        <v/>
      </c>
      <c r="F21" s="27" t="str" cm="1">
        <f t="array" aca="1" ref="F21" ca="1">IFERROR(INDIRECT("List"&amp;"!"&amp;ADDRESS(MATCH($A21,List!$B:$B,0),MATCH($F$1,List!$1:$1,0),4)),"")</f>
        <v/>
      </c>
      <c r="G21" s="31" t="str" cm="1">
        <f t="array" aca="1" ref="G21" ca="1">IFERROR(INDIRECT("Data"&amp;"!"&amp;ADDRESS(MATCH($G$1,Data!$A$1:$A$20,0),MATCH($A21,Data!$2:$2,0)+3,4)),"")</f>
        <v/>
      </c>
      <c r="H21" s="31" t="str" cm="1">
        <f t="array" aca="1" ref="H21" ca="1">IFERROR(INDIRECT("Data"&amp;"!"&amp;ADDRESS(MATCH($G$1,Data!$A$1:$A$20,0),MATCH($A21,Data!$2:$2,0),4)),"")</f>
        <v/>
      </c>
      <c r="I21" s="31" t="str" cm="1">
        <f t="array" aca="1" ref="I21" ca="1">IFERROR(INDIRECT("Data"&amp;"!"&amp;ADDRESS(MATCH($G$1,Data!$A$1:$A$20,0),MATCH($A21,Data!$2:$2,0)+1,4)),"")</f>
        <v/>
      </c>
      <c r="J21" s="31" t="str" cm="1">
        <f t="array" aca="1" ref="J21" ca="1">IFERROR(INDIRECT("Data"&amp;"!"&amp;ADDRESS(MATCH($G$1,Data!$A$1:$A$20,0),MATCH($A21,Data!$2:$2,0)+2,4)),"")</f>
        <v/>
      </c>
      <c r="K21" s="34" t="str" cm="1">
        <f t="array" aca="1" ref="K21" ca="1">IFERROR(INDIRECT("Data"&amp;"!"&amp;ADDRESS(MATCH($K$1,Data!$A$1:$A$20,0),MATCH($A21,Data!$2:$2,0)+2,4)),"")</f>
        <v/>
      </c>
      <c r="M21" s="115" t="s">
        <v>52</v>
      </c>
      <c r="N21" s="6"/>
      <c r="O21" s="6"/>
      <c r="P21" s="6"/>
      <c r="Q21" s="6"/>
      <c r="R21" s="6"/>
      <c r="S21" s="14"/>
      <c r="T21" s="6"/>
      <c r="U21" s="7">
        <v>18</v>
      </c>
      <c r="V21" s="7">
        <v>-30</v>
      </c>
      <c r="W21" s="5">
        <v>0</v>
      </c>
      <c r="X21" s="7" t="str" cm="1">
        <f t="array" aca="1" ref="X21" ca="1">IFERROR(INDIRECT("Data"&amp;"!"&amp;ADDRESS(MATCH($V$1,Data!$A:$A,0)+3+$U21,MATCH(X$1,Data!$2:$2,0)+3,4)),"")</f>
        <v/>
      </c>
      <c r="Y21" s="5" t="str" cm="1">
        <f t="array" aca="1" ref="Y21" ca="1">IFERROR(INDIRECT("Data"&amp;"!"&amp;ADDRESS(MATCH($V$1,Data!$A:$A,0)+3+$U21,MATCH(Y$1,Data!$2:$2,0)+3,4)),"")</f>
        <v/>
      </c>
      <c r="Z21" s="5" t="str" cm="1">
        <f t="array" aca="1" ref="Z21" ca="1">IFERROR(INDIRECT("Data"&amp;"!"&amp;ADDRESS(MATCH($V$1,Data!$A:$A,0)+3+$U21,MATCH(Z$1,Data!$2:$2,0)+3,4)),"")</f>
        <v/>
      </c>
      <c r="AA21" s="5" t="str" cm="1">
        <f t="array" aca="1" ref="AA21" ca="1">IFERROR(INDIRECT("Data"&amp;"!"&amp;ADDRESS(MATCH($V$1,Data!$A:$A,0)+3+$U21,MATCH(AA$1,Data!$2:$2,0)+3,4)),"")</f>
        <v/>
      </c>
      <c r="AB21" s="5" t="str" cm="1">
        <f t="array" aca="1" ref="AB21" ca="1">IFERROR(INDIRECT("Data"&amp;"!"&amp;ADDRESS(MATCH($V$1,Data!$A:$A,0)+3+$U21,MATCH(AB$1,Data!$2:$2,0)+3,4)),"")</f>
        <v/>
      </c>
      <c r="AC21" s="5" t="str" cm="1">
        <f t="array" aca="1" ref="AC21" ca="1">IFERROR(INDIRECT("Data"&amp;"!"&amp;ADDRESS(MATCH($V$1,Data!$A:$A,0)+3+$U21,MATCH(AC$1,Data!$2:$2,0)+3,4)),"")</f>
        <v/>
      </c>
      <c r="AD21" s="5" t="str" cm="1">
        <f t="array" aca="1" ref="AD21" ca="1">IFERROR(INDIRECT("Data"&amp;"!"&amp;ADDRESS(MATCH($V$1,Data!$A:$A,0)+3+$U21,MATCH(AD$1,Data!$2:$2,0)+3,4)),"")</f>
        <v/>
      </c>
      <c r="AE21" s="5" t="str" cm="1">
        <f t="array" aca="1" ref="AE21" ca="1">IFERROR(INDIRECT("Data"&amp;"!"&amp;ADDRESS(MATCH($V$1,Data!$A:$A,0)+3+$U21,MATCH(AE$1,Data!$2:$2,0)+3,4)),"")</f>
        <v/>
      </c>
      <c r="AF21" s="5" t="str" cm="1">
        <f t="array" aca="1" ref="AF21" ca="1">IFERROR(INDIRECT("Data"&amp;"!"&amp;ADDRESS(MATCH($V$1,Data!$A:$A,0)+3+$U21,MATCH(AF$1,Data!$2:$2,0)+3,4)),"")</f>
        <v/>
      </c>
      <c r="AG21" s="5" t="str" cm="1">
        <f t="array" aca="1" ref="AG21" ca="1">IFERROR(INDIRECT("Data"&amp;"!"&amp;ADDRESS(MATCH($V$1,Data!$A:$A,0)+3+$U21,MATCH(AG$1,Data!$2:$2,0)+3,4)),"")</f>
        <v/>
      </c>
    </row>
    <row r="22" spans="2:33" x14ac:dyDescent="0.25">
      <c r="B22" s="22" t="str" cm="1">
        <f t="array" aca="1" ref="B22" ca="1">IFERROR(INDIRECT("List"&amp;"!"&amp;ADDRESS(MATCH($A22,List!$B:$B,0),MATCH($B$1,List!$1:$1,0),4)),"")</f>
        <v/>
      </c>
      <c r="C22" s="22" t="str" cm="1">
        <f t="array" aca="1" ref="C22" ca="1">IFERROR(INDIRECT("List"&amp;"!"&amp;ADDRESS(MATCH($A22,List!$B:$B,0),MATCH($C$1,List!$1:$1,0),4)),"")</f>
        <v/>
      </c>
      <c r="D22" s="22" t="str" cm="1">
        <f t="array" aca="1" ref="D22" ca="1">IFERROR(INDIRECT("List"&amp;"!"&amp;ADDRESS(MATCH($A22,List!$B:$B,0),MATCH($D$1,List!$1:$1,0),4)),"")</f>
        <v/>
      </c>
      <c r="E22" s="22" t="str" cm="1">
        <f t="array" aca="1" ref="E22" ca="1">IFERROR(INDIRECT("List"&amp;"!"&amp;ADDRESS(MATCH($A22,List!$B:$B,0),MATCH($E$1,List!$1:$1,0),4)),"")</f>
        <v/>
      </c>
      <c r="F22" s="27" t="str" cm="1">
        <f t="array" aca="1" ref="F22" ca="1">IFERROR(INDIRECT("List"&amp;"!"&amp;ADDRESS(MATCH($A22,List!$B:$B,0),MATCH($F$1,List!$1:$1,0),4)),"")</f>
        <v/>
      </c>
      <c r="G22" s="31" t="str" cm="1">
        <f t="array" aca="1" ref="G22" ca="1">IFERROR(INDIRECT("Data"&amp;"!"&amp;ADDRESS(MATCH($G$1,Data!$A$1:$A$20,0),MATCH($A22,Data!$2:$2,0)+3,4)),"")</f>
        <v/>
      </c>
      <c r="H22" s="31" t="str" cm="1">
        <f t="array" aca="1" ref="H22" ca="1">IFERROR(INDIRECT("Data"&amp;"!"&amp;ADDRESS(MATCH($G$1,Data!$A$1:$A$20,0),MATCH($A22,Data!$2:$2,0),4)),"")</f>
        <v/>
      </c>
      <c r="I22" s="31" t="str" cm="1">
        <f t="array" aca="1" ref="I22" ca="1">IFERROR(INDIRECT("Data"&amp;"!"&amp;ADDRESS(MATCH($G$1,Data!$A$1:$A$20,0),MATCH($A22,Data!$2:$2,0)+1,4)),"")</f>
        <v/>
      </c>
      <c r="J22" s="31" t="str" cm="1">
        <f t="array" aca="1" ref="J22" ca="1">IFERROR(INDIRECT("Data"&amp;"!"&amp;ADDRESS(MATCH($G$1,Data!$A$1:$A$20,0),MATCH($A22,Data!$2:$2,0)+2,4)),"")</f>
        <v/>
      </c>
      <c r="K22" s="34" t="str" cm="1">
        <f t="array" aca="1" ref="K22" ca="1">IFERROR(INDIRECT("Data"&amp;"!"&amp;ADDRESS(MATCH($K$1,Data!$A$1:$A$20,0),MATCH($A22,Data!$2:$2,0)+2,4)),"")</f>
        <v/>
      </c>
      <c r="M22" s="115"/>
      <c r="N22" s="6"/>
      <c r="O22" s="6"/>
      <c r="P22" s="6"/>
      <c r="Q22" s="6"/>
      <c r="R22" s="6"/>
      <c r="S22" s="14"/>
      <c r="T22" s="6"/>
      <c r="U22" s="7">
        <v>19</v>
      </c>
      <c r="V22" s="7">
        <v>-25</v>
      </c>
      <c r="W22" s="5">
        <v>0</v>
      </c>
      <c r="X22" s="7" t="str" cm="1">
        <f t="array" aca="1" ref="X22" ca="1">IFERROR(INDIRECT("Data"&amp;"!"&amp;ADDRESS(MATCH($V$1,Data!$A:$A,0)+3+$U22,MATCH(X$1,Data!$2:$2,0)+3,4)),"")</f>
        <v/>
      </c>
      <c r="Y22" s="5" t="str" cm="1">
        <f t="array" aca="1" ref="Y22" ca="1">IFERROR(INDIRECT("Data"&amp;"!"&amp;ADDRESS(MATCH($V$1,Data!$A:$A,0)+3+$U22,MATCH(Y$1,Data!$2:$2,0)+3,4)),"")</f>
        <v/>
      </c>
      <c r="Z22" s="5" t="str" cm="1">
        <f t="array" aca="1" ref="Z22" ca="1">IFERROR(INDIRECT("Data"&amp;"!"&amp;ADDRESS(MATCH($V$1,Data!$A:$A,0)+3+$U22,MATCH(Z$1,Data!$2:$2,0)+3,4)),"")</f>
        <v/>
      </c>
      <c r="AA22" s="5" t="str" cm="1">
        <f t="array" aca="1" ref="AA22" ca="1">IFERROR(INDIRECT("Data"&amp;"!"&amp;ADDRESS(MATCH($V$1,Data!$A:$A,0)+3+$U22,MATCH(AA$1,Data!$2:$2,0)+3,4)),"")</f>
        <v/>
      </c>
      <c r="AB22" s="5" t="str" cm="1">
        <f t="array" aca="1" ref="AB22" ca="1">IFERROR(INDIRECT("Data"&amp;"!"&amp;ADDRESS(MATCH($V$1,Data!$A:$A,0)+3+$U22,MATCH(AB$1,Data!$2:$2,0)+3,4)),"")</f>
        <v/>
      </c>
      <c r="AC22" s="5" t="str" cm="1">
        <f t="array" aca="1" ref="AC22" ca="1">IFERROR(INDIRECT("Data"&amp;"!"&amp;ADDRESS(MATCH($V$1,Data!$A:$A,0)+3+$U22,MATCH(AC$1,Data!$2:$2,0)+3,4)),"")</f>
        <v/>
      </c>
      <c r="AD22" s="5" t="str" cm="1">
        <f t="array" aca="1" ref="AD22" ca="1">IFERROR(INDIRECT("Data"&amp;"!"&amp;ADDRESS(MATCH($V$1,Data!$A:$A,0)+3+$U22,MATCH(AD$1,Data!$2:$2,0)+3,4)),"")</f>
        <v/>
      </c>
      <c r="AE22" s="5" t="str" cm="1">
        <f t="array" aca="1" ref="AE22" ca="1">IFERROR(INDIRECT("Data"&amp;"!"&amp;ADDRESS(MATCH($V$1,Data!$A:$A,0)+3+$U22,MATCH(AE$1,Data!$2:$2,0)+3,4)),"")</f>
        <v/>
      </c>
      <c r="AF22" s="5" t="str" cm="1">
        <f t="array" aca="1" ref="AF22" ca="1">IFERROR(INDIRECT("Data"&amp;"!"&amp;ADDRESS(MATCH($V$1,Data!$A:$A,0)+3+$U22,MATCH(AF$1,Data!$2:$2,0)+3,4)),"")</f>
        <v/>
      </c>
      <c r="AG22" s="5" t="str" cm="1">
        <f t="array" aca="1" ref="AG22" ca="1">IFERROR(INDIRECT("Data"&amp;"!"&amp;ADDRESS(MATCH($V$1,Data!$A:$A,0)+3+$U22,MATCH(AG$1,Data!$2:$2,0)+3,4)),"")</f>
        <v/>
      </c>
    </row>
    <row r="23" spans="2:33" x14ac:dyDescent="0.25">
      <c r="B23" s="22" t="str" cm="1">
        <f t="array" aca="1" ref="B23" ca="1">IFERROR(INDIRECT("List"&amp;"!"&amp;ADDRESS(MATCH($A23,List!$B:$B,0),MATCH($B$1,List!$1:$1,0),4)),"")</f>
        <v/>
      </c>
      <c r="C23" s="22" t="str" cm="1">
        <f t="array" aca="1" ref="C23" ca="1">IFERROR(INDIRECT("List"&amp;"!"&amp;ADDRESS(MATCH($A23,List!$B:$B,0),MATCH($C$1,List!$1:$1,0),4)),"")</f>
        <v/>
      </c>
      <c r="D23" s="22" t="str" cm="1">
        <f t="array" aca="1" ref="D23" ca="1">IFERROR(INDIRECT("List"&amp;"!"&amp;ADDRESS(MATCH($A23,List!$B:$B,0),MATCH($D$1,List!$1:$1,0),4)),"")</f>
        <v/>
      </c>
      <c r="E23" s="22" t="str" cm="1">
        <f t="array" aca="1" ref="E23" ca="1">IFERROR(INDIRECT("List"&amp;"!"&amp;ADDRESS(MATCH($A23,List!$B:$B,0),MATCH($E$1,List!$1:$1,0),4)),"")</f>
        <v/>
      </c>
      <c r="F23" s="27" t="str" cm="1">
        <f t="array" aca="1" ref="F23" ca="1">IFERROR(INDIRECT("List"&amp;"!"&amp;ADDRESS(MATCH($A23,List!$B:$B,0),MATCH($F$1,List!$1:$1,0),4)),"")</f>
        <v/>
      </c>
      <c r="G23" s="31" t="str" cm="1">
        <f t="array" aca="1" ref="G23" ca="1">IFERROR(INDIRECT("Data"&amp;"!"&amp;ADDRESS(MATCH($G$1,Data!$A$1:$A$20,0),MATCH($A23,Data!$2:$2,0)+3,4)),"")</f>
        <v/>
      </c>
      <c r="H23" s="31" t="str" cm="1">
        <f t="array" aca="1" ref="H23" ca="1">IFERROR(INDIRECT("Data"&amp;"!"&amp;ADDRESS(MATCH($G$1,Data!$A$1:$A$20,0),MATCH($A23,Data!$2:$2,0),4)),"")</f>
        <v/>
      </c>
      <c r="I23" s="31" t="str" cm="1">
        <f t="array" aca="1" ref="I23" ca="1">IFERROR(INDIRECT("Data"&amp;"!"&amp;ADDRESS(MATCH($G$1,Data!$A$1:$A$20,0),MATCH($A23,Data!$2:$2,0)+1,4)),"")</f>
        <v/>
      </c>
      <c r="J23" s="31" t="str" cm="1">
        <f t="array" aca="1" ref="J23" ca="1">IFERROR(INDIRECT("Data"&amp;"!"&amp;ADDRESS(MATCH($G$1,Data!$A$1:$A$20,0),MATCH($A23,Data!$2:$2,0)+2,4)),"")</f>
        <v/>
      </c>
      <c r="K23" s="34" t="str" cm="1">
        <f t="array" aca="1" ref="K23" ca="1">IFERROR(INDIRECT("Data"&amp;"!"&amp;ADDRESS(MATCH($K$1,Data!$A$1:$A$20,0),MATCH($A23,Data!$2:$2,0)+2,4)),"")</f>
        <v/>
      </c>
      <c r="M23" s="115"/>
      <c r="N23" s="6"/>
      <c r="O23" s="6"/>
      <c r="P23" s="6"/>
      <c r="Q23" s="6"/>
      <c r="R23" s="6"/>
      <c r="S23" s="14"/>
      <c r="T23" s="6"/>
      <c r="U23" s="7">
        <v>20</v>
      </c>
      <c r="V23" s="7">
        <v>-20</v>
      </c>
      <c r="W23" s="5">
        <v>0</v>
      </c>
      <c r="X23" s="7" t="str" cm="1">
        <f t="array" aca="1" ref="X23" ca="1">IFERROR(INDIRECT("Data"&amp;"!"&amp;ADDRESS(MATCH($V$1,Data!$A:$A,0)+3+$U23,MATCH(X$1,Data!$2:$2,0)+3,4)),"")</f>
        <v/>
      </c>
      <c r="Y23" s="5" t="str" cm="1">
        <f t="array" aca="1" ref="Y23" ca="1">IFERROR(INDIRECT("Data"&amp;"!"&amp;ADDRESS(MATCH($V$1,Data!$A:$A,0)+3+$U23,MATCH(Y$1,Data!$2:$2,0)+3,4)),"")</f>
        <v/>
      </c>
      <c r="Z23" s="5" t="str" cm="1">
        <f t="array" aca="1" ref="Z23" ca="1">IFERROR(INDIRECT("Data"&amp;"!"&amp;ADDRESS(MATCH($V$1,Data!$A:$A,0)+3+$U23,MATCH(Z$1,Data!$2:$2,0)+3,4)),"")</f>
        <v/>
      </c>
      <c r="AA23" s="5" t="str" cm="1">
        <f t="array" aca="1" ref="AA23" ca="1">IFERROR(INDIRECT("Data"&amp;"!"&amp;ADDRESS(MATCH($V$1,Data!$A:$A,0)+3+$U23,MATCH(AA$1,Data!$2:$2,0)+3,4)),"")</f>
        <v/>
      </c>
      <c r="AB23" s="5" t="str" cm="1">
        <f t="array" aca="1" ref="AB23" ca="1">IFERROR(INDIRECT("Data"&amp;"!"&amp;ADDRESS(MATCH($V$1,Data!$A:$A,0)+3+$U23,MATCH(AB$1,Data!$2:$2,0)+3,4)),"")</f>
        <v/>
      </c>
      <c r="AC23" s="5" t="str" cm="1">
        <f t="array" aca="1" ref="AC23" ca="1">IFERROR(INDIRECT("Data"&amp;"!"&amp;ADDRESS(MATCH($V$1,Data!$A:$A,0)+3+$U23,MATCH(AC$1,Data!$2:$2,0)+3,4)),"")</f>
        <v/>
      </c>
      <c r="AD23" s="5" t="str" cm="1">
        <f t="array" aca="1" ref="AD23" ca="1">IFERROR(INDIRECT("Data"&amp;"!"&amp;ADDRESS(MATCH($V$1,Data!$A:$A,0)+3+$U23,MATCH(AD$1,Data!$2:$2,0)+3,4)),"")</f>
        <v/>
      </c>
      <c r="AE23" s="5" t="str" cm="1">
        <f t="array" aca="1" ref="AE23" ca="1">IFERROR(INDIRECT("Data"&amp;"!"&amp;ADDRESS(MATCH($V$1,Data!$A:$A,0)+3+$U23,MATCH(AE$1,Data!$2:$2,0)+3,4)),"")</f>
        <v/>
      </c>
      <c r="AF23" s="5" t="str" cm="1">
        <f t="array" aca="1" ref="AF23" ca="1">IFERROR(INDIRECT("Data"&amp;"!"&amp;ADDRESS(MATCH($V$1,Data!$A:$A,0)+3+$U23,MATCH(AF$1,Data!$2:$2,0)+3,4)),"")</f>
        <v/>
      </c>
      <c r="AG23" s="5" t="str" cm="1">
        <f t="array" aca="1" ref="AG23" ca="1">IFERROR(INDIRECT("Data"&amp;"!"&amp;ADDRESS(MATCH($V$1,Data!$A:$A,0)+3+$U23,MATCH(AG$1,Data!$2:$2,0)+3,4)),"")</f>
        <v/>
      </c>
    </row>
    <row r="24" spans="2:33" x14ac:dyDescent="0.25">
      <c r="B24" s="22" t="str" cm="1">
        <f t="array" aca="1" ref="B24" ca="1">IFERROR(INDIRECT("List"&amp;"!"&amp;ADDRESS(MATCH($A24,List!$B:$B,0),MATCH($B$1,List!$1:$1,0),4)),"")</f>
        <v/>
      </c>
      <c r="C24" s="22" t="str" cm="1">
        <f t="array" aca="1" ref="C24" ca="1">IFERROR(INDIRECT("List"&amp;"!"&amp;ADDRESS(MATCH($A24,List!$B:$B,0),MATCH($C$1,List!$1:$1,0),4)),"")</f>
        <v/>
      </c>
      <c r="D24" s="22" t="str" cm="1">
        <f t="array" aca="1" ref="D24" ca="1">IFERROR(INDIRECT("List"&amp;"!"&amp;ADDRESS(MATCH($A24,List!$B:$B,0),MATCH($D$1,List!$1:$1,0),4)),"")</f>
        <v/>
      </c>
      <c r="E24" s="22" t="str" cm="1">
        <f t="array" aca="1" ref="E24" ca="1">IFERROR(INDIRECT("List"&amp;"!"&amp;ADDRESS(MATCH($A24,List!$B:$B,0),MATCH($E$1,List!$1:$1,0),4)),"")</f>
        <v/>
      </c>
      <c r="F24" s="27" t="str" cm="1">
        <f t="array" aca="1" ref="F24" ca="1">IFERROR(INDIRECT("List"&amp;"!"&amp;ADDRESS(MATCH($A24,List!$B:$B,0),MATCH($F$1,List!$1:$1,0),4)),"")</f>
        <v/>
      </c>
      <c r="G24" s="31" t="str" cm="1">
        <f t="array" aca="1" ref="G24" ca="1">IFERROR(INDIRECT("Data"&amp;"!"&amp;ADDRESS(MATCH($G$1,Data!$A$1:$A$20,0),MATCH($A24,Data!$2:$2,0)+3,4)),"")</f>
        <v/>
      </c>
      <c r="H24" s="31" t="str" cm="1">
        <f t="array" aca="1" ref="H24" ca="1">IFERROR(INDIRECT("Data"&amp;"!"&amp;ADDRESS(MATCH($G$1,Data!$A$1:$A$20,0),MATCH($A24,Data!$2:$2,0),4)),"")</f>
        <v/>
      </c>
      <c r="I24" s="31" t="str" cm="1">
        <f t="array" aca="1" ref="I24" ca="1">IFERROR(INDIRECT("Data"&amp;"!"&amp;ADDRESS(MATCH($G$1,Data!$A$1:$A$20,0),MATCH($A24,Data!$2:$2,0)+1,4)),"")</f>
        <v/>
      </c>
      <c r="J24" s="31" t="str" cm="1">
        <f t="array" aca="1" ref="J24" ca="1">IFERROR(INDIRECT("Data"&amp;"!"&amp;ADDRESS(MATCH($G$1,Data!$A$1:$A$20,0),MATCH($A24,Data!$2:$2,0)+2,4)),"")</f>
        <v/>
      </c>
      <c r="K24" s="34" t="str" cm="1">
        <f t="array" aca="1" ref="K24" ca="1">IFERROR(INDIRECT("Data"&amp;"!"&amp;ADDRESS(MATCH($K$1,Data!$A$1:$A$20,0),MATCH($A24,Data!$2:$2,0)+2,4)),"")</f>
        <v/>
      </c>
      <c r="M24" s="115"/>
      <c r="N24" s="6"/>
      <c r="O24" s="6"/>
      <c r="P24" s="6"/>
      <c r="Q24" s="6"/>
      <c r="R24" s="6"/>
      <c r="S24" s="14"/>
      <c r="T24" s="6"/>
      <c r="U24" s="7">
        <v>21</v>
      </c>
      <c r="V24" s="7">
        <v>-15</v>
      </c>
      <c r="W24" s="5">
        <v>0</v>
      </c>
      <c r="X24" s="7" t="str" cm="1">
        <f t="array" aca="1" ref="X24" ca="1">IFERROR(INDIRECT("Data"&amp;"!"&amp;ADDRESS(MATCH($V$1,Data!$A:$A,0)+3+$U24,MATCH(X$1,Data!$2:$2,0)+3,4)),"")</f>
        <v/>
      </c>
      <c r="Y24" s="5" t="str" cm="1">
        <f t="array" aca="1" ref="Y24" ca="1">IFERROR(INDIRECT("Data"&amp;"!"&amp;ADDRESS(MATCH($V$1,Data!$A:$A,0)+3+$U24,MATCH(Y$1,Data!$2:$2,0)+3,4)),"")</f>
        <v/>
      </c>
      <c r="Z24" s="5" t="str" cm="1">
        <f t="array" aca="1" ref="Z24" ca="1">IFERROR(INDIRECT("Data"&amp;"!"&amp;ADDRESS(MATCH($V$1,Data!$A:$A,0)+3+$U24,MATCH(Z$1,Data!$2:$2,0)+3,4)),"")</f>
        <v/>
      </c>
      <c r="AA24" s="5" t="str" cm="1">
        <f t="array" aca="1" ref="AA24" ca="1">IFERROR(INDIRECT("Data"&amp;"!"&amp;ADDRESS(MATCH($V$1,Data!$A:$A,0)+3+$U24,MATCH(AA$1,Data!$2:$2,0)+3,4)),"")</f>
        <v/>
      </c>
      <c r="AB24" s="5" t="str" cm="1">
        <f t="array" aca="1" ref="AB24" ca="1">IFERROR(INDIRECT("Data"&amp;"!"&amp;ADDRESS(MATCH($V$1,Data!$A:$A,0)+3+$U24,MATCH(AB$1,Data!$2:$2,0)+3,4)),"")</f>
        <v/>
      </c>
      <c r="AC24" s="5" t="str" cm="1">
        <f t="array" aca="1" ref="AC24" ca="1">IFERROR(INDIRECT("Data"&amp;"!"&amp;ADDRESS(MATCH($V$1,Data!$A:$A,0)+3+$U24,MATCH(AC$1,Data!$2:$2,0)+3,4)),"")</f>
        <v/>
      </c>
      <c r="AD24" s="5" t="str" cm="1">
        <f t="array" aca="1" ref="AD24" ca="1">IFERROR(INDIRECT("Data"&amp;"!"&amp;ADDRESS(MATCH($V$1,Data!$A:$A,0)+3+$U24,MATCH(AD$1,Data!$2:$2,0)+3,4)),"")</f>
        <v/>
      </c>
      <c r="AE24" s="5" t="str" cm="1">
        <f t="array" aca="1" ref="AE24" ca="1">IFERROR(INDIRECT("Data"&amp;"!"&amp;ADDRESS(MATCH($V$1,Data!$A:$A,0)+3+$U24,MATCH(AE$1,Data!$2:$2,0)+3,4)),"")</f>
        <v/>
      </c>
      <c r="AF24" s="5" t="str" cm="1">
        <f t="array" aca="1" ref="AF24" ca="1">IFERROR(INDIRECT("Data"&amp;"!"&amp;ADDRESS(MATCH($V$1,Data!$A:$A,0)+3+$U24,MATCH(AF$1,Data!$2:$2,0)+3,4)),"")</f>
        <v/>
      </c>
      <c r="AG24" s="5" t="str" cm="1">
        <f t="array" aca="1" ref="AG24" ca="1">IFERROR(INDIRECT("Data"&amp;"!"&amp;ADDRESS(MATCH($V$1,Data!$A:$A,0)+3+$U24,MATCH(AG$1,Data!$2:$2,0)+3,4)),"")</f>
        <v/>
      </c>
    </row>
    <row r="25" spans="2:33" x14ac:dyDescent="0.25">
      <c r="B25" s="22" t="str" cm="1">
        <f t="array" aca="1" ref="B25" ca="1">IFERROR(INDIRECT("List"&amp;"!"&amp;ADDRESS(MATCH($A25,List!$B:$B,0),MATCH($B$1,List!$1:$1,0),4)),"")</f>
        <v/>
      </c>
      <c r="C25" s="22" t="str" cm="1">
        <f t="array" aca="1" ref="C25" ca="1">IFERROR(INDIRECT("List"&amp;"!"&amp;ADDRESS(MATCH($A25,List!$B:$B,0),MATCH($C$1,List!$1:$1,0),4)),"")</f>
        <v/>
      </c>
      <c r="D25" s="22" t="str" cm="1">
        <f t="array" aca="1" ref="D25" ca="1">IFERROR(INDIRECT("List"&amp;"!"&amp;ADDRESS(MATCH($A25,List!$B:$B,0),MATCH($D$1,List!$1:$1,0),4)),"")</f>
        <v/>
      </c>
      <c r="E25" s="22" t="str" cm="1">
        <f t="array" aca="1" ref="E25" ca="1">IFERROR(INDIRECT("List"&amp;"!"&amp;ADDRESS(MATCH($A25,List!$B:$B,0),MATCH($E$1,List!$1:$1,0),4)),"")</f>
        <v/>
      </c>
      <c r="F25" s="27" t="str" cm="1">
        <f t="array" aca="1" ref="F25" ca="1">IFERROR(INDIRECT("List"&amp;"!"&amp;ADDRESS(MATCH($A25,List!$B:$B,0),MATCH($F$1,List!$1:$1,0),4)),"")</f>
        <v/>
      </c>
      <c r="G25" s="31" t="str" cm="1">
        <f t="array" aca="1" ref="G25" ca="1">IFERROR(INDIRECT("Data"&amp;"!"&amp;ADDRESS(MATCH($G$1,Data!$A$1:$A$20,0),MATCH($A25,Data!$2:$2,0)+3,4)),"")</f>
        <v/>
      </c>
      <c r="H25" s="31" t="str" cm="1">
        <f t="array" aca="1" ref="H25" ca="1">IFERROR(INDIRECT("Data"&amp;"!"&amp;ADDRESS(MATCH($G$1,Data!$A$1:$A$20,0),MATCH($A25,Data!$2:$2,0),4)),"")</f>
        <v/>
      </c>
      <c r="I25" s="31" t="str" cm="1">
        <f t="array" aca="1" ref="I25" ca="1">IFERROR(INDIRECT("Data"&amp;"!"&amp;ADDRESS(MATCH($G$1,Data!$A$1:$A$20,0),MATCH($A25,Data!$2:$2,0)+1,4)),"")</f>
        <v/>
      </c>
      <c r="J25" s="31" t="str" cm="1">
        <f t="array" aca="1" ref="J25" ca="1">IFERROR(INDIRECT("Data"&amp;"!"&amp;ADDRESS(MATCH($G$1,Data!$A$1:$A$20,0),MATCH($A25,Data!$2:$2,0)+2,4)),"")</f>
        <v/>
      </c>
      <c r="K25" s="34" t="str" cm="1">
        <f t="array" aca="1" ref="K25" ca="1">IFERROR(INDIRECT("Data"&amp;"!"&amp;ADDRESS(MATCH($K$1,Data!$A$1:$A$20,0),MATCH($A25,Data!$2:$2,0)+2,4)),"")</f>
        <v/>
      </c>
      <c r="M25" s="115"/>
      <c r="N25" s="6"/>
      <c r="O25" s="6"/>
      <c r="P25" s="6"/>
      <c r="Q25" s="6"/>
      <c r="R25" s="6"/>
      <c r="S25" s="14"/>
      <c r="T25" s="6"/>
      <c r="U25" s="7">
        <v>22</v>
      </c>
      <c r="V25" s="7">
        <v>-10</v>
      </c>
      <c r="W25" s="5">
        <v>0</v>
      </c>
      <c r="X25" s="7" t="str" cm="1">
        <f t="array" aca="1" ref="X25" ca="1">IFERROR(INDIRECT("Data"&amp;"!"&amp;ADDRESS(MATCH($V$1,Data!$A:$A,0)+3+$U25,MATCH(X$1,Data!$2:$2,0)+3,4)),"")</f>
        <v/>
      </c>
      <c r="Y25" s="5" t="str" cm="1">
        <f t="array" aca="1" ref="Y25" ca="1">IFERROR(INDIRECT("Data"&amp;"!"&amp;ADDRESS(MATCH($V$1,Data!$A:$A,0)+3+$U25,MATCH(Y$1,Data!$2:$2,0)+3,4)),"")</f>
        <v/>
      </c>
      <c r="Z25" s="5" t="str" cm="1">
        <f t="array" aca="1" ref="Z25" ca="1">IFERROR(INDIRECT("Data"&amp;"!"&amp;ADDRESS(MATCH($V$1,Data!$A:$A,0)+3+$U25,MATCH(Z$1,Data!$2:$2,0)+3,4)),"")</f>
        <v/>
      </c>
      <c r="AA25" s="5" t="str" cm="1">
        <f t="array" aca="1" ref="AA25" ca="1">IFERROR(INDIRECT("Data"&amp;"!"&amp;ADDRESS(MATCH($V$1,Data!$A:$A,0)+3+$U25,MATCH(AA$1,Data!$2:$2,0)+3,4)),"")</f>
        <v/>
      </c>
      <c r="AB25" s="5" t="str" cm="1">
        <f t="array" aca="1" ref="AB25" ca="1">IFERROR(INDIRECT("Data"&amp;"!"&amp;ADDRESS(MATCH($V$1,Data!$A:$A,0)+3+$U25,MATCH(AB$1,Data!$2:$2,0)+3,4)),"")</f>
        <v/>
      </c>
      <c r="AC25" s="5" t="str" cm="1">
        <f t="array" aca="1" ref="AC25" ca="1">IFERROR(INDIRECT("Data"&amp;"!"&amp;ADDRESS(MATCH($V$1,Data!$A:$A,0)+3+$U25,MATCH(AC$1,Data!$2:$2,0)+3,4)),"")</f>
        <v/>
      </c>
      <c r="AD25" s="5" t="str" cm="1">
        <f t="array" aca="1" ref="AD25" ca="1">IFERROR(INDIRECT("Data"&amp;"!"&amp;ADDRESS(MATCH($V$1,Data!$A:$A,0)+3+$U25,MATCH(AD$1,Data!$2:$2,0)+3,4)),"")</f>
        <v/>
      </c>
      <c r="AE25" s="5" t="str" cm="1">
        <f t="array" aca="1" ref="AE25" ca="1">IFERROR(INDIRECT("Data"&amp;"!"&amp;ADDRESS(MATCH($V$1,Data!$A:$A,0)+3+$U25,MATCH(AE$1,Data!$2:$2,0)+3,4)),"")</f>
        <v/>
      </c>
      <c r="AF25" s="5" t="str" cm="1">
        <f t="array" aca="1" ref="AF25" ca="1">IFERROR(INDIRECT("Data"&amp;"!"&amp;ADDRESS(MATCH($V$1,Data!$A:$A,0)+3+$U25,MATCH(AF$1,Data!$2:$2,0)+3,4)),"")</f>
        <v/>
      </c>
      <c r="AG25" s="5" t="str" cm="1">
        <f t="array" aca="1" ref="AG25" ca="1">IFERROR(INDIRECT("Data"&amp;"!"&amp;ADDRESS(MATCH($V$1,Data!$A:$A,0)+3+$U25,MATCH(AG$1,Data!$2:$2,0)+3,4)),"")</f>
        <v/>
      </c>
    </row>
    <row r="26" spans="2:33" x14ac:dyDescent="0.25">
      <c r="B26" s="22" t="str" cm="1">
        <f t="array" aca="1" ref="B26" ca="1">IFERROR(INDIRECT("List"&amp;"!"&amp;ADDRESS(MATCH($A26,List!$B:$B,0),MATCH($B$1,List!$1:$1,0),4)),"")</f>
        <v/>
      </c>
      <c r="C26" s="22" t="str" cm="1">
        <f t="array" aca="1" ref="C26" ca="1">IFERROR(INDIRECT("List"&amp;"!"&amp;ADDRESS(MATCH($A26,List!$B:$B,0),MATCH($C$1,List!$1:$1,0),4)),"")</f>
        <v/>
      </c>
      <c r="D26" s="22" t="str" cm="1">
        <f t="array" aca="1" ref="D26" ca="1">IFERROR(INDIRECT("List"&amp;"!"&amp;ADDRESS(MATCH($A26,List!$B:$B,0),MATCH($D$1,List!$1:$1,0),4)),"")</f>
        <v/>
      </c>
      <c r="E26" s="22" t="str" cm="1">
        <f t="array" aca="1" ref="E26" ca="1">IFERROR(INDIRECT("List"&amp;"!"&amp;ADDRESS(MATCH($A26,List!$B:$B,0),MATCH($E$1,List!$1:$1,0),4)),"")</f>
        <v/>
      </c>
      <c r="F26" s="27" t="str" cm="1">
        <f t="array" aca="1" ref="F26" ca="1">IFERROR(INDIRECT("List"&amp;"!"&amp;ADDRESS(MATCH($A26,List!$B:$B,0),MATCH($F$1,List!$1:$1,0),4)),"")</f>
        <v/>
      </c>
      <c r="G26" s="31" t="str" cm="1">
        <f t="array" aca="1" ref="G26" ca="1">IFERROR(INDIRECT("Data"&amp;"!"&amp;ADDRESS(MATCH($G$1,Data!$A$1:$A$20,0),MATCH($A26,Data!$2:$2,0)+3,4)),"")</f>
        <v/>
      </c>
      <c r="H26" s="31" t="str" cm="1">
        <f t="array" aca="1" ref="H26" ca="1">IFERROR(INDIRECT("Data"&amp;"!"&amp;ADDRESS(MATCH($G$1,Data!$A$1:$A$20,0),MATCH($A26,Data!$2:$2,0),4)),"")</f>
        <v/>
      </c>
      <c r="I26" s="31" t="str" cm="1">
        <f t="array" aca="1" ref="I26" ca="1">IFERROR(INDIRECT("Data"&amp;"!"&amp;ADDRESS(MATCH($G$1,Data!$A$1:$A$20,0),MATCH($A26,Data!$2:$2,0)+1,4)),"")</f>
        <v/>
      </c>
      <c r="J26" s="31" t="str" cm="1">
        <f t="array" aca="1" ref="J26" ca="1">IFERROR(INDIRECT("Data"&amp;"!"&amp;ADDRESS(MATCH($G$1,Data!$A$1:$A$20,0),MATCH($A26,Data!$2:$2,0)+2,4)),"")</f>
        <v/>
      </c>
      <c r="K26" s="34" t="str" cm="1">
        <f t="array" aca="1" ref="K26" ca="1">IFERROR(INDIRECT("Data"&amp;"!"&amp;ADDRESS(MATCH($K$1,Data!$A$1:$A$20,0),MATCH($A26,Data!$2:$2,0)+2,4)),"")</f>
        <v/>
      </c>
      <c r="M26" s="115"/>
      <c r="N26" s="6"/>
      <c r="O26" s="6"/>
      <c r="P26" s="6"/>
      <c r="Q26" s="6"/>
      <c r="R26" s="6"/>
      <c r="S26" s="14"/>
      <c r="T26" s="6"/>
      <c r="U26" s="7">
        <v>23</v>
      </c>
      <c r="V26" s="7">
        <v>-5</v>
      </c>
      <c r="W26" s="5">
        <v>0</v>
      </c>
      <c r="X26" s="7" t="str" cm="1">
        <f t="array" aca="1" ref="X26" ca="1">IFERROR(INDIRECT("Data"&amp;"!"&amp;ADDRESS(MATCH($V$1,Data!$A:$A,0)+3+$U26,MATCH(X$1,Data!$2:$2,0)+3,4)),"")</f>
        <v/>
      </c>
      <c r="Y26" s="5" t="str" cm="1">
        <f t="array" aca="1" ref="Y26" ca="1">IFERROR(INDIRECT("Data"&amp;"!"&amp;ADDRESS(MATCH($V$1,Data!$A:$A,0)+3+$U26,MATCH(Y$1,Data!$2:$2,0)+3,4)),"")</f>
        <v/>
      </c>
      <c r="Z26" s="5" t="str" cm="1">
        <f t="array" aca="1" ref="Z26" ca="1">IFERROR(INDIRECT("Data"&amp;"!"&amp;ADDRESS(MATCH($V$1,Data!$A:$A,0)+3+$U26,MATCH(Z$1,Data!$2:$2,0)+3,4)),"")</f>
        <v/>
      </c>
      <c r="AA26" s="5" t="str" cm="1">
        <f t="array" aca="1" ref="AA26" ca="1">IFERROR(INDIRECT("Data"&amp;"!"&amp;ADDRESS(MATCH($V$1,Data!$A:$A,0)+3+$U26,MATCH(AA$1,Data!$2:$2,0)+3,4)),"")</f>
        <v/>
      </c>
      <c r="AB26" s="5" t="str" cm="1">
        <f t="array" aca="1" ref="AB26" ca="1">IFERROR(INDIRECT("Data"&amp;"!"&amp;ADDRESS(MATCH($V$1,Data!$A:$A,0)+3+$U26,MATCH(AB$1,Data!$2:$2,0)+3,4)),"")</f>
        <v/>
      </c>
      <c r="AC26" s="5" t="str" cm="1">
        <f t="array" aca="1" ref="AC26" ca="1">IFERROR(INDIRECT("Data"&amp;"!"&amp;ADDRESS(MATCH($V$1,Data!$A:$A,0)+3+$U26,MATCH(AC$1,Data!$2:$2,0)+3,4)),"")</f>
        <v/>
      </c>
      <c r="AD26" s="5" t="str" cm="1">
        <f t="array" aca="1" ref="AD26" ca="1">IFERROR(INDIRECT("Data"&amp;"!"&amp;ADDRESS(MATCH($V$1,Data!$A:$A,0)+3+$U26,MATCH(AD$1,Data!$2:$2,0)+3,4)),"")</f>
        <v/>
      </c>
      <c r="AE26" s="5" t="str" cm="1">
        <f t="array" aca="1" ref="AE26" ca="1">IFERROR(INDIRECT("Data"&amp;"!"&amp;ADDRESS(MATCH($V$1,Data!$A:$A,0)+3+$U26,MATCH(AE$1,Data!$2:$2,0)+3,4)),"")</f>
        <v/>
      </c>
      <c r="AF26" s="5" t="str" cm="1">
        <f t="array" aca="1" ref="AF26" ca="1">IFERROR(INDIRECT("Data"&amp;"!"&amp;ADDRESS(MATCH($V$1,Data!$A:$A,0)+3+$U26,MATCH(AF$1,Data!$2:$2,0)+3,4)),"")</f>
        <v/>
      </c>
      <c r="AG26" s="5" t="str" cm="1">
        <f t="array" aca="1" ref="AG26" ca="1">IFERROR(INDIRECT("Data"&amp;"!"&amp;ADDRESS(MATCH($V$1,Data!$A:$A,0)+3+$U26,MATCH(AG$1,Data!$2:$2,0)+3,4)),"")</f>
        <v/>
      </c>
    </row>
    <row r="27" spans="2:33" x14ac:dyDescent="0.25">
      <c r="B27" s="22" t="str" cm="1">
        <f t="array" aca="1" ref="B27" ca="1">IFERROR(INDIRECT("List"&amp;"!"&amp;ADDRESS(MATCH($A27,List!$B:$B,0),MATCH($B$1,List!$1:$1,0),4)),"")</f>
        <v/>
      </c>
      <c r="C27" s="22" t="str" cm="1">
        <f t="array" aca="1" ref="C27" ca="1">IFERROR(INDIRECT("List"&amp;"!"&amp;ADDRESS(MATCH($A27,List!$B:$B,0),MATCH($C$1,List!$1:$1,0),4)),"")</f>
        <v/>
      </c>
      <c r="D27" s="22" t="str" cm="1">
        <f t="array" aca="1" ref="D27" ca="1">IFERROR(INDIRECT("List"&amp;"!"&amp;ADDRESS(MATCH($A27,List!$B:$B,0),MATCH($D$1,List!$1:$1,0),4)),"")</f>
        <v/>
      </c>
      <c r="E27" s="22" t="str" cm="1">
        <f t="array" aca="1" ref="E27" ca="1">IFERROR(INDIRECT("List"&amp;"!"&amp;ADDRESS(MATCH($A27,List!$B:$B,0),MATCH($E$1,List!$1:$1,0),4)),"")</f>
        <v/>
      </c>
      <c r="F27" s="27" t="str" cm="1">
        <f t="array" aca="1" ref="F27" ca="1">IFERROR(INDIRECT("List"&amp;"!"&amp;ADDRESS(MATCH($A27,List!$B:$B,0),MATCH($F$1,List!$1:$1,0),4)),"")</f>
        <v/>
      </c>
      <c r="G27" s="31" t="str" cm="1">
        <f t="array" aca="1" ref="G27" ca="1">IFERROR(INDIRECT("Data"&amp;"!"&amp;ADDRESS(MATCH($G$1,Data!$A$1:$A$20,0),MATCH($A27,Data!$2:$2,0)+3,4)),"")</f>
        <v/>
      </c>
      <c r="H27" s="31" t="str" cm="1">
        <f t="array" aca="1" ref="H27" ca="1">IFERROR(INDIRECT("Data"&amp;"!"&amp;ADDRESS(MATCH($G$1,Data!$A$1:$A$20,0),MATCH($A27,Data!$2:$2,0),4)),"")</f>
        <v/>
      </c>
      <c r="I27" s="31" t="str" cm="1">
        <f t="array" aca="1" ref="I27" ca="1">IFERROR(INDIRECT("Data"&amp;"!"&amp;ADDRESS(MATCH($G$1,Data!$A$1:$A$20,0),MATCH($A27,Data!$2:$2,0)+1,4)),"")</f>
        <v/>
      </c>
      <c r="J27" s="31" t="str" cm="1">
        <f t="array" aca="1" ref="J27" ca="1">IFERROR(INDIRECT("Data"&amp;"!"&amp;ADDRESS(MATCH($G$1,Data!$A$1:$A$20,0),MATCH($A27,Data!$2:$2,0)+2,4)),"")</f>
        <v/>
      </c>
      <c r="K27" s="34" t="str" cm="1">
        <f t="array" aca="1" ref="K27" ca="1">IFERROR(INDIRECT("Data"&amp;"!"&amp;ADDRESS(MATCH($K$1,Data!$A$1:$A$20,0),MATCH($A27,Data!$2:$2,0)+2,4)),"")</f>
        <v/>
      </c>
      <c r="M27" s="115"/>
      <c r="N27" s="6"/>
      <c r="O27" s="6"/>
      <c r="P27" s="6"/>
      <c r="Q27" s="6"/>
      <c r="R27" s="6"/>
      <c r="S27" s="14"/>
      <c r="T27" s="6"/>
      <c r="U27" s="7">
        <v>24</v>
      </c>
      <c r="V27" s="7">
        <v>0</v>
      </c>
      <c r="W27" s="5">
        <v>0</v>
      </c>
      <c r="X27" s="7" t="str" cm="1">
        <f t="array" aca="1" ref="X27" ca="1">IFERROR(INDIRECT("Data"&amp;"!"&amp;ADDRESS(MATCH($V$1,Data!$A:$A,0)+3+$U27,MATCH(X$1,Data!$2:$2,0)+3,4)),"")</f>
        <v/>
      </c>
      <c r="Y27" s="5" t="str" cm="1">
        <f t="array" aca="1" ref="Y27" ca="1">IFERROR(INDIRECT("Data"&amp;"!"&amp;ADDRESS(MATCH($V$1,Data!$A:$A,0)+3+$U27,MATCH(Y$1,Data!$2:$2,0)+3,4)),"")</f>
        <v/>
      </c>
      <c r="Z27" s="5" t="str" cm="1">
        <f t="array" aca="1" ref="Z27" ca="1">IFERROR(INDIRECT("Data"&amp;"!"&amp;ADDRESS(MATCH($V$1,Data!$A:$A,0)+3+$U27,MATCH(Z$1,Data!$2:$2,0)+3,4)),"")</f>
        <v/>
      </c>
      <c r="AA27" s="5" t="str" cm="1">
        <f t="array" aca="1" ref="AA27" ca="1">IFERROR(INDIRECT("Data"&amp;"!"&amp;ADDRESS(MATCH($V$1,Data!$A:$A,0)+3+$U27,MATCH(AA$1,Data!$2:$2,0)+3,4)),"")</f>
        <v/>
      </c>
      <c r="AB27" s="5" t="str" cm="1">
        <f t="array" aca="1" ref="AB27" ca="1">IFERROR(INDIRECT("Data"&amp;"!"&amp;ADDRESS(MATCH($V$1,Data!$A:$A,0)+3+$U27,MATCH(AB$1,Data!$2:$2,0)+3,4)),"")</f>
        <v/>
      </c>
      <c r="AC27" s="5" t="str" cm="1">
        <f t="array" aca="1" ref="AC27" ca="1">IFERROR(INDIRECT("Data"&amp;"!"&amp;ADDRESS(MATCH($V$1,Data!$A:$A,0)+3+$U27,MATCH(AC$1,Data!$2:$2,0)+3,4)),"")</f>
        <v/>
      </c>
      <c r="AD27" s="5" t="str" cm="1">
        <f t="array" aca="1" ref="AD27" ca="1">IFERROR(INDIRECT("Data"&amp;"!"&amp;ADDRESS(MATCH($V$1,Data!$A:$A,0)+3+$U27,MATCH(AD$1,Data!$2:$2,0)+3,4)),"")</f>
        <v/>
      </c>
      <c r="AE27" s="5" t="str" cm="1">
        <f t="array" aca="1" ref="AE27" ca="1">IFERROR(INDIRECT("Data"&amp;"!"&amp;ADDRESS(MATCH($V$1,Data!$A:$A,0)+3+$U27,MATCH(AE$1,Data!$2:$2,0)+3,4)),"")</f>
        <v/>
      </c>
      <c r="AF27" s="5" t="str" cm="1">
        <f t="array" aca="1" ref="AF27" ca="1">IFERROR(INDIRECT("Data"&amp;"!"&amp;ADDRESS(MATCH($V$1,Data!$A:$A,0)+3+$U27,MATCH(AF$1,Data!$2:$2,0)+3,4)),"")</f>
        <v/>
      </c>
      <c r="AG27" s="5" t="str" cm="1">
        <f t="array" aca="1" ref="AG27" ca="1">IFERROR(INDIRECT("Data"&amp;"!"&amp;ADDRESS(MATCH($V$1,Data!$A:$A,0)+3+$U27,MATCH(AG$1,Data!$2:$2,0)+3,4)),"")</f>
        <v/>
      </c>
    </row>
    <row r="28" spans="2:33" x14ac:dyDescent="0.25">
      <c r="B28" s="22" t="str" cm="1">
        <f t="array" aca="1" ref="B28" ca="1">IFERROR(INDIRECT("List"&amp;"!"&amp;ADDRESS(MATCH($A28,List!$B:$B,0),MATCH($B$1,List!$1:$1,0),4)),"")</f>
        <v/>
      </c>
      <c r="C28" s="22" t="str" cm="1">
        <f t="array" aca="1" ref="C28" ca="1">IFERROR(INDIRECT("List"&amp;"!"&amp;ADDRESS(MATCH($A28,List!$B:$B,0),MATCH($C$1,List!$1:$1,0),4)),"")</f>
        <v/>
      </c>
      <c r="D28" s="22" t="str" cm="1">
        <f t="array" aca="1" ref="D28" ca="1">IFERROR(INDIRECT("List"&amp;"!"&amp;ADDRESS(MATCH($A28,List!$B:$B,0),MATCH($D$1,List!$1:$1,0),4)),"")</f>
        <v/>
      </c>
      <c r="E28" s="22" t="str" cm="1">
        <f t="array" aca="1" ref="E28" ca="1">IFERROR(INDIRECT("List"&amp;"!"&amp;ADDRESS(MATCH($A28,List!$B:$B,0),MATCH($E$1,List!$1:$1,0),4)),"")</f>
        <v/>
      </c>
      <c r="F28" s="27" t="str" cm="1">
        <f t="array" aca="1" ref="F28" ca="1">IFERROR(INDIRECT("List"&amp;"!"&amp;ADDRESS(MATCH($A28,List!$B:$B,0),MATCH($F$1,List!$1:$1,0),4)),"")</f>
        <v/>
      </c>
      <c r="G28" s="31" t="str" cm="1">
        <f t="array" aca="1" ref="G28" ca="1">IFERROR(INDIRECT("Data"&amp;"!"&amp;ADDRESS(MATCH($G$1,Data!$A$1:$A$20,0),MATCH($A28,Data!$2:$2,0)+3,4)),"")</f>
        <v/>
      </c>
      <c r="H28" s="31" t="str" cm="1">
        <f t="array" aca="1" ref="H28" ca="1">IFERROR(INDIRECT("Data"&amp;"!"&amp;ADDRESS(MATCH($G$1,Data!$A$1:$A$20,0),MATCH($A28,Data!$2:$2,0),4)),"")</f>
        <v/>
      </c>
      <c r="I28" s="31" t="str" cm="1">
        <f t="array" aca="1" ref="I28" ca="1">IFERROR(INDIRECT("Data"&amp;"!"&amp;ADDRESS(MATCH($G$1,Data!$A$1:$A$20,0),MATCH($A28,Data!$2:$2,0)+1,4)),"")</f>
        <v/>
      </c>
      <c r="J28" s="31" t="str" cm="1">
        <f t="array" aca="1" ref="J28" ca="1">IFERROR(INDIRECT("Data"&amp;"!"&amp;ADDRESS(MATCH($G$1,Data!$A$1:$A$20,0),MATCH($A28,Data!$2:$2,0)+2,4)),"")</f>
        <v/>
      </c>
      <c r="K28" s="34" t="str" cm="1">
        <f t="array" aca="1" ref="K28" ca="1">IFERROR(INDIRECT("Data"&amp;"!"&amp;ADDRESS(MATCH($K$1,Data!$A$1:$A$20,0),MATCH($A28,Data!$2:$2,0)+2,4)),"")</f>
        <v/>
      </c>
      <c r="M28" s="115"/>
      <c r="N28" s="6"/>
      <c r="O28" s="6"/>
      <c r="P28" s="6"/>
      <c r="Q28" s="6"/>
      <c r="R28" s="6"/>
      <c r="S28" s="14"/>
      <c r="T28" s="6"/>
      <c r="U28" s="7">
        <v>25</v>
      </c>
      <c r="V28" s="7">
        <v>5</v>
      </c>
      <c r="W28" s="5">
        <v>0</v>
      </c>
      <c r="X28" s="7" t="str" cm="1">
        <f t="array" aca="1" ref="X28" ca="1">IFERROR(INDIRECT("Data"&amp;"!"&amp;ADDRESS(MATCH($V$1,Data!$A:$A,0)+3+$U28,MATCH(X$1,Data!$2:$2,0)+3,4)),"")</f>
        <v/>
      </c>
      <c r="Y28" s="5" t="str" cm="1">
        <f t="array" aca="1" ref="Y28" ca="1">IFERROR(INDIRECT("Data"&amp;"!"&amp;ADDRESS(MATCH($V$1,Data!$A:$A,0)+3+$U28,MATCH(Y$1,Data!$2:$2,0)+3,4)),"")</f>
        <v/>
      </c>
      <c r="Z28" s="5" t="str" cm="1">
        <f t="array" aca="1" ref="Z28" ca="1">IFERROR(INDIRECT("Data"&amp;"!"&amp;ADDRESS(MATCH($V$1,Data!$A:$A,0)+3+$U28,MATCH(Z$1,Data!$2:$2,0)+3,4)),"")</f>
        <v/>
      </c>
      <c r="AA28" s="5" t="str" cm="1">
        <f t="array" aca="1" ref="AA28" ca="1">IFERROR(INDIRECT("Data"&amp;"!"&amp;ADDRESS(MATCH($V$1,Data!$A:$A,0)+3+$U28,MATCH(AA$1,Data!$2:$2,0)+3,4)),"")</f>
        <v/>
      </c>
      <c r="AB28" s="5" t="str" cm="1">
        <f t="array" aca="1" ref="AB28" ca="1">IFERROR(INDIRECT("Data"&amp;"!"&amp;ADDRESS(MATCH($V$1,Data!$A:$A,0)+3+$U28,MATCH(AB$1,Data!$2:$2,0)+3,4)),"")</f>
        <v/>
      </c>
      <c r="AC28" s="5" t="str" cm="1">
        <f t="array" aca="1" ref="AC28" ca="1">IFERROR(INDIRECT("Data"&amp;"!"&amp;ADDRESS(MATCH($V$1,Data!$A:$A,0)+3+$U28,MATCH(AC$1,Data!$2:$2,0)+3,4)),"")</f>
        <v/>
      </c>
      <c r="AD28" s="5" t="str" cm="1">
        <f t="array" aca="1" ref="AD28" ca="1">IFERROR(INDIRECT("Data"&amp;"!"&amp;ADDRESS(MATCH($V$1,Data!$A:$A,0)+3+$U28,MATCH(AD$1,Data!$2:$2,0)+3,4)),"")</f>
        <v/>
      </c>
      <c r="AE28" s="5" t="str" cm="1">
        <f t="array" aca="1" ref="AE28" ca="1">IFERROR(INDIRECT("Data"&amp;"!"&amp;ADDRESS(MATCH($V$1,Data!$A:$A,0)+3+$U28,MATCH(AE$1,Data!$2:$2,0)+3,4)),"")</f>
        <v/>
      </c>
      <c r="AF28" s="5" t="str" cm="1">
        <f t="array" aca="1" ref="AF28" ca="1">IFERROR(INDIRECT("Data"&amp;"!"&amp;ADDRESS(MATCH($V$1,Data!$A:$A,0)+3+$U28,MATCH(AF$1,Data!$2:$2,0)+3,4)),"")</f>
        <v/>
      </c>
      <c r="AG28" s="5" t="str" cm="1">
        <f t="array" aca="1" ref="AG28" ca="1">IFERROR(INDIRECT("Data"&amp;"!"&amp;ADDRESS(MATCH($V$1,Data!$A:$A,0)+3+$U28,MATCH(AG$1,Data!$2:$2,0)+3,4)),"")</f>
        <v/>
      </c>
    </row>
    <row r="29" spans="2:33" x14ac:dyDescent="0.25">
      <c r="B29" s="22" t="str" cm="1">
        <f t="array" aca="1" ref="B29" ca="1">IFERROR(INDIRECT("List"&amp;"!"&amp;ADDRESS(MATCH($A29,List!$B:$B,0),MATCH($B$1,List!$1:$1,0),4)),"")</f>
        <v/>
      </c>
      <c r="C29" s="22" t="str" cm="1">
        <f t="array" aca="1" ref="C29" ca="1">IFERROR(INDIRECT("List"&amp;"!"&amp;ADDRESS(MATCH($A29,List!$B:$B,0),MATCH($C$1,List!$1:$1,0),4)),"")</f>
        <v/>
      </c>
      <c r="D29" s="22" t="str" cm="1">
        <f t="array" aca="1" ref="D29" ca="1">IFERROR(INDIRECT("List"&amp;"!"&amp;ADDRESS(MATCH($A29,List!$B:$B,0),MATCH($D$1,List!$1:$1,0),4)),"")</f>
        <v/>
      </c>
      <c r="E29" s="22" t="str" cm="1">
        <f t="array" aca="1" ref="E29" ca="1">IFERROR(INDIRECT("List"&amp;"!"&amp;ADDRESS(MATCH($A29,List!$B:$B,0),MATCH($E$1,List!$1:$1,0),4)),"")</f>
        <v/>
      </c>
      <c r="F29" s="27" t="str" cm="1">
        <f t="array" aca="1" ref="F29" ca="1">IFERROR(INDIRECT("List"&amp;"!"&amp;ADDRESS(MATCH($A29,List!$B:$B,0),MATCH($F$1,List!$1:$1,0),4)),"")</f>
        <v/>
      </c>
      <c r="G29" s="31" t="str" cm="1">
        <f t="array" aca="1" ref="G29" ca="1">IFERROR(INDIRECT("Data"&amp;"!"&amp;ADDRESS(MATCH($G$1,Data!$A$1:$A$20,0),MATCH($A29,Data!$2:$2,0)+3,4)),"")</f>
        <v/>
      </c>
      <c r="H29" s="31" t="str" cm="1">
        <f t="array" aca="1" ref="H29" ca="1">IFERROR(INDIRECT("Data"&amp;"!"&amp;ADDRESS(MATCH($G$1,Data!$A$1:$A$20,0),MATCH($A29,Data!$2:$2,0),4)),"")</f>
        <v/>
      </c>
      <c r="I29" s="31" t="str" cm="1">
        <f t="array" aca="1" ref="I29" ca="1">IFERROR(INDIRECT("Data"&amp;"!"&amp;ADDRESS(MATCH($G$1,Data!$A$1:$A$20,0),MATCH($A29,Data!$2:$2,0)+1,4)),"")</f>
        <v/>
      </c>
      <c r="J29" s="31" t="str" cm="1">
        <f t="array" aca="1" ref="J29" ca="1">IFERROR(INDIRECT("Data"&amp;"!"&amp;ADDRESS(MATCH($G$1,Data!$A$1:$A$20,0),MATCH($A29,Data!$2:$2,0)+2,4)),"")</f>
        <v/>
      </c>
      <c r="K29" s="34" t="str" cm="1">
        <f t="array" aca="1" ref="K29" ca="1">IFERROR(INDIRECT("Data"&amp;"!"&amp;ADDRESS(MATCH($K$1,Data!$A$1:$A$20,0),MATCH($A29,Data!$2:$2,0)+2,4)),"")</f>
        <v/>
      </c>
      <c r="M29" s="115"/>
      <c r="N29" s="6"/>
      <c r="O29" s="6"/>
      <c r="P29" s="6"/>
      <c r="Q29" s="6"/>
      <c r="R29" s="6"/>
      <c r="S29" s="14"/>
      <c r="T29" s="6"/>
      <c r="U29" s="7">
        <v>26</v>
      </c>
      <c r="V29" s="7">
        <v>10</v>
      </c>
      <c r="W29" s="5">
        <v>0</v>
      </c>
      <c r="X29" s="7" t="str" cm="1">
        <f t="array" aca="1" ref="X29" ca="1">IFERROR(INDIRECT("Data"&amp;"!"&amp;ADDRESS(MATCH($V$1,Data!$A:$A,0)+3+$U29,MATCH(X$1,Data!$2:$2,0)+3,4)),"")</f>
        <v/>
      </c>
      <c r="Y29" s="5" t="str" cm="1">
        <f t="array" aca="1" ref="Y29" ca="1">IFERROR(INDIRECT("Data"&amp;"!"&amp;ADDRESS(MATCH($V$1,Data!$A:$A,0)+3+$U29,MATCH(Y$1,Data!$2:$2,0)+3,4)),"")</f>
        <v/>
      </c>
      <c r="Z29" s="5" t="str" cm="1">
        <f t="array" aca="1" ref="Z29" ca="1">IFERROR(INDIRECT("Data"&amp;"!"&amp;ADDRESS(MATCH($V$1,Data!$A:$A,0)+3+$U29,MATCH(Z$1,Data!$2:$2,0)+3,4)),"")</f>
        <v/>
      </c>
      <c r="AA29" s="5" t="str" cm="1">
        <f t="array" aca="1" ref="AA29" ca="1">IFERROR(INDIRECT("Data"&amp;"!"&amp;ADDRESS(MATCH($V$1,Data!$A:$A,0)+3+$U29,MATCH(AA$1,Data!$2:$2,0)+3,4)),"")</f>
        <v/>
      </c>
      <c r="AB29" s="5" t="str" cm="1">
        <f t="array" aca="1" ref="AB29" ca="1">IFERROR(INDIRECT("Data"&amp;"!"&amp;ADDRESS(MATCH($V$1,Data!$A:$A,0)+3+$U29,MATCH(AB$1,Data!$2:$2,0)+3,4)),"")</f>
        <v/>
      </c>
      <c r="AC29" s="5" t="str" cm="1">
        <f t="array" aca="1" ref="AC29" ca="1">IFERROR(INDIRECT("Data"&amp;"!"&amp;ADDRESS(MATCH($V$1,Data!$A:$A,0)+3+$U29,MATCH(AC$1,Data!$2:$2,0)+3,4)),"")</f>
        <v/>
      </c>
      <c r="AD29" s="5" t="str" cm="1">
        <f t="array" aca="1" ref="AD29" ca="1">IFERROR(INDIRECT("Data"&amp;"!"&amp;ADDRESS(MATCH($V$1,Data!$A:$A,0)+3+$U29,MATCH(AD$1,Data!$2:$2,0)+3,4)),"")</f>
        <v/>
      </c>
      <c r="AE29" s="5" t="str" cm="1">
        <f t="array" aca="1" ref="AE29" ca="1">IFERROR(INDIRECT("Data"&amp;"!"&amp;ADDRESS(MATCH($V$1,Data!$A:$A,0)+3+$U29,MATCH(AE$1,Data!$2:$2,0)+3,4)),"")</f>
        <v/>
      </c>
      <c r="AF29" s="5" t="str" cm="1">
        <f t="array" aca="1" ref="AF29" ca="1">IFERROR(INDIRECT("Data"&amp;"!"&amp;ADDRESS(MATCH($V$1,Data!$A:$A,0)+3+$U29,MATCH(AF$1,Data!$2:$2,0)+3,4)),"")</f>
        <v/>
      </c>
      <c r="AG29" s="5" t="str" cm="1">
        <f t="array" aca="1" ref="AG29" ca="1">IFERROR(INDIRECT("Data"&amp;"!"&amp;ADDRESS(MATCH($V$1,Data!$A:$A,0)+3+$U29,MATCH(AG$1,Data!$2:$2,0)+3,4)),"")</f>
        <v/>
      </c>
    </row>
    <row r="30" spans="2:33" x14ac:dyDescent="0.25">
      <c r="B30" s="22" t="str" cm="1">
        <f t="array" aca="1" ref="B30" ca="1">IFERROR(INDIRECT("List"&amp;"!"&amp;ADDRESS(MATCH($A30,List!$B:$B,0),MATCH($B$1,List!$1:$1,0),4)),"")</f>
        <v/>
      </c>
      <c r="C30" s="22" t="str" cm="1">
        <f t="array" aca="1" ref="C30" ca="1">IFERROR(INDIRECT("List"&amp;"!"&amp;ADDRESS(MATCH($A30,List!$B:$B,0),MATCH($C$1,List!$1:$1,0),4)),"")</f>
        <v/>
      </c>
      <c r="D30" s="22" t="str" cm="1">
        <f t="array" aca="1" ref="D30" ca="1">IFERROR(INDIRECT("List"&amp;"!"&amp;ADDRESS(MATCH($A30,List!$B:$B,0),MATCH($D$1,List!$1:$1,0),4)),"")</f>
        <v/>
      </c>
      <c r="E30" s="22" t="str" cm="1">
        <f t="array" aca="1" ref="E30" ca="1">IFERROR(INDIRECT("List"&amp;"!"&amp;ADDRESS(MATCH($A30,List!$B:$B,0),MATCH($E$1,List!$1:$1,0),4)),"")</f>
        <v/>
      </c>
      <c r="F30" s="27" t="str" cm="1">
        <f t="array" aca="1" ref="F30" ca="1">IFERROR(INDIRECT("List"&amp;"!"&amp;ADDRESS(MATCH($A30,List!$B:$B,0),MATCH($F$1,List!$1:$1,0),4)),"")</f>
        <v/>
      </c>
      <c r="G30" s="31" t="str" cm="1">
        <f t="array" aca="1" ref="G30" ca="1">IFERROR(INDIRECT("Data"&amp;"!"&amp;ADDRESS(MATCH($G$1,Data!$A$1:$A$20,0),MATCH($A30,Data!$2:$2,0)+3,4)),"")</f>
        <v/>
      </c>
      <c r="H30" s="31" t="str" cm="1">
        <f t="array" aca="1" ref="H30" ca="1">IFERROR(INDIRECT("Data"&amp;"!"&amp;ADDRESS(MATCH($G$1,Data!$A$1:$A$20,0),MATCH($A30,Data!$2:$2,0),4)),"")</f>
        <v/>
      </c>
      <c r="I30" s="31" t="str" cm="1">
        <f t="array" aca="1" ref="I30" ca="1">IFERROR(INDIRECT("Data"&amp;"!"&amp;ADDRESS(MATCH($G$1,Data!$A$1:$A$20,0),MATCH($A30,Data!$2:$2,0)+1,4)),"")</f>
        <v/>
      </c>
      <c r="J30" s="31" t="str" cm="1">
        <f t="array" aca="1" ref="J30" ca="1">IFERROR(INDIRECT("Data"&amp;"!"&amp;ADDRESS(MATCH($G$1,Data!$A$1:$A$20,0),MATCH($A30,Data!$2:$2,0)+2,4)),"")</f>
        <v/>
      </c>
      <c r="K30" s="34" t="str" cm="1">
        <f t="array" aca="1" ref="K30" ca="1">IFERROR(INDIRECT("Data"&amp;"!"&amp;ADDRESS(MATCH($K$1,Data!$A$1:$A$20,0),MATCH($A30,Data!$2:$2,0)+2,4)),"")</f>
        <v/>
      </c>
      <c r="M30" s="115"/>
      <c r="N30" s="6"/>
      <c r="O30" s="6"/>
      <c r="P30" s="6"/>
      <c r="Q30" s="6"/>
      <c r="R30" s="6"/>
      <c r="S30" s="14"/>
      <c r="T30" s="6"/>
      <c r="U30" s="7">
        <v>27</v>
      </c>
      <c r="V30" s="7">
        <v>15</v>
      </c>
      <c r="W30" s="5">
        <v>0</v>
      </c>
      <c r="X30" s="7" t="str" cm="1">
        <f t="array" aca="1" ref="X30" ca="1">IFERROR(INDIRECT("Data"&amp;"!"&amp;ADDRESS(MATCH($V$1,Data!$A:$A,0)+3+$U30,MATCH(X$1,Data!$2:$2,0)+3,4)),"")</f>
        <v/>
      </c>
      <c r="Y30" s="5" t="str" cm="1">
        <f t="array" aca="1" ref="Y30" ca="1">IFERROR(INDIRECT("Data"&amp;"!"&amp;ADDRESS(MATCH($V$1,Data!$A:$A,0)+3+$U30,MATCH(Y$1,Data!$2:$2,0)+3,4)),"")</f>
        <v/>
      </c>
      <c r="Z30" s="5" t="str" cm="1">
        <f t="array" aca="1" ref="Z30" ca="1">IFERROR(INDIRECT("Data"&amp;"!"&amp;ADDRESS(MATCH($V$1,Data!$A:$A,0)+3+$U30,MATCH(Z$1,Data!$2:$2,0)+3,4)),"")</f>
        <v/>
      </c>
      <c r="AA30" s="5" t="str" cm="1">
        <f t="array" aca="1" ref="AA30" ca="1">IFERROR(INDIRECT("Data"&amp;"!"&amp;ADDRESS(MATCH($V$1,Data!$A:$A,0)+3+$U30,MATCH(AA$1,Data!$2:$2,0)+3,4)),"")</f>
        <v/>
      </c>
      <c r="AB30" s="5" t="str" cm="1">
        <f t="array" aca="1" ref="AB30" ca="1">IFERROR(INDIRECT("Data"&amp;"!"&amp;ADDRESS(MATCH($V$1,Data!$A:$A,0)+3+$U30,MATCH(AB$1,Data!$2:$2,0)+3,4)),"")</f>
        <v/>
      </c>
      <c r="AC30" s="5" t="str" cm="1">
        <f t="array" aca="1" ref="AC30" ca="1">IFERROR(INDIRECT("Data"&amp;"!"&amp;ADDRESS(MATCH($V$1,Data!$A:$A,0)+3+$U30,MATCH(AC$1,Data!$2:$2,0)+3,4)),"")</f>
        <v/>
      </c>
      <c r="AD30" s="5" t="str" cm="1">
        <f t="array" aca="1" ref="AD30" ca="1">IFERROR(INDIRECT("Data"&amp;"!"&amp;ADDRESS(MATCH($V$1,Data!$A:$A,0)+3+$U30,MATCH(AD$1,Data!$2:$2,0)+3,4)),"")</f>
        <v/>
      </c>
      <c r="AE30" s="5" t="str" cm="1">
        <f t="array" aca="1" ref="AE30" ca="1">IFERROR(INDIRECT("Data"&amp;"!"&amp;ADDRESS(MATCH($V$1,Data!$A:$A,0)+3+$U30,MATCH(AE$1,Data!$2:$2,0)+3,4)),"")</f>
        <v/>
      </c>
      <c r="AF30" s="5" t="str" cm="1">
        <f t="array" aca="1" ref="AF30" ca="1">IFERROR(INDIRECT("Data"&amp;"!"&amp;ADDRESS(MATCH($V$1,Data!$A:$A,0)+3+$U30,MATCH(AF$1,Data!$2:$2,0)+3,4)),"")</f>
        <v/>
      </c>
      <c r="AG30" s="5" t="str" cm="1">
        <f t="array" aca="1" ref="AG30" ca="1">IFERROR(INDIRECT("Data"&amp;"!"&amp;ADDRESS(MATCH($V$1,Data!$A:$A,0)+3+$U30,MATCH(AG$1,Data!$2:$2,0)+3,4)),"")</f>
        <v/>
      </c>
    </row>
    <row r="31" spans="2:33" x14ac:dyDescent="0.25">
      <c r="B31" s="22" t="str" cm="1">
        <f t="array" aca="1" ref="B31" ca="1">IFERROR(INDIRECT("List"&amp;"!"&amp;ADDRESS(MATCH($A31,List!$B:$B,0),MATCH($B$1,List!$1:$1,0),4)),"")</f>
        <v/>
      </c>
      <c r="C31" s="22" t="str" cm="1">
        <f t="array" aca="1" ref="C31" ca="1">IFERROR(INDIRECT("List"&amp;"!"&amp;ADDRESS(MATCH($A31,List!$B:$B,0),MATCH($C$1,List!$1:$1,0),4)),"")</f>
        <v/>
      </c>
      <c r="D31" s="22" t="str" cm="1">
        <f t="array" aca="1" ref="D31" ca="1">IFERROR(INDIRECT("List"&amp;"!"&amp;ADDRESS(MATCH($A31,List!$B:$B,0),MATCH($D$1,List!$1:$1,0),4)),"")</f>
        <v/>
      </c>
      <c r="E31" s="22" t="str" cm="1">
        <f t="array" aca="1" ref="E31" ca="1">IFERROR(INDIRECT("List"&amp;"!"&amp;ADDRESS(MATCH($A31,List!$B:$B,0),MATCH($E$1,List!$1:$1,0),4)),"")</f>
        <v/>
      </c>
      <c r="F31" s="27" t="str" cm="1">
        <f t="array" aca="1" ref="F31" ca="1">IFERROR(INDIRECT("List"&amp;"!"&amp;ADDRESS(MATCH($A31,List!$B:$B,0),MATCH($F$1,List!$1:$1,0),4)),"")</f>
        <v/>
      </c>
      <c r="G31" s="31" t="str" cm="1">
        <f t="array" aca="1" ref="G31" ca="1">IFERROR(INDIRECT("Data"&amp;"!"&amp;ADDRESS(MATCH($G$1,Data!$A$1:$A$20,0),MATCH($A31,Data!$2:$2,0)+3,4)),"")</f>
        <v/>
      </c>
      <c r="H31" s="31" t="str" cm="1">
        <f t="array" aca="1" ref="H31" ca="1">IFERROR(INDIRECT("Data"&amp;"!"&amp;ADDRESS(MATCH($G$1,Data!$A$1:$A$20,0),MATCH($A31,Data!$2:$2,0),4)),"")</f>
        <v/>
      </c>
      <c r="I31" s="31" t="str" cm="1">
        <f t="array" aca="1" ref="I31" ca="1">IFERROR(INDIRECT("Data"&amp;"!"&amp;ADDRESS(MATCH($G$1,Data!$A$1:$A$20,0),MATCH($A31,Data!$2:$2,0)+1,4)),"")</f>
        <v/>
      </c>
      <c r="J31" s="31" t="str" cm="1">
        <f t="array" aca="1" ref="J31" ca="1">IFERROR(INDIRECT("Data"&amp;"!"&amp;ADDRESS(MATCH($G$1,Data!$A$1:$A$20,0),MATCH($A31,Data!$2:$2,0)+2,4)),"")</f>
        <v/>
      </c>
      <c r="K31" s="34" t="str" cm="1">
        <f t="array" aca="1" ref="K31" ca="1">IFERROR(INDIRECT("Data"&amp;"!"&amp;ADDRESS(MATCH($K$1,Data!$A$1:$A$20,0),MATCH($A31,Data!$2:$2,0)+2,4)),"")</f>
        <v/>
      </c>
      <c r="M31" s="115"/>
      <c r="N31" s="6"/>
      <c r="O31" s="6"/>
      <c r="P31" s="6"/>
      <c r="Q31" s="6"/>
      <c r="R31" s="6"/>
      <c r="S31" s="14"/>
      <c r="T31" s="6"/>
      <c r="U31" s="7">
        <v>28</v>
      </c>
      <c r="V31" s="7">
        <v>20</v>
      </c>
      <c r="W31" s="5">
        <v>0</v>
      </c>
      <c r="X31" s="7" t="str" cm="1">
        <f t="array" aca="1" ref="X31" ca="1">IFERROR(INDIRECT("Data"&amp;"!"&amp;ADDRESS(MATCH($V$1,Data!$A:$A,0)+3+$U31,MATCH(X$1,Data!$2:$2,0)+3,4)),"")</f>
        <v/>
      </c>
      <c r="Y31" s="5" t="str" cm="1">
        <f t="array" aca="1" ref="Y31" ca="1">IFERROR(INDIRECT("Data"&amp;"!"&amp;ADDRESS(MATCH($V$1,Data!$A:$A,0)+3+$U31,MATCH(Y$1,Data!$2:$2,0)+3,4)),"")</f>
        <v/>
      </c>
      <c r="Z31" s="5" t="str" cm="1">
        <f t="array" aca="1" ref="Z31" ca="1">IFERROR(INDIRECT("Data"&amp;"!"&amp;ADDRESS(MATCH($V$1,Data!$A:$A,0)+3+$U31,MATCH(Z$1,Data!$2:$2,0)+3,4)),"")</f>
        <v/>
      </c>
      <c r="AA31" s="5" t="str" cm="1">
        <f t="array" aca="1" ref="AA31" ca="1">IFERROR(INDIRECT("Data"&amp;"!"&amp;ADDRESS(MATCH($V$1,Data!$A:$A,0)+3+$U31,MATCH(AA$1,Data!$2:$2,0)+3,4)),"")</f>
        <v/>
      </c>
      <c r="AB31" s="5" t="str" cm="1">
        <f t="array" aca="1" ref="AB31" ca="1">IFERROR(INDIRECT("Data"&amp;"!"&amp;ADDRESS(MATCH($V$1,Data!$A:$A,0)+3+$U31,MATCH(AB$1,Data!$2:$2,0)+3,4)),"")</f>
        <v/>
      </c>
      <c r="AC31" s="5" t="str" cm="1">
        <f t="array" aca="1" ref="AC31" ca="1">IFERROR(INDIRECT("Data"&amp;"!"&amp;ADDRESS(MATCH($V$1,Data!$A:$A,0)+3+$U31,MATCH(AC$1,Data!$2:$2,0)+3,4)),"")</f>
        <v/>
      </c>
      <c r="AD31" s="5" t="str" cm="1">
        <f t="array" aca="1" ref="AD31" ca="1">IFERROR(INDIRECT("Data"&amp;"!"&amp;ADDRESS(MATCH($V$1,Data!$A:$A,0)+3+$U31,MATCH(AD$1,Data!$2:$2,0)+3,4)),"")</f>
        <v/>
      </c>
      <c r="AE31" s="5" t="str" cm="1">
        <f t="array" aca="1" ref="AE31" ca="1">IFERROR(INDIRECT("Data"&amp;"!"&amp;ADDRESS(MATCH($V$1,Data!$A:$A,0)+3+$U31,MATCH(AE$1,Data!$2:$2,0)+3,4)),"")</f>
        <v/>
      </c>
      <c r="AF31" s="5" t="str" cm="1">
        <f t="array" aca="1" ref="AF31" ca="1">IFERROR(INDIRECT("Data"&amp;"!"&amp;ADDRESS(MATCH($V$1,Data!$A:$A,0)+3+$U31,MATCH(AF$1,Data!$2:$2,0)+3,4)),"")</f>
        <v/>
      </c>
      <c r="AG31" s="5" t="str" cm="1">
        <f t="array" aca="1" ref="AG31" ca="1">IFERROR(INDIRECT("Data"&amp;"!"&amp;ADDRESS(MATCH($V$1,Data!$A:$A,0)+3+$U31,MATCH(AG$1,Data!$2:$2,0)+3,4)),"")</f>
        <v/>
      </c>
    </row>
    <row r="32" spans="2:33" x14ac:dyDescent="0.25">
      <c r="B32" s="22" t="str" cm="1">
        <f t="array" aca="1" ref="B32" ca="1">IFERROR(INDIRECT("List"&amp;"!"&amp;ADDRESS(MATCH($A32,List!$B:$B,0),MATCH($B$1,List!$1:$1,0),4)),"")</f>
        <v/>
      </c>
      <c r="C32" s="22" t="str" cm="1">
        <f t="array" aca="1" ref="C32" ca="1">IFERROR(INDIRECT("List"&amp;"!"&amp;ADDRESS(MATCH($A32,List!$B:$B,0),MATCH($C$1,List!$1:$1,0),4)),"")</f>
        <v/>
      </c>
      <c r="D32" s="22" t="str" cm="1">
        <f t="array" aca="1" ref="D32" ca="1">IFERROR(INDIRECT("List"&amp;"!"&amp;ADDRESS(MATCH($A32,List!$B:$B,0),MATCH($D$1,List!$1:$1,0),4)),"")</f>
        <v/>
      </c>
      <c r="E32" s="22" t="str" cm="1">
        <f t="array" aca="1" ref="E32" ca="1">IFERROR(INDIRECT("List"&amp;"!"&amp;ADDRESS(MATCH($A32,List!$B:$B,0),MATCH($E$1,List!$1:$1,0),4)),"")</f>
        <v/>
      </c>
      <c r="F32" s="27" t="str" cm="1">
        <f t="array" aca="1" ref="F32" ca="1">IFERROR(INDIRECT("List"&amp;"!"&amp;ADDRESS(MATCH($A32,List!$B:$B,0),MATCH($F$1,List!$1:$1,0),4)),"")</f>
        <v/>
      </c>
      <c r="G32" s="31" t="str" cm="1">
        <f t="array" aca="1" ref="G32" ca="1">IFERROR(INDIRECT("Data"&amp;"!"&amp;ADDRESS(MATCH($G$1,Data!$A$1:$A$20,0),MATCH($A32,Data!$2:$2,0)+3,4)),"")</f>
        <v/>
      </c>
      <c r="H32" s="31" t="str" cm="1">
        <f t="array" aca="1" ref="H32" ca="1">IFERROR(INDIRECT("Data"&amp;"!"&amp;ADDRESS(MATCH($G$1,Data!$A$1:$A$20,0),MATCH($A32,Data!$2:$2,0),4)),"")</f>
        <v/>
      </c>
      <c r="I32" s="31" t="str" cm="1">
        <f t="array" aca="1" ref="I32" ca="1">IFERROR(INDIRECT("Data"&amp;"!"&amp;ADDRESS(MATCH($G$1,Data!$A$1:$A$20,0),MATCH($A32,Data!$2:$2,0)+1,4)),"")</f>
        <v/>
      </c>
      <c r="J32" s="31" t="str" cm="1">
        <f t="array" aca="1" ref="J32" ca="1">IFERROR(INDIRECT("Data"&amp;"!"&amp;ADDRESS(MATCH($G$1,Data!$A$1:$A$20,0),MATCH($A32,Data!$2:$2,0)+2,4)),"")</f>
        <v/>
      </c>
      <c r="K32" s="34" t="str" cm="1">
        <f t="array" aca="1" ref="K32" ca="1">IFERROR(INDIRECT("Data"&amp;"!"&amp;ADDRESS(MATCH($K$1,Data!$A$1:$A$20,0),MATCH($A32,Data!$2:$2,0)+2,4)),"")</f>
        <v/>
      </c>
      <c r="M32" s="115"/>
      <c r="N32" s="6"/>
      <c r="O32" s="6"/>
      <c r="P32" s="6"/>
      <c r="Q32" s="6"/>
      <c r="R32" s="6"/>
      <c r="S32" s="14"/>
      <c r="T32" s="6"/>
      <c r="U32" s="7">
        <v>29</v>
      </c>
      <c r="V32" s="7">
        <v>25</v>
      </c>
      <c r="W32" s="5">
        <v>0</v>
      </c>
      <c r="X32" s="7" t="str" cm="1">
        <f t="array" aca="1" ref="X32" ca="1">IFERROR(INDIRECT("Data"&amp;"!"&amp;ADDRESS(MATCH($V$1,Data!$A:$A,0)+3+$U32,MATCH(X$1,Data!$2:$2,0)+3,4)),"")</f>
        <v/>
      </c>
      <c r="Y32" s="5" t="str" cm="1">
        <f t="array" aca="1" ref="Y32" ca="1">IFERROR(INDIRECT("Data"&amp;"!"&amp;ADDRESS(MATCH($V$1,Data!$A:$A,0)+3+$U32,MATCH(Y$1,Data!$2:$2,0)+3,4)),"")</f>
        <v/>
      </c>
      <c r="Z32" s="5" t="str" cm="1">
        <f t="array" aca="1" ref="Z32" ca="1">IFERROR(INDIRECT("Data"&amp;"!"&amp;ADDRESS(MATCH($V$1,Data!$A:$A,0)+3+$U32,MATCH(Z$1,Data!$2:$2,0)+3,4)),"")</f>
        <v/>
      </c>
      <c r="AA32" s="5" t="str" cm="1">
        <f t="array" aca="1" ref="AA32" ca="1">IFERROR(INDIRECT("Data"&amp;"!"&amp;ADDRESS(MATCH($V$1,Data!$A:$A,0)+3+$U32,MATCH(AA$1,Data!$2:$2,0)+3,4)),"")</f>
        <v/>
      </c>
      <c r="AB32" s="5" t="str" cm="1">
        <f t="array" aca="1" ref="AB32" ca="1">IFERROR(INDIRECT("Data"&amp;"!"&amp;ADDRESS(MATCH($V$1,Data!$A:$A,0)+3+$U32,MATCH(AB$1,Data!$2:$2,0)+3,4)),"")</f>
        <v/>
      </c>
      <c r="AC32" s="5" t="str" cm="1">
        <f t="array" aca="1" ref="AC32" ca="1">IFERROR(INDIRECT("Data"&amp;"!"&amp;ADDRESS(MATCH($V$1,Data!$A:$A,0)+3+$U32,MATCH(AC$1,Data!$2:$2,0)+3,4)),"")</f>
        <v/>
      </c>
      <c r="AD32" s="5" t="str" cm="1">
        <f t="array" aca="1" ref="AD32" ca="1">IFERROR(INDIRECT("Data"&amp;"!"&amp;ADDRESS(MATCH($V$1,Data!$A:$A,0)+3+$U32,MATCH(AD$1,Data!$2:$2,0)+3,4)),"")</f>
        <v/>
      </c>
      <c r="AE32" s="5" t="str" cm="1">
        <f t="array" aca="1" ref="AE32" ca="1">IFERROR(INDIRECT("Data"&amp;"!"&amp;ADDRESS(MATCH($V$1,Data!$A:$A,0)+3+$U32,MATCH(AE$1,Data!$2:$2,0)+3,4)),"")</f>
        <v/>
      </c>
      <c r="AF32" s="5" t="str" cm="1">
        <f t="array" aca="1" ref="AF32" ca="1">IFERROR(INDIRECT("Data"&amp;"!"&amp;ADDRESS(MATCH($V$1,Data!$A:$A,0)+3+$U32,MATCH(AF$1,Data!$2:$2,0)+3,4)),"")</f>
        <v/>
      </c>
      <c r="AG32" s="5" t="str" cm="1">
        <f t="array" aca="1" ref="AG32" ca="1">IFERROR(INDIRECT("Data"&amp;"!"&amp;ADDRESS(MATCH($V$1,Data!$A:$A,0)+3+$U32,MATCH(AG$1,Data!$2:$2,0)+3,4)),"")</f>
        <v/>
      </c>
    </row>
    <row r="33" spans="2:33" x14ac:dyDescent="0.25">
      <c r="B33" s="22" t="str" cm="1">
        <f t="array" aca="1" ref="B33" ca="1">IFERROR(INDIRECT("List"&amp;"!"&amp;ADDRESS(MATCH($A33,List!$B:$B,0),MATCH($B$1,List!$1:$1,0),4)),"")</f>
        <v/>
      </c>
      <c r="C33" s="22" t="str" cm="1">
        <f t="array" aca="1" ref="C33" ca="1">IFERROR(INDIRECT("List"&amp;"!"&amp;ADDRESS(MATCH($A33,List!$B:$B,0),MATCH($C$1,List!$1:$1,0),4)),"")</f>
        <v/>
      </c>
      <c r="D33" s="22" t="str" cm="1">
        <f t="array" aca="1" ref="D33" ca="1">IFERROR(INDIRECT("List"&amp;"!"&amp;ADDRESS(MATCH($A33,List!$B:$B,0),MATCH($D$1,List!$1:$1,0),4)),"")</f>
        <v/>
      </c>
      <c r="E33" s="22" t="str" cm="1">
        <f t="array" aca="1" ref="E33" ca="1">IFERROR(INDIRECT("List"&amp;"!"&amp;ADDRESS(MATCH($A33,List!$B:$B,0),MATCH($E$1,List!$1:$1,0),4)),"")</f>
        <v/>
      </c>
      <c r="F33" s="27" t="str" cm="1">
        <f t="array" aca="1" ref="F33" ca="1">IFERROR(INDIRECT("List"&amp;"!"&amp;ADDRESS(MATCH($A33,List!$B:$B,0),MATCH($F$1,List!$1:$1,0),4)),"")</f>
        <v/>
      </c>
      <c r="G33" s="31" t="str" cm="1">
        <f t="array" aca="1" ref="G33" ca="1">IFERROR(INDIRECT("Data"&amp;"!"&amp;ADDRESS(MATCH($G$1,Data!$A$1:$A$20,0),MATCH($A33,Data!$2:$2,0)+3,4)),"")</f>
        <v/>
      </c>
      <c r="H33" s="31" t="str" cm="1">
        <f t="array" aca="1" ref="H33" ca="1">IFERROR(INDIRECT("Data"&amp;"!"&amp;ADDRESS(MATCH($G$1,Data!$A$1:$A$20,0),MATCH($A33,Data!$2:$2,0),4)),"")</f>
        <v/>
      </c>
      <c r="I33" s="31" t="str" cm="1">
        <f t="array" aca="1" ref="I33" ca="1">IFERROR(INDIRECT("Data"&amp;"!"&amp;ADDRESS(MATCH($G$1,Data!$A$1:$A$20,0),MATCH($A33,Data!$2:$2,0)+1,4)),"")</f>
        <v/>
      </c>
      <c r="J33" s="31" t="str" cm="1">
        <f t="array" aca="1" ref="J33" ca="1">IFERROR(INDIRECT("Data"&amp;"!"&amp;ADDRESS(MATCH($G$1,Data!$A$1:$A$20,0),MATCH($A33,Data!$2:$2,0)+2,4)),"")</f>
        <v/>
      </c>
      <c r="K33" s="34" t="str" cm="1">
        <f t="array" aca="1" ref="K33" ca="1">IFERROR(INDIRECT("Data"&amp;"!"&amp;ADDRESS(MATCH($K$1,Data!$A$1:$A$20,0),MATCH($A33,Data!$2:$2,0)+2,4)),"")</f>
        <v/>
      </c>
      <c r="M33" s="115"/>
      <c r="N33" s="6"/>
      <c r="O33" s="6"/>
      <c r="P33" s="6"/>
      <c r="Q33" s="6"/>
      <c r="R33" s="6"/>
      <c r="S33" s="14"/>
      <c r="T33" s="6"/>
      <c r="U33" s="7">
        <v>30</v>
      </c>
      <c r="V33" s="7">
        <v>30</v>
      </c>
      <c r="W33" s="5">
        <v>0</v>
      </c>
      <c r="X33" s="7" t="str" cm="1">
        <f t="array" aca="1" ref="X33" ca="1">IFERROR(INDIRECT("Data"&amp;"!"&amp;ADDRESS(MATCH($V$1,Data!$A:$A,0)+3+$U33,MATCH(X$1,Data!$2:$2,0)+3,4)),"")</f>
        <v/>
      </c>
      <c r="Y33" s="5" t="str" cm="1">
        <f t="array" aca="1" ref="Y33" ca="1">IFERROR(INDIRECT("Data"&amp;"!"&amp;ADDRESS(MATCH($V$1,Data!$A:$A,0)+3+$U33,MATCH(Y$1,Data!$2:$2,0)+3,4)),"")</f>
        <v/>
      </c>
      <c r="Z33" s="5" t="str" cm="1">
        <f t="array" aca="1" ref="Z33" ca="1">IFERROR(INDIRECT("Data"&amp;"!"&amp;ADDRESS(MATCH($V$1,Data!$A:$A,0)+3+$U33,MATCH(Z$1,Data!$2:$2,0)+3,4)),"")</f>
        <v/>
      </c>
      <c r="AA33" s="5" t="str" cm="1">
        <f t="array" aca="1" ref="AA33" ca="1">IFERROR(INDIRECT("Data"&amp;"!"&amp;ADDRESS(MATCH($V$1,Data!$A:$A,0)+3+$U33,MATCH(AA$1,Data!$2:$2,0)+3,4)),"")</f>
        <v/>
      </c>
      <c r="AB33" s="5" t="str" cm="1">
        <f t="array" aca="1" ref="AB33" ca="1">IFERROR(INDIRECT("Data"&amp;"!"&amp;ADDRESS(MATCH($V$1,Data!$A:$A,0)+3+$U33,MATCH(AB$1,Data!$2:$2,0)+3,4)),"")</f>
        <v/>
      </c>
      <c r="AC33" s="5" t="str" cm="1">
        <f t="array" aca="1" ref="AC33" ca="1">IFERROR(INDIRECT("Data"&amp;"!"&amp;ADDRESS(MATCH($V$1,Data!$A:$A,0)+3+$U33,MATCH(AC$1,Data!$2:$2,0)+3,4)),"")</f>
        <v/>
      </c>
      <c r="AD33" s="5" t="str" cm="1">
        <f t="array" aca="1" ref="AD33" ca="1">IFERROR(INDIRECT("Data"&amp;"!"&amp;ADDRESS(MATCH($V$1,Data!$A:$A,0)+3+$U33,MATCH(AD$1,Data!$2:$2,0)+3,4)),"")</f>
        <v/>
      </c>
      <c r="AE33" s="5" t="str" cm="1">
        <f t="array" aca="1" ref="AE33" ca="1">IFERROR(INDIRECT("Data"&amp;"!"&amp;ADDRESS(MATCH($V$1,Data!$A:$A,0)+3+$U33,MATCH(AE$1,Data!$2:$2,0)+3,4)),"")</f>
        <v/>
      </c>
      <c r="AF33" s="5" t="str" cm="1">
        <f t="array" aca="1" ref="AF33" ca="1">IFERROR(INDIRECT("Data"&amp;"!"&amp;ADDRESS(MATCH($V$1,Data!$A:$A,0)+3+$U33,MATCH(AF$1,Data!$2:$2,0)+3,4)),"")</f>
        <v/>
      </c>
      <c r="AG33" s="5" t="str" cm="1">
        <f t="array" aca="1" ref="AG33" ca="1">IFERROR(INDIRECT("Data"&amp;"!"&amp;ADDRESS(MATCH($V$1,Data!$A:$A,0)+3+$U33,MATCH(AG$1,Data!$2:$2,0)+3,4)),"")</f>
        <v/>
      </c>
    </row>
    <row r="34" spans="2:33" x14ac:dyDescent="0.25">
      <c r="B34" s="22" t="str" cm="1">
        <f t="array" aca="1" ref="B34" ca="1">IFERROR(INDIRECT("List"&amp;"!"&amp;ADDRESS(MATCH($A34,List!$B:$B,0),MATCH($B$1,List!$1:$1,0),4)),"")</f>
        <v/>
      </c>
      <c r="C34" s="22" t="str" cm="1">
        <f t="array" aca="1" ref="C34" ca="1">IFERROR(INDIRECT("List"&amp;"!"&amp;ADDRESS(MATCH($A34,List!$B:$B,0),MATCH($C$1,List!$1:$1,0),4)),"")</f>
        <v/>
      </c>
      <c r="D34" s="22" t="str" cm="1">
        <f t="array" aca="1" ref="D34" ca="1">IFERROR(INDIRECT("List"&amp;"!"&amp;ADDRESS(MATCH($A34,List!$B:$B,0),MATCH($D$1,List!$1:$1,0),4)),"")</f>
        <v/>
      </c>
      <c r="E34" s="22" t="str" cm="1">
        <f t="array" aca="1" ref="E34" ca="1">IFERROR(INDIRECT("List"&amp;"!"&amp;ADDRESS(MATCH($A34,List!$B:$B,0),MATCH($E$1,List!$1:$1,0),4)),"")</f>
        <v/>
      </c>
      <c r="F34" s="27" t="str" cm="1">
        <f t="array" aca="1" ref="F34" ca="1">IFERROR(INDIRECT("List"&amp;"!"&amp;ADDRESS(MATCH($A34,List!$B:$B,0),MATCH($F$1,List!$1:$1,0),4)),"")</f>
        <v/>
      </c>
      <c r="G34" s="31" t="str" cm="1">
        <f t="array" aca="1" ref="G34" ca="1">IFERROR(INDIRECT("Data"&amp;"!"&amp;ADDRESS(MATCH($G$1,Data!$A$1:$A$20,0),MATCH($A34,Data!$2:$2,0)+3,4)),"")</f>
        <v/>
      </c>
      <c r="H34" s="31" t="str" cm="1">
        <f t="array" aca="1" ref="H34" ca="1">IFERROR(INDIRECT("Data"&amp;"!"&amp;ADDRESS(MATCH($G$1,Data!$A$1:$A$20,0),MATCH($A34,Data!$2:$2,0),4)),"")</f>
        <v/>
      </c>
      <c r="I34" s="31" t="str" cm="1">
        <f t="array" aca="1" ref="I34" ca="1">IFERROR(INDIRECT("Data"&amp;"!"&amp;ADDRESS(MATCH($G$1,Data!$A$1:$A$20,0),MATCH($A34,Data!$2:$2,0)+1,4)),"")</f>
        <v/>
      </c>
      <c r="J34" s="31" t="str" cm="1">
        <f t="array" aca="1" ref="J34" ca="1">IFERROR(INDIRECT("Data"&amp;"!"&amp;ADDRESS(MATCH($G$1,Data!$A$1:$A$20,0),MATCH($A34,Data!$2:$2,0)+2,4)),"")</f>
        <v/>
      </c>
      <c r="K34" s="34" t="str" cm="1">
        <f t="array" aca="1" ref="K34" ca="1">IFERROR(INDIRECT("Data"&amp;"!"&amp;ADDRESS(MATCH($K$1,Data!$A$1:$A$20,0),MATCH($A34,Data!$2:$2,0)+2,4)),"")</f>
        <v/>
      </c>
      <c r="M34" s="115"/>
      <c r="N34" s="6"/>
      <c r="O34" s="6"/>
      <c r="P34" s="6"/>
      <c r="Q34" s="6"/>
      <c r="R34" s="6"/>
      <c r="S34" s="14"/>
      <c r="T34" s="6"/>
      <c r="U34" s="7">
        <v>31</v>
      </c>
      <c r="V34" s="7">
        <v>35</v>
      </c>
      <c r="W34" s="5">
        <v>0</v>
      </c>
      <c r="X34" s="7" t="str" cm="1">
        <f t="array" aca="1" ref="X34" ca="1">IFERROR(INDIRECT("Data"&amp;"!"&amp;ADDRESS(MATCH($V$1,Data!$A:$A,0)+3+$U34,MATCH(X$1,Data!$2:$2,0)+3,4)),"")</f>
        <v/>
      </c>
      <c r="Y34" s="5" t="str" cm="1">
        <f t="array" aca="1" ref="Y34" ca="1">IFERROR(INDIRECT("Data"&amp;"!"&amp;ADDRESS(MATCH($V$1,Data!$A:$A,0)+3+$U34,MATCH(Y$1,Data!$2:$2,0)+3,4)),"")</f>
        <v/>
      </c>
      <c r="Z34" s="5" t="str" cm="1">
        <f t="array" aca="1" ref="Z34" ca="1">IFERROR(INDIRECT("Data"&amp;"!"&amp;ADDRESS(MATCH($V$1,Data!$A:$A,0)+3+$U34,MATCH(Z$1,Data!$2:$2,0)+3,4)),"")</f>
        <v/>
      </c>
      <c r="AA34" s="5" t="str" cm="1">
        <f t="array" aca="1" ref="AA34" ca="1">IFERROR(INDIRECT("Data"&amp;"!"&amp;ADDRESS(MATCH($V$1,Data!$A:$A,0)+3+$U34,MATCH(AA$1,Data!$2:$2,0)+3,4)),"")</f>
        <v/>
      </c>
      <c r="AB34" s="5" t="str" cm="1">
        <f t="array" aca="1" ref="AB34" ca="1">IFERROR(INDIRECT("Data"&amp;"!"&amp;ADDRESS(MATCH($V$1,Data!$A:$A,0)+3+$U34,MATCH(AB$1,Data!$2:$2,0)+3,4)),"")</f>
        <v/>
      </c>
      <c r="AC34" s="5" t="str" cm="1">
        <f t="array" aca="1" ref="AC34" ca="1">IFERROR(INDIRECT("Data"&amp;"!"&amp;ADDRESS(MATCH($V$1,Data!$A:$A,0)+3+$U34,MATCH(AC$1,Data!$2:$2,0)+3,4)),"")</f>
        <v/>
      </c>
      <c r="AD34" s="5" t="str" cm="1">
        <f t="array" aca="1" ref="AD34" ca="1">IFERROR(INDIRECT("Data"&amp;"!"&amp;ADDRESS(MATCH($V$1,Data!$A:$A,0)+3+$U34,MATCH(AD$1,Data!$2:$2,0)+3,4)),"")</f>
        <v/>
      </c>
      <c r="AE34" s="5" t="str" cm="1">
        <f t="array" aca="1" ref="AE34" ca="1">IFERROR(INDIRECT("Data"&amp;"!"&amp;ADDRESS(MATCH($V$1,Data!$A:$A,0)+3+$U34,MATCH(AE$1,Data!$2:$2,0)+3,4)),"")</f>
        <v/>
      </c>
      <c r="AF34" s="5" t="str" cm="1">
        <f t="array" aca="1" ref="AF34" ca="1">IFERROR(INDIRECT("Data"&amp;"!"&amp;ADDRESS(MATCH($V$1,Data!$A:$A,0)+3+$U34,MATCH(AF$1,Data!$2:$2,0)+3,4)),"")</f>
        <v/>
      </c>
      <c r="AG34" s="5" t="str" cm="1">
        <f t="array" aca="1" ref="AG34" ca="1">IFERROR(INDIRECT("Data"&amp;"!"&amp;ADDRESS(MATCH($V$1,Data!$A:$A,0)+3+$U34,MATCH(AG$1,Data!$2:$2,0)+3,4)),"")</f>
        <v/>
      </c>
    </row>
    <row r="35" spans="2:33" x14ac:dyDescent="0.25">
      <c r="B35" s="22" t="str" cm="1">
        <f t="array" aca="1" ref="B35" ca="1">IFERROR(INDIRECT("List"&amp;"!"&amp;ADDRESS(MATCH($A35,List!$B:$B,0),MATCH($B$1,List!$1:$1,0),4)),"")</f>
        <v/>
      </c>
      <c r="C35" s="22" t="str" cm="1">
        <f t="array" aca="1" ref="C35" ca="1">IFERROR(INDIRECT("List"&amp;"!"&amp;ADDRESS(MATCH($A35,List!$B:$B,0),MATCH($C$1,List!$1:$1,0),4)),"")</f>
        <v/>
      </c>
      <c r="D35" s="22" t="str" cm="1">
        <f t="array" aca="1" ref="D35" ca="1">IFERROR(INDIRECT("List"&amp;"!"&amp;ADDRESS(MATCH($A35,List!$B:$B,0),MATCH($D$1,List!$1:$1,0),4)),"")</f>
        <v/>
      </c>
      <c r="E35" s="22" t="str" cm="1">
        <f t="array" aca="1" ref="E35" ca="1">IFERROR(INDIRECT("List"&amp;"!"&amp;ADDRESS(MATCH($A35,List!$B:$B,0),MATCH($E$1,List!$1:$1,0),4)),"")</f>
        <v/>
      </c>
      <c r="F35" s="27" t="str" cm="1">
        <f t="array" aca="1" ref="F35" ca="1">IFERROR(INDIRECT("List"&amp;"!"&amp;ADDRESS(MATCH($A35,List!$B:$B,0),MATCH($F$1,List!$1:$1,0),4)),"")</f>
        <v/>
      </c>
      <c r="G35" s="31" t="str" cm="1">
        <f t="array" aca="1" ref="G35" ca="1">IFERROR(INDIRECT("Data"&amp;"!"&amp;ADDRESS(MATCH($G$1,Data!$A$1:$A$20,0),MATCH($A35,Data!$2:$2,0)+3,4)),"")</f>
        <v/>
      </c>
      <c r="H35" s="31" t="str" cm="1">
        <f t="array" aca="1" ref="H35" ca="1">IFERROR(INDIRECT("Data"&amp;"!"&amp;ADDRESS(MATCH($G$1,Data!$A$1:$A$20,0),MATCH($A35,Data!$2:$2,0),4)),"")</f>
        <v/>
      </c>
      <c r="I35" s="31" t="str" cm="1">
        <f t="array" aca="1" ref="I35" ca="1">IFERROR(INDIRECT("Data"&amp;"!"&amp;ADDRESS(MATCH($G$1,Data!$A$1:$A$20,0),MATCH($A35,Data!$2:$2,0)+1,4)),"")</f>
        <v/>
      </c>
      <c r="J35" s="31" t="str" cm="1">
        <f t="array" aca="1" ref="J35" ca="1">IFERROR(INDIRECT("Data"&amp;"!"&amp;ADDRESS(MATCH($G$1,Data!$A$1:$A$20,0),MATCH($A35,Data!$2:$2,0)+2,4)),"")</f>
        <v/>
      </c>
      <c r="K35" s="34" t="str" cm="1">
        <f t="array" aca="1" ref="K35" ca="1">IFERROR(INDIRECT("Data"&amp;"!"&amp;ADDRESS(MATCH($K$1,Data!$A$1:$A$20,0),MATCH($A35,Data!$2:$2,0)+2,4)),"")</f>
        <v/>
      </c>
      <c r="M35" s="115"/>
      <c r="N35" s="6"/>
      <c r="O35" s="6"/>
      <c r="P35" s="6"/>
      <c r="Q35" s="6"/>
      <c r="R35" s="6"/>
      <c r="S35" s="14"/>
      <c r="T35" s="6"/>
      <c r="U35" s="7">
        <v>32</v>
      </c>
      <c r="V35" s="7">
        <v>40</v>
      </c>
      <c r="W35" s="5">
        <v>0</v>
      </c>
      <c r="X35" s="7" t="str" cm="1">
        <f t="array" aca="1" ref="X35" ca="1">IFERROR(INDIRECT("Data"&amp;"!"&amp;ADDRESS(MATCH($V$1,Data!$A:$A,0)+3+$U35,MATCH(X$1,Data!$2:$2,0)+3,4)),"")</f>
        <v/>
      </c>
      <c r="Y35" s="5" t="str" cm="1">
        <f t="array" aca="1" ref="Y35" ca="1">IFERROR(INDIRECT("Data"&amp;"!"&amp;ADDRESS(MATCH($V$1,Data!$A:$A,0)+3+$U35,MATCH(Y$1,Data!$2:$2,0)+3,4)),"")</f>
        <v/>
      </c>
      <c r="Z35" s="5" t="str" cm="1">
        <f t="array" aca="1" ref="Z35" ca="1">IFERROR(INDIRECT("Data"&amp;"!"&amp;ADDRESS(MATCH($V$1,Data!$A:$A,0)+3+$U35,MATCH(Z$1,Data!$2:$2,0)+3,4)),"")</f>
        <v/>
      </c>
      <c r="AA35" s="5" t="str" cm="1">
        <f t="array" aca="1" ref="AA35" ca="1">IFERROR(INDIRECT("Data"&amp;"!"&amp;ADDRESS(MATCH($V$1,Data!$A:$A,0)+3+$U35,MATCH(AA$1,Data!$2:$2,0)+3,4)),"")</f>
        <v/>
      </c>
      <c r="AB35" s="5" t="str" cm="1">
        <f t="array" aca="1" ref="AB35" ca="1">IFERROR(INDIRECT("Data"&amp;"!"&amp;ADDRESS(MATCH($V$1,Data!$A:$A,0)+3+$U35,MATCH(AB$1,Data!$2:$2,0)+3,4)),"")</f>
        <v/>
      </c>
      <c r="AC35" s="5" t="str" cm="1">
        <f t="array" aca="1" ref="AC35" ca="1">IFERROR(INDIRECT("Data"&amp;"!"&amp;ADDRESS(MATCH($V$1,Data!$A:$A,0)+3+$U35,MATCH(AC$1,Data!$2:$2,0)+3,4)),"")</f>
        <v/>
      </c>
      <c r="AD35" s="5" t="str" cm="1">
        <f t="array" aca="1" ref="AD35" ca="1">IFERROR(INDIRECT("Data"&amp;"!"&amp;ADDRESS(MATCH($V$1,Data!$A:$A,0)+3+$U35,MATCH(AD$1,Data!$2:$2,0)+3,4)),"")</f>
        <v/>
      </c>
      <c r="AE35" s="5" t="str" cm="1">
        <f t="array" aca="1" ref="AE35" ca="1">IFERROR(INDIRECT("Data"&amp;"!"&amp;ADDRESS(MATCH($V$1,Data!$A:$A,0)+3+$U35,MATCH(AE$1,Data!$2:$2,0)+3,4)),"")</f>
        <v/>
      </c>
      <c r="AF35" s="5" t="str" cm="1">
        <f t="array" aca="1" ref="AF35" ca="1">IFERROR(INDIRECT("Data"&amp;"!"&amp;ADDRESS(MATCH($V$1,Data!$A:$A,0)+3+$U35,MATCH(AF$1,Data!$2:$2,0)+3,4)),"")</f>
        <v/>
      </c>
      <c r="AG35" s="5" t="str" cm="1">
        <f t="array" aca="1" ref="AG35" ca="1">IFERROR(INDIRECT("Data"&amp;"!"&amp;ADDRESS(MATCH($V$1,Data!$A:$A,0)+3+$U35,MATCH(AG$1,Data!$2:$2,0)+3,4)),"")</f>
        <v/>
      </c>
    </row>
    <row r="36" spans="2:33" x14ac:dyDescent="0.25">
      <c r="B36" s="22" t="str" cm="1">
        <f t="array" aca="1" ref="B36" ca="1">IFERROR(INDIRECT("List"&amp;"!"&amp;ADDRESS(MATCH($A36,List!$B:$B,0),MATCH($B$1,List!$1:$1,0),4)),"")</f>
        <v/>
      </c>
      <c r="C36" s="22" t="str" cm="1">
        <f t="array" aca="1" ref="C36" ca="1">IFERROR(INDIRECT("List"&amp;"!"&amp;ADDRESS(MATCH($A36,List!$B:$B,0),MATCH($C$1,List!$1:$1,0),4)),"")</f>
        <v/>
      </c>
      <c r="D36" s="22" t="str" cm="1">
        <f t="array" aca="1" ref="D36" ca="1">IFERROR(INDIRECT("List"&amp;"!"&amp;ADDRESS(MATCH($A36,List!$B:$B,0),MATCH($D$1,List!$1:$1,0),4)),"")</f>
        <v/>
      </c>
      <c r="E36" s="22" t="str" cm="1">
        <f t="array" aca="1" ref="E36" ca="1">IFERROR(INDIRECT("List"&amp;"!"&amp;ADDRESS(MATCH($A36,List!$B:$B,0),MATCH($E$1,List!$1:$1,0),4)),"")</f>
        <v/>
      </c>
      <c r="F36" s="27" t="str" cm="1">
        <f t="array" aca="1" ref="F36" ca="1">IFERROR(INDIRECT("List"&amp;"!"&amp;ADDRESS(MATCH($A36,List!$B:$B,0),MATCH($F$1,List!$1:$1,0),4)),"")</f>
        <v/>
      </c>
      <c r="G36" s="31" t="str" cm="1">
        <f t="array" aca="1" ref="G36" ca="1">IFERROR(INDIRECT("Data"&amp;"!"&amp;ADDRESS(MATCH($G$1,Data!$A$1:$A$20,0),MATCH($A36,Data!$2:$2,0)+3,4)),"")</f>
        <v/>
      </c>
      <c r="H36" s="31" t="str" cm="1">
        <f t="array" aca="1" ref="H36" ca="1">IFERROR(INDIRECT("Data"&amp;"!"&amp;ADDRESS(MATCH($G$1,Data!$A$1:$A$20,0),MATCH($A36,Data!$2:$2,0),4)),"")</f>
        <v/>
      </c>
      <c r="I36" s="31" t="str" cm="1">
        <f t="array" aca="1" ref="I36" ca="1">IFERROR(INDIRECT("Data"&amp;"!"&amp;ADDRESS(MATCH($G$1,Data!$A$1:$A$20,0),MATCH($A36,Data!$2:$2,0)+1,4)),"")</f>
        <v/>
      </c>
      <c r="J36" s="31" t="str" cm="1">
        <f t="array" aca="1" ref="J36" ca="1">IFERROR(INDIRECT("Data"&amp;"!"&amp;ADDRESS(MATCH($G$1,Data!$A$1:$A$20,0),MATCH($A36,Data!$2:$2,0)+2,4)),"")</f>
        <v/>
      </c>
      <c r="K36" s="34" t="str" cm="1">
        <f t="array" aca="1" ref="K36" ca="1">IFERROR(INDIRECT("Data"&amp;"!"&amp;ADDRESS(MATCH($K$1,Data!$A$1:$A$20,0),MATCH($A36,Data!$2:$2,0)+2,4)),"")</f>
        <v/>
      </c>
      <c r="M36" s="115"/>
      <c r="N36" s="6"/>
      <c r="O36" s="6"/>
      <c r="P36" s="6"/>
      <c r="Q36" s="6"/>
      <c r="R36" s="6"/>
      <c r="S36" s="14"/>
      <c r="T36" s="6"/>
      <c r="U36" s="7">
        <v>33</v>
      </c>
      <c r="V36" s="7">
        <v>45</v>
      </c>
      <c r="W36" s="5">
        <v>0</v>
      </c>
      <c r="X36" s="7" t="str" cm="1">
        <f t="array" aca="1" ref="X36" ca="1">IFERROR(INDIRECT("Data"&amp;"!"&amp;ADDRESS(MATCH($V$1,Data!$A:$A,0)+3+$U36,MATCH(X$1,Data!$2:$2,0)+3,4)),"")</f>
        <v/>
      </c>
      <c r="Y36" s="5" t="str" cm="1">
        <f t="array" aca="1" ref="Y36" ca="1">IFERROR(INDIRECT("Data"&amp;"!"&amp;ADDRESS(MATCH($V$1,Data!$A:$A,0)+3+$U36,MATCH(Y$1,Data!$2:$2,0)+3,4)),"")</f>
        <v/>
      </c>
      <c r="Z36" s="5" t="str" cm="1">
        <f t="array" aca="1" ref="Z36" ca="1">IFERROR(INDIRECT("Data"&amp;"!"&amp;ADDRESS(MATCH($V$1,Data!$A:$A,0)+3+$U36,MATCH(Z$1,Data!$2:$2,0)+3,4)),"")</f>
        <v/>
      </c>
      <c r="AA36" s="5" t="str" cm="1">
        <f t="array" aca="1" ref="AA36" ca="1">IFERROR(INDIRECT("Data"&amp;"!"&amp;ADDRESS(MATCH($V$1,Data!$A:$A,0)+3+$U36,MATCH(AA$1,Data!$2:$2,0)+3,4)),"")</f>
        <v/>
      </c>
      <c r="AB36" s="5" t="str" cm="1">
        <f t="array" aca="1" ref="AB36" ca="1">IFERROR(INDIRECT("Data"&amp;"!"&amp;ADDRESS(MATCH($V$1,Data!$A:$A,0)+3+$U36,MATCH(AB$1,Data!$2:$2,0)+3,4)),"")</f>
        <v/>
      </c>
      <c r="AC36" s="5" t="str" cm="1">
        <f t="array" aca="1" ref="AC36" ca="1">IFERROR(INDIRECT("Data"&amp;"!"&amp;ADDRESS(MATCH($V$1,Data!$A:$A,0)+3+$U36,MATCH(AC$1,Data!$2:$2,0)+3,4)),"")</f>
        <v/>
      </c>
      <c r="AD36" s="5" t="str" cm="1">
        <f t="array" aca="1" ref="AD36" ca="1">IFERROR(INDIRECT("Data"&amp;"!"&amp;ADDRESS(MATCH($V$1,Data!$A:$A,0)+3+$U36,MATCH(AD$1,Data!$2:$2,0)+3,4)),"")</f>
        <v/>
      </c>
      <c r="AE36" s="5" t="str" cm="1">
        <f t="array" aca="1" ref="AE36" ca="1">IFERROR(INDIRECT("Data"&amp;"!"&amp;ADDRESS(MATCH($V$1,Data!$A:$A,0)+3+$U36,MATCH(AE$1,Data!$2:$2,0)+3,4)),"")</f>
        <v/>
      </c>
      <c r="AF36" s="5" t="str" cm="1">
        <f t="array" aca="1" ref="AF36" ca="1">IFERROR(INDIRECT("Data"&amp;"!"&amp;ADDRESS(MATCH($V$1,Data!$A:$A,0)+3+$U36,MATCH(AF$1,Data!$2:$2,0)+3,4)),"")</f>
        <v/>
      </c>
      <c r="AG36" s="5" t="str" cm="1">
        <f t="array" aca="1" ref="AG36" ca="1">IFERROR(INDIRECT("Data"&amp;"!"&amp;ADDRESS(MATCH($V$1,Data!$A:$A,0)+3+$U36,MATCH(AG$1,Data!$2:$2,0)+3,4)),"")</f>
        <v/>
      </c>
    </row>
    <row r="37" spans="2:33" x14ac:dyDescent="0.25">
      <c r="B37" s="22" t="str" cm="1">
        <f t="array" aca="1" ref="B37" ca="1">IFERROR(INDIRECT("List"&amp;"!"&amp;ADDRESS(MATCH($A37,List!$B:$B,0),MATCH($B$1,List!$1:$1,0),4)),"")</f>
        <v/>
      </c>
      <c r="C37" s="22" t="str" cm="1">
        <f t="array" aca="1" ref="C37" ca="1">IFERROR(INDIRECT("List"&amp;"!"&amp;ADDRESS(MATCH($A37,List!$B:$B,0),MATCH($C$1,List!$1:$1,0),4)),"")</f>
        <v/>
      </c>
      <c r="D37" s="22" t="str" cm="1">
        <f t="array" aca="1" ref="D37" ca="1">IFERROR(INDIRECT("List"&amp;"!"&amp;ADDRESS(MATCH($A37,List!$B:$B,0),MATCH($D$1,List!$1:$1,0),4)),"")</f>
        <v/>
      </c>
      <c r="E37" s="22" t="str" cm="1">
        <f t="array" aca="1" ref="E37" ca="1">IFERROR(INDIRECT("List"&amp;"!"&amp;ADDRESS(MATCH($A37,List!$B:$B,0),MATCH($E$1,List!$1:$1,0),4)),"")</f>
        <v/>
      </c>
      <c r="F37" s="27" t="str" cm="1">
        <f t="array" aca="1" ref="F37" ca="1">IFERROR(INDIRECT("List"&amp;"!"&amp;ADDRESS(MATCH($A37,List!$B:$B,0),MATCH($F$1,List!$1:$1,0),4)),"")</f>
        <v/>
      </c>
      <c r="G37" s="31" t="str" cm="1">
        <f t="array" aca="1" ref="G37" ca="1">IFERROR(INDIRECT("Data"&amp;"!"&amp;ADDRESS(MATCH($G$1,Data!$A$1:$A$20,0),MATCH($A37,Data!$2:$2,0)+3,4)),"")</f>
        <v/>
      </c>
      <c r="H37" s="31" t="str" cm="1">
        <f t="array" aca="1" ref="H37" ca="1">IFERROR(INDIRECT("Data"&amp;"!"&amp;ADDRESS(MATCH($G$1,Data!$A$1:$A$20,0),MATCH($A37,Data!$2:$2,0),4)),"")</f>
        <v/>
      </c>
      <c r="I37" s="31" t="str" cm="1">
        <f t="array" aca="1" ref="I37" ca="1">IFERROR(INDIRECT("Data"&amp;"!"&amp;ADDRESS(MATCH($G$1,Data!$A$1:$A$20,0),MATCH($A37,Data!$2:$2,0)+1,4)),"")</f>
        <v/>
      </c>
      <c r="J37" s="31" t="str" cm="1">
        <f t="array" aca="1" ref="J37" ca="1">IFERROR(INDIRECT("Data"&amp;"!"&amp;ADDRESS(MATCH($G$1,Data!$A$1:$A$20,0),MATCH($A37,Data!$2:$2,0)+2,4)),"")</f>
        <v/>
      </c>
      <c r="K37" s="34" t="str" cm="1">
        <f t="array" aca="1" ref="K37" ca="1">IFERROR(INDIRECT("Data"&amp;"!"&amp;ADDRESS(MATCH($K$1,Data!$A$1:$A$20,0),MATCH($A37,Data!$2:$2,0)+2,4)),"")</f>
        <v/>
      </c>
      <c r="M37" s="115"/>
      <c r="N37" s="6"/>
      <c r="O37" s="6"/>
      <c r="P37" s="6"/>
      <c r="Q37" s="6"/>
      <c r="R37" s="6"/>
      <c r="S37" s="14"/>
      <c r="T37" s="6"/>
      <c r="U37" s="7">
        <v>34</v>
      </c>
      <c r="V37" s="7">
        <v>50</v>
      </c>
      <c r="W37" s="5">
        <v>0</v>
      </c>
      <c r="X37" s="7" t="str" cm="1">
        <f t="array" aca="1" ref="X37" ca="1">IFERROR(INDIRECT("Data"&amp;"!"&amp;ADDRESS(MATCH($V$1,Data!$A:$A,0)+3+$U37,MATCH(X$1,Data!$2:$2,0)+3,4)),"")</f>
        <v/>
      </c>
      <c r="Y37" s="5" t="str" cm="1">
        <f t="array" aca="1" ref="Y37" ca="1">IFERROR(INDIRECT("Data"&amp;"!"&amp;ADDRESS(MATCH($V$1,Data!$A:$A,0)+3+$U37,MATCH(Y$1,Data!$2:$2,0)+3,4)),"")</f>
        <v/>
      </c>
      <c r="Z37" s="5" t="str" cm="1">
        <f t="array" aca="1" ref="Z37" ca="1">IFERROR(INDIRECT("Data"&amp;"!"&amp;ADDRESS(MATCH($V$1,Data!$A:$A,0)+3+$U37,MATCH(Z$1,Data!$2:$2,0)+3,4)),"")</f>
        <v/>
      </c>
      <c r="AA37" s="5" t="str" cm="1">
        <f t="array" aca="1" ref="AA37" ca="1">IFERROR(INDIRECT("Data"&amp;"!"&amp;ADDRESS(MATCH($V$1,Data!$A:$A,0)+3+$U37,MATCH(AA$1,Data!$2:$2,0)+3,4)),"")</f>
        <v/>
      </c>
      <c r="AB37" s="5" t="str" cm="1">
        <f t="array" aca="1" ref="AB37" ca="1">IFERROR(INDIRECT("Data"&amp;"!"&amp;ADDRESS(MATCH($V$1,Data!$A:$A,0)+3+$U37,MATCH(AB$1,Data!$2:$2,0)+3,4)),"")</f>
        <v/>
      </c>
      <c r="AC37" s="5" t="str" cm="1">
        <f t="array" aca="1" ref="AC37" ca="1">IFERROR(INDIRECT("Data"&amp;"!"&amp;ADDRESS(MATCH($V$1,Data!$A:$A,0)+3+$U37,MATCH(AC$1,Data!$2:$2,0)+3,4)),"")</f>
        <v/>
      </c>
      <c r="AD37" s="5" t="str" cm="1">
        <f t="array" aca="1" ref="AD37" ca="1">IFERROR(INDIRECT("Data"&amp;"!"&amp;ADDRESS(MATCH($V$1,Data!$A:$A,0)+3+$U37,MATCH(AD$1,Data!$2:$2,0)+3,4)),"")</f>
        <v/>
      </c>
      <c r="AE37" s="5" t="str" cm="1">
        <f t="array" aca="1" ref="AE37" ca="1">IFERROR(INDIRECT("Data"&amp;"!"&amp;ADDRESS(MATCH($V$1,Data!$A:$A,0)+3+$U37,MATCH(AE$1,Data!$2:$2,0)+3,4)),"")</f>
        <v/>
      </c>
      <c r="AF37" s="5" t="str" cm="1">
        <f t="array" aca="1" ref="AF37" ca="1">IFERROR(INDIRECT("Data"&amp;"!"&amp;ADDRESS(MATCH($V$1,Data!$A:$A,0)+3+$U37,MATCH(AF$1,Data!$2:$2,0)+3,4)),"")</f>
        <v/>
      </c>
      <c r="AG37" s="5" t="str" cm="1">
        <f t="array" aca="1" ref="AG37" ca="1">IFERROR(INDIRECT("Data"&amp;"!"&amp;ADDRESS(MATCH($V$1,Data!$A:$A,0)+3+$U37,MATCH(AG$1,Data!$2:$2,0)+3,4)),"")</f>
        <v/>
      </c>
    </row>
    <row r="38" spans="2:33" ht="12" thickBot="1" x14ac:dyDescent="0.3">
      <c r="B38" s="22" t="str" cm="1">
        <f t="array" aca="1" ref="B38" ca="1">IFERROR(INDIRECT("List"&amp;"!"&amp;ADDRESS(MATCH($A38,List!$B:$B,0),MATCH($B$1,List!$1:$1,0),4)),"")</f>
        <v/>
      </c>
      <c r="C38" s="22" t="str" cm="1">
        <f t="array" aca="1" ref="C38" ca="1">IFERROR(INDIRECT("List"&amp;"!"&amp;ADDRESS(MATCH($A38,List!$B:$B,0),MATCH($C$1,List!$1:$1,0),4)),"")</f>
        <v/>
      </c>
      <c r="D38" s="22" t="str" cm="1">
        <f t="array" aca="1" ref="D38" ca="1">IFERROR(INDIRECT("List"&amp;"!"&amp;ADDRESS(MATCH($A38,List!$B:$B,0),MATCH($D$1,List!$1:$1,0),4)),"")</f>
        <v/>
      </c>
      <c r="E38" s="22" t="str" cm="1">
        <f t="array" aca="1" ref="E38" ca="1">IFERROR(INDIRECT("List"&amp;"!"&amp;ADDRESS(MATCH($A38,List!$B:$B,0),MATCH($E$1,List!$1:$1,0),4)),"")</f>
        <v/>
      </c>
      <c r="F38" s="27" t="str" cm="1">
        <f t="array" aca="1" ref="F38" ca="1">IFERROR(INDIRECT("List"&amp;"!"&amp;ADDRESS(MATCH($A38,List!$B:$B,0),MATCH($F$1,List!$1:$1,0),4)),"")</f>
        <v/>
      </c>
      <c r="G38" s="31" t="str" cm="1">
        <f t="array" aca="1" ref="G38" ca="1">IFERROR(INDIRECT("Data"&amp;"!"&amp;ADDRESS(MATCH($G$1,Data!$A$1:$A$20,0),MATCH($A38,Data!$2:$2,0)+3,4)),"")</f>
        <v/>
      </c>
      <c r="H38" s="31" t="str" cm="1">
        <f t="array" aca="1" ref="H38" ca="1">IFERROR(INDIRECT("Data"&amp;"!"&amp;ADDRESS(MATCH($G$1,Data!$A$1:$A$20,0),MATCH($A38,Data!$2:$2,0),4)),"")</f>
        <v/>
      </c>
      <c r="I38" s="31" t="str" cm="1">
        <f t="array" aca="1" ref="I38" ca="1">IFERROR(INDIRECT("Data"&amp;"!"&amp;ADDRESS(MATCH($G$1,Data!$A$1:$A$20,0),MATCH($A38,Data!$2:$2,0)+1,4)),"")</f>
        <v/>
      </c>
      <c r="J38" s="31" t="str" cm="1">
        <f t="array" aca="1" ref="J38" ca="1">IFERROR(INDIRECT("Data"&amp;"!"&amp;ADDRESS(MATCH($G$1,Data!$A$1:$A$20,0),MATCH($A38,Data!$2:$2,0)+2,4)),"")</f>
        <v/>
      </c>
      <c r="K38" s="34" t="str" cm="1">
        <f t="array" aca="1" ref="K38" ca="1">IFERROR(INDIRECT("Data"&amp;"!"&amp;ADDRESS(MATCH($K$1,Data!$A$1:$A$20,0),MATCH($A38,Data!$2:$2,0)+2,4)),"")</f>
        <v/>
      </c>
      <c r="M38" s="116"/>
      <c r="N38" s="15"/>
      <c r="O38" s="15"/>
      <c r="P38" s="15"/>
      <c r="Q38" s="15"/>
      <c r="R38" s="15"/>
      <c r="S38" s="16"/>
      <c r="T38" s="6"/>
      <c r="U38" s="7">
        <v>35</v>
      </c>
      <c r="V38" s="7">
        <v>55</v>
      </c>
      <c r="W38" s="5">
        <v>0</v>
      </c>
      <c r="X38" s="7" t="str" cm="1">
        <f t="array" aca="1" ref="X38" ca="1">IFERROR(INDIRECT("Data"&amp;"!"&amp;ADDRESS(MATCH($V$1,Data!$A:$A,0)+3+$U38,MATCH(X$1,Data!$2:$2,0)+3,4)),"")</f>
        <v/>
      </c>
      <c r="Y38" s="5" t="str" cm="1">
        <f t="array" aca="1" ref="Y38" ca="1">IFERROR(INDIRECT("Data"&amp;"!"&amp;ADDRESS(MATCH($V$1,Data!$A:$A,0)+3+$U38,MATCH(Y$1,Data!$2:$2,0)+3,4)),"")</f>
        <v/>
      </c>
      <c r="Z38" s="5" t="str" cm="1">
        <f t="array" aca="1" ref="Z38" ca="1">IFERROR(INDIRECT("Data"&amp;"!"&amp;ADDRESS(MATCH($V$1,Data!$A:$A,0)+3+$U38,MATCH(Z$1,Data!$2:$2,0)+3,4)),"")</f>
        <v/>
      </c>
      <c r="AA38" s="5" t="str" cm="1">
        <f t="array" aca="1" ref="AA38" ca="1">IFERROR(INDIRECT("Data"&amp;"!"&amp;ADDRESS(MATCH($V$1,Data!$A:$A,0)+3+$U38,MATCH(AA$1,Data!$2:$2,0)+3,4)),"")</f>
        <v/>
      </c>
      <c r="AB38" s="5" t="str" cm="1">
        <f t="array" aca="1" ref="AB38" ca="1">IFERROR(INDIRECT("Data"&amp;"!"&amp;ADDRESS(MATCH($V$1,Data!$A:$A,0)+3+$U38,MATCH(AB$1,Data!$2:$2,0)+3,4)),"")</f>
        <v/>
      </c>
      <c r="AC38" s="5" t="str" cm="1">
        <f t="array" aca="1" ref="AC38" ca="1">IFERROR(INDIRECT("Data"&amp;"!"&amp;ADDRESS(MATCH($V$1,Data!$A:$A,0)+3+$U38,MATCH(AC$1,Data!$2:$2,0)+3,4)),"")</f>
        <v/>
      </c>
      <c r="AD38" s="5" t="str" cm="1">
        <f t="array" aca="1" ref="AD38" ca="1">IFERROR(INDIRECT("Data"&amp;"!"&amp;ADDRESS(MATCH($V$1,Data!$A:$A,0)+3+$U38,MATCH(AD$1,Data!$2:$2,0)+3,4)),"")</f>
        <v/>
      </c>
      <c r="AE38" s="5" t="str" cm="1">
        <f t="array" aca="1" ref="AE38" ca="1">IFERROR(INDIRECT("Data"&amp;"!"&amp;ADDRESS(MATCH($V$1,Data!$A:$A,0)+3+$U38,MATCH(AE$1,Data!$2:$2,0)+3,4)),"")</f>
        <v/>
      </c>
      <c r="AF38" s="5" t="str" cm="1">
        <f t="array" aca="1" ref="AF38" ca="1">IFERROR(INDIRECT("Data"&amp;"!"&amp;ADDRESS(MATCH($V$1,Data!$A:$A,0)+3+$U38,MATCH(AF$1,Data!$2:$2,0)+3,4)),"")</f>
        <v/>
      </c>
      <c r="AG38" s="5" t="str" cm="1">
        <f t="array" aca="1" ref="AG38" ca="1">IFERROR(INDIRECT("Data"&amp;"!"&amp;ADDRESS(MATCH($V$1,Data!$A:$A,0)+3+$U38,MATCH(AG$1,Data!$2:$2,0)+3,4)),"")</f>
        <v/>
      </c>
    </row>
    <row r="39" spans="2:33" x14ac:dyDescent="0.25">
      <c r="B39" s="22" t="str" cm="1">
        <f t="array" aca="1" ref="B39" ca="1">IFERROR(INDIRECT("List"&amp;"!"&amp;ADDRESS(MATCH($A39,List!$B:$B,0),MATCH($B$1,List!$1:$1,0),4)),"")</f>
        <v/>
      </c>
      <c r="C39" s="22" t="str" cm="1">
        <f t="array" aca="1" ref="C39" ca="1">IFERROR(INDIRECT("List"&amp;"!"&amp;ADDRESS(MATCH($A39,List!$B:$B,0),MATCH($C$1,List!$1:$1,0),4)),"")</f>
        <v/>
      </c>
      <c r="D39" s="22" t="str" cm="1">
        <f t="array" aca="1" ref="D39" ca="1">IFERROR(INDIRECT("List"&amp;"!"&amp;ADDRESS(MATCH($A39,List!$B:$B,0),MATCH($D$1,List!$1:$1,0),4)),"")</f>
        <v/>
      </c>
      <c r="E39" s="22" t="str" cm="1">
        <f t="array" aca="1" ref="E39" ca="1">IFERROR(INDIRECT("List"&amp;"!"&amp;ADDRESS(MATCH($A39,List!$B:$B,0),MATCH($E$1,List!$1:$1,0),4)),"")</f>
        <v/>
      </c>
      <c r="F39" s="27" t="str" cm="1">
        <f t="array" aca="1" ref="F39" ca="1">IFERROR(INDIRECT("List"&amp;"!"&amp;ADDRESS(MATCH($A39,List!$B:$B,0),MATCH($F$1,List!$1:$1,0),4)),"")</f>
        <v/>
      </c>
      <c r="G39" s="31" t="str" cm="1">
        <f t="array" aca="1" ref="G39" ca="1">IFERROR(INDIRECT("Data"&amp;"!"&amp;ADDRESS(MATCH($G$1,Data!$A$1:$A$20,0),MATCH($A39,Data!$2:$2,0)+3,4)),"")</f>
        <v/>
      </c>
      <c r="H39" s="31" t="str" cm="1">
        <f t="array" aca="1" ref="H39" ca="1">IFERROR(INDIRECT("Data"&amp;"!"&amp;ADDRESS(MATCH($G$1,Data!$A$1:$A$20,0),MATCH($A39,Data!$2:$2,0),4)),"")</f>
        <v/>
      </c>
      <c r="I39" s="31" t="str" cm="1">
        <f t="array" aca="1" ref="I39" ca="1">IFERROR(INDIRECT("Data"&amp;"!"&amp;ADDRESS(MATCH($G$1,Data!$A$1:$A$20,0),MATCH($A39,Data!$2:$2,0)+1,4)),"")</f>
        <v/>
      </c>
      <c r="J39" s="31" t="str" cm="1">
        <f t="array" aca="1" ref="J39" ca="1">IFERROR(INDIRECT("Data"&amp;"!"&amp;ADDRESS(MATCH($G$1,Data!$A$1:$A$20,0),MATCH($A39,Data!$2:$2,0)+2,4)),"")</f>
        <v/>
      </c>
      <c r="K39" s="34" t="str" cm="1">
        <f t="array" aca="1" ref="K39" ca="1">IFERROR(INDIRECT("Data"&amp;"!"&amp;ADDRESS(MATCH($K$1,Data!$A$1:$A$20,0),MATCH($A39,Data!$2:$2,0)+2,4)),"")</f>
        <v/>
      </c>
      <c r="U39" s="7">
        <v>36</v>
      </c>
      <c r="V39" s="7">
        <v>60</v>
      </c>
      <c r="W39" s="5">
        <v>0</v>
      </c>
      <c r="X39" s="7" t="str" cm="1">
        <f t="array" aca="1" ref="X39" ca="1">IFERROR(INDIRECT("Data"&amp;"!"&amp;ADDRESS(MATCH($V$1,Data!$A:$A,0)+3+$U39,MATCH(X$1,Data!$2:$2,0)+3,4)),"")</f>
        <v/>
      </c>
      <c r="Y39" s="5" t="str" cm="1">
        <f t="array" aca="1" ref="Y39" ca="1">IFERROR(INDIRECT("Data"&amp;"!"&amp;ADDRESS(MATCH($V$1,Data!$A:$A,0)+3+$U39,MATCH(Y$1,Data!$2:$2,0)+3,4)),"")</f>
        <v/>
      </c>
      <c r="Z39" s="5" t="str" cm="1">
        <f t="array" aca="1" ref="Z39" ca="1">IFERROR(INDIRECT("Data"&amp;"!"&amp;ADDRESS(MATCH($V$1,Data!$A:$A,0)+3+$U39,MATCH(Z$1,Data!$2:$2,0)+3,4)),"")</f>
        <v/>
      </c>
      <c r="AA39" s="5" t="str" cm="1">
        <f t="array" aca="1" ref="AA39" ca="1">IFERROR(INDIRECT("Data"&amp;"!"&amp;ADDRESS(MATCH($V$1,Data!$A:$A,0)+3+$U39,MATCH(AA$1,Data!$2:$2,0)+3,4)),"")</f>
        <v/>
      </c>
      <c r="AB39" s="5" t="str" cm="1">
        <f t="array" aca="1" ref="AB39" ca="1">IFERROR(INDIRECT("Data"&amp;"!"&amp;ADDRESS(MATCH($V$1,Data!$A:$A,0)+3+$U39,MATCH(AB$1,Data!$2:$2,0)+3,4)),"")</f>
        <v/>
      </c>
      <c r="AC39" s="5" t="str" cm="1">
        <f t="array" aca="1" ref="AC39" ca="1">IFERROR(INDIRECT("Data"&amp;"!"&amp;ADDRESS(MATCH($V$1,Data!$A:$A,0)+3+$U39,MATCH(AC$1,Data!$2:$2,0)+3,4)),"")</f>
        <v/>
      </c>
      <c r="AD39" s="5" t="str" cm="1">
        <f t="array" aca="1" ref="AD39" ca="1">IFERROR(INDIRECT("Data"&amp;"!"&amp;ADDRESS(MATCH($V$1,Data!$A:$A,0)+3+$U39,MATCH(AD$1,Data!$2:$2,0)+3,4)),"")</f>
        <v/>
      </c>
      <c r="AE39" s="5" t="str" cm="1">
        <f t="array" aca="1" ref="AE39" ca="1">IFERROR(INDIRECT("Data"&amp;"!"&amp;ADDRESS(MATCH($V$1,Data!$A:$A,0)+3+$U39,MATCH(AE$1,Data!$2:$2,0)+3,4)),"")</f>
        <v/>
      </c>
      <c r="AF39" s="5" t="str" cm="1">
        <f t="array" aca="1" ref="AF39" ca="1">IFERROR(INDIRECT("Data"&amp;"!"&amp;ADDRESS(MATCH($V$1,Data!$A:$A,0)+3+$U39,MATCH(AF$1,Data!$2:$2,0)+3,4)),"")</f>
        <v/>
      </c>
      <c r="AG39" s="5" t="str" cm="1">
        <f t="array" aca="1" ref="AG39" ca="1">IFERROR(INDIRECT("Data"&amp;"!"&amp;ADDRESS(MATCH($V$1,Data!$A:$A,0)+3+$U39,MATCH(AG$1,Data!$2:$2,0)+3,4)),"")</f>
        <v/>
      </c>
    </row>
    <row r="40" spans="2:33" x14ac:dyDescent="0.25">
      <c r="B40" s="22" t="str" cm="1">
        <f t="array" aca="1" ref="B40" ca="1">IFERROR(INDIRECT("List"&amp;"!"&amp;ADDRESS(MATCH($A40,List!$B:$B,0),MATCH($B$1,List!$1:$1,0),4)),"")</f>
        <v/>
      </c>
      <c r="C40" s="22" t="str" cm="1">
        <f t="array" aca="1" ref="C40" ca="1">IFERROR(INDIRECT("List"&amp;"!"&amp;ADDRESS(MATCH($A40,List!$B:$B,0),MATCH($C$1,List!$1:$1,0),4)),"")</f>
        <v/>
      </c>
      <c r="D40" s="22" t="str" cm="1">
        <f t="array" aca="1" ref="D40" ca="1">IFERROR(INDIRECT("List"&amp;"!"&amp;ADDRESS(MATCH($A40,List!$B:$B,0),MATCH($D$1,List!$1:$1,0),4)),"")</f>
        <v/>
      </c>
      <c r="E40" s="22" t="str" cm="1">
        <f t="array" aca="1" ref="E40" ca="1">IFERROR(INDIRECT("List"&amp;"!"&amp;ADDRESS(MATCH($A40,List!$B:$B,0),MATCH($E$1,List!$1:$1,0),4)),"")</f>
        <v/>
      </c>
      <c r="F40" s="27" t="str" cm="1">
        <f t="array" aca="1" ref="F40" ca="1">IFERROR(INDIRECT("List"&amp;"!"&amp;ADDRESS(MATCH($A40,List!$B:$B,0),MATCH($F$1,List!$1:$1,0),4)),"")</f>
        <v/>
      </c>
      <c r="G40" s="31" t="str" cm="1">
        <f t="array" aca="1" ref="G40" ca="1">IFERROR(INDIRECT("Data"&amp;"!"&amp;ADDRESS(MATCH($G$1,Data!$A$1:$A$20,0),MATCH($A40,Data!$2:$2,0)+3,4)),"")</f>
        <v/>
      </c>
      <c r="H40" s="31" t="str" cm="1">
        <f t="array" aca="1" ref="H40" ca="1">IFERROR(INDIRECT("Data"&amp;"!"&amp;ADDRESS(MATCH($G$1,Data!$A$1:$A$20,0),MATCH($A40,Data!$2:$2,0),4)),"")</f>
        <v/>
      </c>
      <c r="I40" s="31" t="str" cm="1">
        <f t="array" aca="1" ref="I40" ca="1">IFERROR(INDIRECT("Data"&amp;"!"&amp;ADDRESS(MATCH($G$1,Data!$A$1:$A$20,0),MATCH($A40,Data!$2:$2,0)+1,4)),"")</f>
        <v/>
      </c>
      <c r="J40" s="31" t="str" cm="1">
        <f t="array" aca="1" ref="J40" ca="1">IFERROR(INDIRECT("Data"&amp;"!"&amp;ADDRESS(MATCH($G$1,Data!$A$1:$A$20,0),MATCH($A40,Data!$2:$2,0)+2,4)),"")</f>
        <v/>
      </c>
      <c r="K40" s="34" t="str" cm="1">
        <f t="array" aca="1" ref="K40" ca="1">IFERROR(INDIRECT("Data"&amp;"!"&amp;ADDRESS(MATCH($K$1,Data!$A$1:$A$20,0),MATCH($A40,Data!$2:$2,0)+2,4)),"")</f>
        <v/>
      </c>
      <c r="U40" s="7">
        <v>37</v>
      </c>
      <c r="V40" s="7">
        <v>65</v>
      </c>
      <c r="W40" s="5">
        <v>0</v>
      </c>
      <c r="X40" s="7" t="str" cm="1">
        <f t="array" aca="1" ref="X40" ca="1">IFERROR(INDIRECT("Data"&amp;"!"&amp;ADDRESS(MATCH($V$1,Data!$A:$A,0)+3+$U40,MATCH(X$1,Data!$2:$2,0)+3,4)),"")</f>
        <v/>
      </c>
      <c r="Y40" s="5" t="str" cm="1">
        <f t="array" aca="1" ref="Y40" ca="1">IFERROR(INDIRECT("Data"&amp;"!"&amp;ADDRESS(MATCH($V$1,Data!$A:$A,0)+3+$U40,MATCH(Y$1,Data!$2:$2,0)+3,4)),"")</f>
        <v/>
      </c>
      <c r="Z40" s="5" t="str" cm="1">
        <f t="array" aca="1" ref="Z40" ca="1">IFERROR(INDIRECT("Data"&amp;"!"&amp;ADDRESS(MATCH($V$1,Data!$A:$A,0)+3+$U40,MATCH(Z$1,Data!$2:$2,0)+3,4)),"")</f>
        <v/>
      </c>
      <c r="AA40" s="5" t="str" cm="1">
        <f t="array" aca="1" ref="AA40" ca="1">IFERROR(INDIRECT("Data"&amp;"!"&amp;ADDRESS(MATCH($V$1,Data!$A:$A,0)+3+$U40,MATCH(AA$1,Data!$2:$2,0)+3,4)),"")</f>
        <v/>
      </c>
      <c r="AB40" s="5" t="str" cm="1">
        <f t="array" aca="1" ref="AB40" ca="1">IFERROR(INDIRECT("Data"&amp;"!"&amp;ADDRESS(MATCH($V$1,Data!$A:$A,0)+3+$U40,MATCH(AB$1,Data!$2:$2,0)+3,4)),"")</f>
        <v/>
      </c>
      <c r="AC40" s="5" t="str" cm="1">
        <f t="array" aca="1" ref="AC40" ca="1">IFERROR(INDIRECT("Data"&amp;"!"&amp;ADDRESS(MATCH($V$1,Data!$A:$A,0)+3+$U40,MATCH(AC$1,Data!$2:$2,0)+3,4)),"")</f>
        <v/>
      </c>
      <c r="AD40" s="5" t="str" cm="1">
        <f t="array" aca="1" ref="AD40" ca="1">IFERROR(INDIRECT("Data"&amp;"!"&amp;ADDRESS(MATCH($V$1,Data!$A:$A,0)+3+$U40,MATCH(AD$1,Data!$2:$2,0)+3,4)),"")</f>
        <v/>
      </c>
      <c r="AE40" s="5" t="str" cm="1">
        <f t="array" aca="1" ref="AE40" ca="1">IFERROR(INDIRECT("Data"&amp;"!"&amp;ADDRESS(MATCH($V$1,Data!$A:$A,0)+3+$U40,MATCH(AE$1,Data!$2:$2,0)+3,4)),"")</f>
        <v/>
      </c>
      <c r="AF40" s="5" t="str" cm="1">
        <f t="array" aca="1" ref="AF40" ca="1">IFERROR(INDIRECT("Data"&amp;"!"&amp;ADDRESS(MATCH($V$1,Data!$A:$A,0)+3+$U40,MATCH(AF$1,Data!$2:$2,0)+3,4)),"")</f>
        <v/>
      </c>
      <c r="AG40" s="5" t="str" cm="1">
        <f t="array" aca="1" ref="AG40" ca="1">IFERROR(INDIRECT("Data"&amp;"!"&amp;ADDRESS(MATCH($V$1,Data!$A:$A,0)+3+$U40,MATCH(AG$1,Data!$2:$2,0)+3,4)),"")</f>
        <v/>
      </c>
    </row>
    <row r="41" spans="2:33" x14ac:dyDescent="0.25">
      <c r="B41" s="22" t="str" cm="1">
        <f t="array" aca="1" ref="B41" ca="1">IFERROR(INDIRECT("List"&amp;"!"&amp;ADDRESS(MATCH($A41,List!$B:$B,0),MATCH($B$1,List!$1:$1,0),4)),"")</f>
        <v/>
      </c>
      <c r="C41" s="22" t="str" cm="1">
        <f t="array" aca="1" ref="C41" ca="1">IFERROR(INDIRECT("List"&amp;"!"&amp;ADDRESS(MATCH($A41,List!$B:$B,0),MATCH($C$1,List!$1:$1,0),4)),"")</f>
        <v/>
      </c>
      <c r="D41" s="22" t="str" cm="1">
        <f t="array" aca="1" ref="D41" ca="1">IFERROR(INDIRECT("List"&amp;"!"&amp;ADDRESS(MATCH($A41,List!$B:$B,0),MATCH($D$1,List!$1:$1,0),4)),"")</f>
        <v/>
      </c>
      <c r="E41" s="22" t="str" cm="1">
        <f t="array" aca="1" ref="E41" ca="1">IFERROR(INDIRECT("List"&amp;"!"&amp;ADDRESS(MATCH($A41,List!$B:$B,0),MATCH($E$1,List!$1:$1,0),4)),"")</f>
        <v/>
      </c>
      <c r="F41" s="27" t="str" cm="1">
        <f t="array" aca="1" ref="F41" ca="1">IFERROR(INDIRECT("List"&amp;"!"&amp;ADDRESS(MATCH($A41,List!$B:$B,0),MATCH($F$1,List!$1:$1,0),4)),"")</f>
        <v/>
      </c>
      <c r="G41" s="31" t="str" cm="1">
        <f t="array" aca="1" ref="G41" ca="1">IFERROR(INDIRECT("Data"&amp;"!"&amp;ADDRESS(MATCH($G$1,Data!$A$1:$A$20,0),MATCH($A41,Data!$2:$2,0)+3,4)),"")</f>
        <v/>
      </c>
      <c r="H41" s="31" t="str" cm="1">
        <f t="array" aca="1" ref="H41" ca="1">IFERROR(INDIRECT("Data"&amp;"!"&amp;ADDRESS(MATCH($G$1,Data!$A$1:$A$20,0),MATCH($A41,Data!$2:$2,0),4)),"")</f>
        <v/>
      </c>
      <c r="I41" s="31" t="str" cm="1">
        <f t="array" aca="1" ref="I41" ca="1">IFERROR(INDIRECT("Data"&amp;"!"&amp;ADDRESS(MATCH($G$1,Data!$A$1:$A$20,0),MATCH($A41,Data!$2:$2,0)+1,4)),"")</f>
        <v/>
      </c>
      <c r="J41" s="31" t="str" cm="1">
        <f t="array" aca="1" ref="J41" ca="1">IFERROR(INDIRECT("Data"&amp;"!"&amp;ADDRESS(MATCH($G$1,Data!$A$1:$A$20,0),MATCH($A41,Data!$2:$2,0)+2,4)),"")</f>
        <v/>
      </c>
      <c r="K41" s="34" t="str" cm="1">
        <f t="array" aca="1" ref="K41" ca="1">IFERROR(INDIRECT("Data"&amp;"!"&amp;ADDRESS(MATCH($K$1,Data!$A$1:$A$20,0),MATCH($A41,Data!$2:$2,0)+2,4)),"")</f>
        <v/>
      </c>
      <c r="U41" s="7">
        <v>38</v>
      </c>
      <c r="V41" s="7">
        <v>70</v>
      </c>
      <c r="W41" s="5">
        <v>0</v>
      </c>
      <c r="X41" s="7" t="str" cm="1">
        <f t="array" aca="1" ref="X41" ca="1">IFERROR(INDIRECT("Data"&amp;"!"&amp;ADDRESS(MATCH($V$1,Data!$A:$A,0)+3+$U41,MATCH(X$1,Data!$2:$2,0)+3,4)),"")</f>
        <v/>
      </c>
      <c r="Y41" s="5" t="str" cm="1">
        <f t="array" aca="1" ref="Y41" ca="1">IFERROR(INDIRECT("Data"&amp;"!"&amp;ADDRESS(MATCH($V$1,Data!$A:$A,0)+3+$U41,MATCH(Y$1,Data!$2:$2,0)+3,4)),"")</f>
        <v/>
      </c>
      <c r="Z41" s="5" t="str" cm="1">
        <f t="array" aca="1" ref="Z41" ca="1">IFERROR(INDIRECT("Data"&amp;"!"&amp;ADDRESS(MATCH($V$1,Data!$A:$A,0)+3+$U41,MATCH(Z$1,Data!$2:$2,0)+3,4)),"")</f>
        <v/>
      </c>
      <c r="AA41" s="5" t="str" cm="1">
        <f t="array" aca="1" ref="AA41" ca="1">IFERROR(INDIRECT("Data"&amp;"!"&amp;ADDRESS(MATCH($V$1,Data!$A:$A,0)+3+$U41,MATCH(AA$1,Data!$2:$2,0)+3,4)),"")</f>
        <v/>
      </c>
      <c r="AB41" s="5" t="str" cm="1">
        <f t="array" aca="1" ref="AB41" ca="1">IFERROR(INDIRECT("Data"&amp;"!"&amp;ADDRESS(MATCH($V$1,Data!$A:$A,0)+3+$U41,MATCH(AB$1,Data!$2:$2,0)+3,4)),"")</f>
        <v/>
      </c>
      <c r="AC41" s="5" t="str" cm="1">
        <f t="array" aca="1" ref="AC41" ca="1">IFERROR(INDIRECT("Data"&amp;"!"&amp;ADDRESS(MATCH($V$1,Data!$A:$A,0)+3+$U41,MATCH(AC$1,Data!$2:$2,0)+3,4)),"")</f>
        <v/>
      </c>
      <c r="AD41" s="5" t="str" cm="1">
        <f t="array" aca="1" ref="AD41" ca="1">IFERROR(INDIRECT("Data"&amp;"!"&amp;ADDRESS(MATCH($V$1,Data!$A:$A,0)+3+$U41,MATCH(AD$1,Data!$2:$2,0)+3,4)),"")</f>
        <v/>
      </c>
      <c r="AE41" s="5" t="str" cm="1">
        <f t="array" aca="1" ref="AE41" ca="1">IFERROR(INDIRECT("Data"&amp;"!"&amp;ADDRESS(MATCH($V$1,Data!$A:$A,0)+3+$U41,MATCH(AE$1,Data!$2:$2,0)+3,4)),"")</f>
        <v/>
      </c>
      <c r="AF41" s="5" t="str" cm="1">
        <f t="array" aca="1" ref="AF41" ca="1">IFERROR(INDIRECT("Data"&amp;"!"&amp;ADDRESS(MATCH($V$1,Data!$A:$A,0)+3+$U41,MATCH(AF$1,Data!$2:$2,0)+3,4)),"")</f>
        <v/>
      </c>
      <c r="AG41" s="5" t="str" cm="1">
        <f t="array" aca="1" ref="AG41" ca="1">IFERROR(INDIRECT("Data"&amp;"!"&amp;ADDRESS(MATCH($V$1,Data!$A:$A,0)+3+$U41,MATCH(AG$1,Data!$2:$2,0)+3,4)),"")</f>
        <v/>
      </c>
    </row>
    <row r="42" spans="2:33" x14ac:dyDescent="0.25">
      <c r="B42" s="22" t="str" cm="1">
        <f t="array" aca="1" ref="B42" ca="1">IFERROR(INDIRECT("List"&amp;"!"&amp;ADDRESS(MATCH($A42,List!$B:$B,0),MATCH($B$1,List!$1:$1,0),4)),"")</f>
        <v/>
      </c>
      <c r="C42" s="22" t="str" cm="1">
        <f t="array" aca="1" ref="C42" ca="1">IFERROR(INDIRECT("List"&amp;"!"&amp;ADDRESS(MATCH($A42,List!$B:$B,0),MATCH($C$1,List!$1:$1,0),4)),"")</f>
        <v/>
      </c>
      <c r="D42" s="22" t="str" cm="1">
        <f t="array" aca="1" ref="D42" ca="1">IFERROR(INDIRECT("List"&amp;"!"&amp;ADDRESS(MATCH($A42,List!$B:$B,0),MATCH($D$1,List!$1:$1,0),4)),"")</f>
        <v/>
      </c>
      <c r="E42" s="22" t="str" cm="1">
        <f t="array" aca="1" ref="E42" ca="1">IFERROR(INDIRECT("List"&amp;"!"&amp;ADDRESS(MATCH($A42,List!$B:$B,0),MATCH($E$1,List!$1:$1,0),4)),"")</f>
        <v/>
      </c>
      <c r="F42" s="27" t="str" cm="1">
        <f t="array" aca="1" ref="F42" ca="1">IFERROR(INDIRECT("List"&amp;"!"&amp;ADDRESS(MATCH($A42,List!$B:$B,0),MATCH($F$1,List!$1:$1,0),4)),"")</f>
        <v/>
      </c>
      <c r="G42" s="31" t="str" cm="1">
        <f t="array" aca="1" ref="G42" ca="1">IFERROR(INDIRECT("Data"&amp;"!"&amp;ADDRESS(MATCH($G$1,Data!$A$1:$A$20,0),MATCH($A42,Data!$2:$2,0)+3,4)),"")</f>
        <v/>
      </c>
      <c r="H42" s="31" t="str" cm="1">
        <f t="array" aca="1" ref="H42" ca="1">IFERROR(INDIRECT("Data"&amp;"!"&amp;ADDRESS(MATCH($G$1,Data!$A$1:$A$20,0),MATCH($A42,Data!$2:$2,0),4)),"")</f>
        <v/>
      </c>
      <c r="I42" s="31" t="str" cm="1">
        <f t="array" aca="1" ref="I42" ca="1">IFERROR(INDIRECT("Data"&amp;"!"&amp;ADDRESS(MATCH($G$1,Data!$A$1:$A$20,0),MATCH($A42,Data!$2:$2,0)+1,4)),"")</f>
        <v/>
      </c>
      <c r="J42" s="31" t="str" cm="1">
        <f t="array" aca="1" ref="J42" ca="1">IFERROR(INDIRECT("Data"&amp;"!"&amp;ADDRESS(MATCH($G$1,Data!$A$1:$A$20,0),MATCH($A42,Data!$2:$2,0)+2,4)),"")</f>
        <v/>
      </c>
      <c r="K42" s="34" t="str" cm="1">
        <f t="array" aca="1" ref="K42" ca="1">IFERROR(INDIRECT("Data"&amp;"!"&amp;ADDRESS(MATCH($K$1,Data!$A$1:$A$20,0),MATCH($A42,Data!$2:$2,0)+2,4)),"")</f>
        <v/>
      </c>
      <c r="U42" s="7">
        <v>39</v>
      </c>
      <c r="V42" s="7">
        <v>75</v>
      </c>
      <c r="W42" s="5">
        <v>0</v>
      </c>
      <c r="X42" s="7" t="str" cm="1">
        <f t="array" aca="1" ref="X42" ca="1">IFERROR(INDIRECT("Data"&amp;"!"&amp;ADDRESS(MATCH($V$1,Data!$A:$A,0)+3+$U42,MATCH(X$1,Data!$2:$2,0)+3,4)),"")</f>
        <v/>
      </c>
      <c r="Y42" s="5" t="str" cm="1">
        <f t="array" aca="1" ref="Y42" ca="1">IFERROR(INDIRECT("Data"&amp;"!"&amp;ADDRESS(MATCH($V$1,Data!$A:$A,0)+3+$U42,MATCH(Y$1,Data!$2:$2,0)+3,4)),"")</f>
        <v/>
      </c>
      <c r="Z42" s="5" t="str" cm="1">
        <f t="array" aca="1" ref="Z42" ca="1">IFERROR(INDIRECT("Data"&amp;"!"&amp;ADDRESS(MATCH($V$1,Data!$A:$A,0)+3+$U42,MATCH(Z$1,Data!$2:$2,0)+3,4)),"")</f>
        <v/>
      </c>
      <c r="AA42" s="5" t="str" cm="1">
        <f t="array" aca="1" ref="AA42" ca="1">IFERROR(INDIRECT("Data"&amp;"!"&amp;ADDRESS(MATCH($V$1,Data!$A:$A,0)+3+$U42,MATCH(AA$1,Data!$2:$2,0)+3,4)),"")</f>
        <v/>
      </c>
      <c r="AB42" s="5" t="str" cm="1">
        <f t="array" aca="1" ref="AB42" ca="1">IFERROR(INDIRECT("Data"&amp;"!"&amp;ADDRESS(MATCH($V$1,Data!$A:$A,0)+3+$U42,MATCH(AB$1,Data!$2:$2,0)+3,4)),"")</f>
        <v/>
      </c>
      <c r="AC42" s="5" t="str" cm="1">
        <f t="array" aca="1" ref="AC42" ca="1">IFERROR(INDIRECT("Data"&amp;"!"&amp;ADDRESS(MATCH($V$1,Data!$A:$A,0)+3+$U42,MATCH(AC$1,Data!$2:$2,0)+3,4)),"")</f>
        <v/>
      </c>
      <c r="AD42" s="5" t="str" cm="1">
        <f t="array" aca="1" ref="AD42" ca="1">IFERROR(INDIRECT("Data"&amp;"!"&amp;ADDRESS(MATCH($V$1,Data!$A:$A,0)+3+$U42,MATCH(AD$1,Data!$2:$2,0)+3,4)),"")</f>
        <v/>
      </c>
      <c r="AE42" s="5" t="str" cm="1">
        <f t="array" aca="1" ref="AE42" ca="1">IFERROR(INDIRECT("Data"&amp;"!"&amp;ADDRESS(MATCH($V$1,Data!$A:$A,0)+3+$U42,MATCH(AE$1,Data!$2:$2,0)+3,4)),"")</f>
        <v/>
      </c>
      <c r="AF42" s="5" t="str" cm="1">
        <f t="array" aca="1" ref="AF42" ca="1">IFERROR(INDIRECT("Data"&amp;"!"&amp;ADDRESS(MATCH($V$1,Data!$A:$A,0)+3+$U42,MATCH(AF$1,Data!$2:$2,0)+3,4)),"")</f>
        <v/>
      </c>
      <c r="AG42" s="5" t="str" cm="1">
        <f t="array" aca="1" ref="AG42" ca="1">IFERROR(INDIRECT("Data"&amp;"!"&amp;ADDRESS(MATCH($V$1,Data!$A:$A,0)+3+$U42,MATCH(AG$1,Data!$2:$2,0)+3,4)),"")</f>
        <v/>
      </c>
    </row>
    <row r="43" spans="2:33" x14ac:dyDescent="0.25">
      <c r="B43" s="22" t="str" cm="1">
        <f t="array" aca="1" ref="B43" ca="1">IFERROR(INDIRECT("List"&amp;"!"&amp;ADDRESS(MATCH($A43,List!$B:$B,0),MATCH($B$1,List!$1:$1,0),4)),"")</f>
        <v/>
      </c>
      <c r="C43" s="22" t="str" cm="1">
        <f t="array" aca="1" ref="C43" ca="1">IFERROR(INDIRECT("List"&amp;"!"&amp;ADDRESS(MATCH($A43,List!$B:$B,0),MATCH($C$1,List!$1:$1,0),4)),"")</f>
        <v/>
      </c>
      <c r="D43" s="22" t="str" cm="1">
        <f t="array" aca="1" ref="D43" ca="1">IFERROR(INDIRECT("List"&amp;"!"&amp;ADDRESS(MATCH($A43,List!$B:$B,0),MATCH($D$1,List!$1:$1,0),4)),"")</f>
        <v/>
      </c>
      <c r="E43" s="22" t="str" cm="1">
        <f t="array" aca="1" ref="E43" ca="1">IFERROR(INDIRECT("List"&amp;"!"&amp;ADDRESS(MATCH($A43,List!$B:$B,0),MATCH($E$1,List!$1:$1,0),4)),"")</f>
        <v/>
      </c>
      <c r="F43" s="27" t="str" cm="1">
        <f t="array" aca="1" ref="F43" ca="1">IFERROR(INDIRECT("List"&amp;"!"&amp;ADDRESS(MATCH($A43,List!$B:$B,0),MATCH($F$1,List!$1:$1,0),4)),"")</f>
        <v/>
      </c>
      <c r="G43" s="31" t="str" cm="1">
        <f t="array" aca="1" ref="G43" ca="1">IFERROR(INDIRECT("Data"&amp;"!"&amp;ADDRESS(MATCH($G$1,Data!$A$1:$A$20,0),MATCH($A43,Data!$2:$2,0)+3,4)),"")</f>
        <v/>
      </c>
      <c r="H43" s="31" t="str" cm="1">
        <f t="array" aca="1" ref="H43" ca="1">IFERROR(INDIRECT("Data"&amp;"!"&amp;ADDRESS(MATCH($G$1,Data!$A$1:$A$20,0),MATCH($A43,Data!$2:$2,0),4)),"")</f>
        <v/>
      </c>
      <c r="I43" s="31" t="str" cm="1">
        <f t="array" aca="1" ref="I43" ca="1">IFERROR(INDIRECT("Data"&amp;"!"&amp;ADDRESS(MATCH($G$1,Data!$A$1:$A$20,0),MATCH($A43,Data!$2:$2,0)+1,4)),"")</f>
        <v/>
      </c>
      <c r="J43" s="31" t="str" cm="1">
        <f t="array" aca="1" ref="J43" ca="1">IFERROR(INDIRECT("Data"&amp;"!"&amp;ADDRESS(MATCH($G$1,Data!$A$1:$A$20,0),MATCH($A43,Data!$2:$2,0)+2,4)),"")</f>
        <v/>
      </c>
      <c r="K43" s="34" t="str" cm="1">
        <f t="array" aca="1" ref="K43" ca="1">IFERROR(INDIRECT("Data"&amp;"!"&amp;ADDRESS(MATCH($K$1,Data!$A$1:$A$20,0),MATCH($A43,Data!$2:$2,0)+2,4)),"")</f>
        <v/>
      </c>
      <c r="U43" s="7">
        <v>40</v>
      </c>
      <c r="V43" s="7">
        <v>80</v>
      </c>
      <c r="W43" s="5">
        <v>0</v>
      </c>
      <c r="X43" s="7" t="str" cm="1">
        <f t="array" aca="1" ref="X43" ca="1">IFERROR(INDIRECT("Data"&amp;"!"&amp;ADDRESS(MATCH($V$1,Data!$A:$A,0)+3+$U43,MATCH(X$1,Data!$2:$2,0)+3,4)),"")</f>
        <v/>
      </c>
      <c r="Y43" s="5" t="str" cm="1">
        <f t="array" aca="1" ref="Y43" ca="1">IFERROR(INDIRECT("Data"&amp;"!"&amp;ADDRESS(MATCH($V$1,Data!$A:$A,0)+3+$U43,MATCH(Y$1,Data!$2:$2,0)+3,4)),"")</f>
        <v/>
      </c>
      <c r="Z43" s="5" t="str" cm="1">
        <f t="array" aca="1" ref="Z43" ca="1">IFERROR(INDIRECT("Data"&amp;"!"&amp;ADDRESS(MATCH($V$1,Data!$A:$A,0)+3+$U43,MATCH(Z$1,Data!$2:$2,0)+3,4)),"")</f>
        <v/>
      </c>
      <c r="AA43" s="5" t="str" cm="1">
        <f t="array" aca="1" ref="AA43" ca="1">IFERROR(INDIRECT("Data"&amp;"!"&amp;ADDRESS(MATCH($V$1,Data!$A:$A,0)+3+$U43,MATCH(AA$1,Data!$2:$2,0)+3,4)),"")</f>
        <v/>
      </c>
      <c r="AB43" s="5" t="str" cm="1">
        <f t="array" aca="1" ref="AB43" ca="1">IFERROR(INDIRECT("Data"&amp;"!"&amp;ADDRESS(MATCH($V$1,Data!$A:$A,0)+3+$U43,MATCH(AB$1,Data!$2:$2,0)+3,4)),"")</f>
        <v/>
      </c>
      <c r="AC43" s="5" t="str" cm="1">
        <f t="array" aca="1" ref="AC43" ca="1">IFERROR(INDIRECT("Data"&amp;"!"&amp;ADDRESS(MATCH($V$1,Data!$A:$A,0)+3+$U43,MATCH(AC$1,Data!$2:$2,0)+3,4)),"")</f>
        <v/>
      </c>
      <c r="AD43" s="5" t="str" cm="1">
        <f t="array" aca="1" ref="AD43" ca="1">IFERROR(INDIRECT("Data"&amp;"!"&amp;ADDRESS(MATCH($V$1,Data!$A:$A,0)+3+$U43,MATCH(AD$1,Data!$2:$2,0)+3,4)),"")</f>
        <v/>
      </c>
      <c r="AE43" s="5" t="str" cm="1">
        <f t="array" aca="1" ref="AE43" ca="1">IFERROR(INDIRECT("Data"&amp;"!"&amp;ADDRESS(MATCH($V$1,Data!$A:$A,0)+3+$U43,MATCH(AE$1,Data!$2:$2,0)+3,4)),"")</f>
        <v/>
      </c>
      <c r="AF43" s="5" t="str" cm="1">
        <f t="array" aca="1" ref="AF43" ca="1">IFERROR(INDIRECT("Data"&amp;"!"&amp;ADDRESS(MATCH($V$1,Data!$A:$A,0)+3+$U43,MATCH(AF$1,Data!$2:$2,0)+3,4)),"")</f>
        <v/>
      </c>
      <c r="AG43" s="5" t="str" cm="1">
        <f t="array" aca="1" ref="AG43" ca="1">IFERROR(INDIRECT("Data"&amp;"!"&amp;ADDRESS(MATCH($V$1,Data!$A:$A,0)+3+$U43,MATCH(AG$1,Data!$2:$2,0)+3,4)),"")</f>
        <v/>
      </c>
    </row>
    <row r="44" spans="2:33" x14ac:dyDescent="0.25">
      <c r="B44" s="22" t="str" cm="1">
        <f t="array" aca="1" ref="B44" ca="1">IFERROR(INDIRECT("List"&amp;"!"&amp;ADDRESS(MATCH($A44,List!$B:$B,0),MATCH($B$1,List!$1:$1,0),4)),"")</f>
        <v/>
      </c>
      <c r="C44" s="22" t="str" cm="1">
        <f t="array" aca="1" ref="C44" ca="1">IFERROR(INDIRECT("List"&amp;"!"&amp;ADDRESS(MATCH($A44,List!$B:$B,0),MATCH($C$1,List!$1:$1,0),4)),"")</f>
        <v/>
      </c>
      <c r="D44" s="22" t="str" cm="1">
        <f t="array" aca="1" ref="D44" ca="1">IFERROR(INDIRECT("List"&amp;"!"&amp;ADDRESS(MATCH($A44,List!$B:$B,0),MATCH($D$1,List!$1:$1,0),4)),"")</f>
        <v/>
      </c>
      <c r="E44" s="22" t="str" cm="1">
        <f t="array" aca="1" ref="E44" ca="1">IFERROR(INDIRECT("List"&amp;"!"&amp;ADDRESS(MATCH($A44,List!$B:$B,0),MATCH($E$1,List!$1:$1,0),4)),"")</f>
        <v/>
      </c>
      <c r="F44" s="27" t="str" cm="1">
        <f t="array" aca="1" ref="F44" ca="1">IFERROR(INDIRECT("List"&amp;"!"&amp;ADDRESS(MATCH($A44,List!$B:$B,0),MATCH($F$1,List!$1:$1,0),4)),"")</f>
        <v/>
      </c>
      <c r="G44" s="31" t="str" cm="1">
        <f t="array" aca="1" ref="G44" ca="1">IFERROR(INDIRECT("Data"&amp;"!"&amp;ADDRESS(MATCH($G$1,Data!$A$1:$A$20,0),MATCH($A44,Data!$2:$2,0)+3,4)),"")</f>
        <v/>
      </c>
      <c r="H44" s="31" t="str" cm="1">
        <f t="array" aca="1" ref="H44" ca="1">IFERROR(INDIRECT("Data"&amp;"!"&amp;ADDRESS(MATCH($G$1,Data!$A$1:$A$20,0),MATCH($A44,Data!$2:$2,0),4)),"")</f>
        <v/>
      </c>
      <c r="I44" s="31" t="str" cm="1">
        <f t="array" aca="1" ref="I44" ca="1">IFERROR(INDIRECT("Data"&amp;"!"&amp;ADDRESS(MATCH($G$1,Data!$A$1:$A$20,0),MATCH($A44,Data!$2:$2,0)+1,4)),"")</f>
        <v/>
      </c>
      <c r="J44" s="31" t="str" cm="1">
        <f t="array" aca="1" ref="J44" ca="1">IFERROR(INDIRECT("Data"&amp;"!"&amp;ADDRESS(MATCH($G$1,Data!$A$1:$A$20,0),MATCH($A44,Data!$2:$2,0)+2,4)),"")</f>
        <v/>
      </c>
      <c r="K44" s="34" t="str" cm="1">
        <f t="array" aca="1" ref="K44" ca="1">IFERROR(INDIRECT("Data"&amp;"!"&amp;ADDRESS(MATCH($K$1,Data!$A$1:$A$20,0),MATCH($A44,Data!$2:$2,0)+2,4)),"")</f>
        <v/>
      </c>
      <c r="U44" s="7">
        <v>41</v>
      </c>
      <c r="V44" s="7">
        <v>85</v>
      </c>
      <c r="W44" s="5">
        <v>0</v>
      </c>
      <c r="X44" s="7" t="str" cm="1">
        <f t="array" aca="1" ref="X44" ca="1">IFERROR(INDIRECT("Data"&amp;"!"&amp;ADDRESS(MATCH($V$1,Data!$A:$A,0)+3+$U44,MATCH(X$1,Data!$2:$2,0)+3,4)),"")</f>
        <v/>
      </c>
      <c r="Y44" s="5" t="str" cm="1">
        <f t="array" aca="1" ref="Y44" ca="1">IFERROR(INDIRECT("Data"&amp;"!"&amp;ADDRESS(MATCH($V$1,Data!$A:$A,0)+3+$U44,MATCH(Y$1,Data!$2:$2,0)+3,4)),"")</f>
        <v/>
      </c>
      <c r="Z44" s="5" t="str" cm="1">
        <f t="array" aca="1" ref="Z44" ca="1">IFERROR(INDIRECT("Data"&amp;"!"&amp;ADDRESS(MATCH($V$1,Data!$A:$A,0)+3+$U44,MATCH(Z$1,Data!$2:$2,0)+3,4)),"")</f>
        <v/>
      </c>
      <c r="AA44" s="5" t="str" cm="1">
        <f t="array" aca="1" ref="AA44" ca="1">IFERROR(INDIRECT("Data"&amp;"!"&amp;ADDRESS(MATCH($V$1,Data!$A:$A,0)+3+$U44,MATCH(AA$1,Data!$2:$2,0)+3,4)),"")</f>
        <v/>
      </c>
      <c r="AB44" s="5" t="str" cm="1">
        <f t="array" aca="1" ref="AB44" ca="1">IFERROR(INDIRECT("Data"&amp;"!"&amp;ADDRESS(MATCH($V$1,Data!$A:$A,0)+3+$U44,MATCH(AB$1,Data!$2:$2,0)+3,4)),"")</f>
        <v/>
      </c>
      <c r="AC44" s="5" t="str" cm="1">
        <f t="array" aca="1" ref="AC44" ca="1">IFERROR(INDIRECT("Data"&amp;"!"&amp;ADDRESS(MATCH($V$1,Data!$A:$A,0)+3+$U44,MATCH(AC$1,Data!$2:$2,0)+3,4)),"")</f>
        <v/>
      </c>
      <c r="AD44" s="5" t="str" cm="1">
        <f t="array" aca="1" ref="AD44" ca="1">IFERROR(INDIRECT("Data"&amp;"!"&amp;ADDRESS(MATCH($V$1,Data!$A:$A,0)+3+$U44,MATCH(AD$1,Data!$2:$2,0)+3,4)),"")</f>
        <v/>
      </c>
      <c r="AE44" s="5" t="str" cm="1">
        <f t="array" aca="1" ref="AE44" ca="1">IFERROR(INDIRECT("Data"&amp;"!"&amp;ADDRESS(MATCH($V$1,Data!$A:$A,0)+3+$U44,MATCH(AE$1,Data!$2:$2,0)+3,4)),"")</f>
        <v/>
      </c>
      <c r="AF44" s="5" t="str" cm="1">
        <f t="array" aca="1" ref="AF44" ca="1">IFERROR(INDIRECT("Data"&amp;"!"&amp;ADDRESS(MATCH($V$1,Data!$A:$A,0)+3+$U44,MATCH(AF$1,Data!$2:$2,0)+3,4)),"")</f>
        <v/>
      </c>
      <c r="AG44" s="5" t="str" cm="1">
        <f t="array" aca="1" ref="AG44" ca="1">IFERROR(INDIRECT("Data"&amp;"!"&amp;ADDRESS(MATCH($V$1,Data!$A:$A,0)+3+$U44,MATCH(AG$1,Data!$2:$2,0)+3,4)),"")</f>
        <v/>
      </c>
    </row>
    <row r="45" spans="2:33" x14ac:dyDescent="0.25">
      <c r="B45" s="22" t="str" cm="1">
        <f t="array" aca="1" ref="B45" ca="1">IFERROR(INDIRECT("List"&amp;"!"&amp;ADDRESS(MATCH($A45,List!$B:$B,0),MATCH($B$1,List!$1:$1,0),4)),"")</f>
        <v/>
      </c>
      <c r="C45" s="22" t="str" cm="1">
        <f t="array" aca="1" ref="C45" ca="1">IFERROR(INDIRECT("List"&amp;"!"&amp;ADDRESS(MATCH($A45,List!$B:$B,0),MATCH($C$1,List!$1:$1,0),4)),"")</f>
        <v/>
      </c>
      <c r="D45" s="22" t="str" cm="1">
        <f t="array" aca="1" ref="D45" ca="1">IFERROR(INDIRECT("List"&amp;"!"&amp;ADDRESS(MATCH($A45,List!$B:$B,0),MATCH($D$1,List!$1:$1,0),4)),"")</f>
        <v/>
      </c>
      <c r="E45" s="22" t="str" cm="1">
        <f t="array" aca="1" ref="E45" ca="1">IFERROR(INDIRECT("List"&amp;"!"&amp;ADDRESS(MATCH($A45,List!$B:$B,0),MATCH($E$1,List!$1:$1,0),4)),"")</f>
        <v/>
      </c>
      <c r="F45" s="27" t="str" cm="1">
        <f t="array" aca="1" ref="F45" ca="1">IFERROR(INDIRECT("List"&amp;"!"&amp;ADDRESS(MATCH($A45,List!$B:$B,0),MATCH($F$1,List!$1:$1,0),4)),"")</f>
        <v/>
      </c>
      <c r="G45" s="31" t="str" cm="1">
        <f t="array" aca="1" ref="G45" ca="1">IFERROR(INDIRECT("Data"&amp;"!"&amp;ADDRESS(MATCH($G$1,Data!$A$1:$A$20,0),MATCH($A45,Data!$2:$2,0)+3,4)),"")</f>
        <v/>
      </c>
      <c r="H45" s="31" t="str" cm="1">
        <f t="array" aca="1" ref="H45" ca="1">IFERROR(INDIRECT("Data"&amp;"!"&amp;ADDRESS(MATCH($G$1,Data!$A$1:$A$20,0),MATCH($A45,Data!$2:$2,0),4)),"")</f>
        <v/>
      </c>
      <c r="I45" s="31" t="str" cm="1">
        <f t="array" aca="1" ref="I45" ca="1">IFERROR(INDIRECT("Data"&amp;"!"&amp;ADDRESS(MATCH($G$1,Data!$A$1:$A$20,0),MATCH($A45,Data!$2:$2,0)+1,4)),"")</f>
        <v/>
      </c>
      <c r="J45" s="31" t="str" cm="1">
        <f t="array" aca="1" ref="J45" ca="1">IFERROR(INDIRECT("Data"&amp;"!"&amp;ADDRESS(MATCH($G$1,Data!$A$1:$A$20,0),MATCH($A45,Data!$2:$2,0)+2,4)),"")</f>
        <v/>
      </c>
      <c r="K45" s="34" t="str" cm="1">
        <f t="array" aca="1" ref="K45" ca="1">IFERROR(INDIRECT("Data"&amp;"!"&amp;ADDRESS(MATCH($K$1,Data!$A$1:$A$20,0),MATCH($A45,Data!$2:$2,0)+2,4)),"")</f>
        <v/>
      </c>
      <c r="U45" s="7">
        <v>42</v>
      </c>
      <c r="V45" s="7">
        <v>90</v>
      </c>
      <c r="W45" s="5">
        <v>0</v>
      </c>
      <c r="X45" s="7" t="str" cm="1">
        <f t="array" aca="1" ref="X45" ca="1">IFERROR(INDIRECT("Data"&amp;"!"&amp;ADDRESS(MATCH($V$1,Data!$A:$A,0)+3+$U45,MATCH(X$1,Data!$2:$2,0)+3,4)),"")</f>
        <v/>
      </c>
      <c r="Y45" s="5" t="str" cm="1">
        <f t="array" aca="1" ref="Y45" ca="1">IFERROR(INDIRECT("Data"&amp;"!"&amp;ADDRESS(MATCH($V$1,Data!$A:$A,0)+3+$U45,MATCH(Y$1,Data!$2:$2,0)+3,4)),"")</f>
        <v/>
      </c>
      <c r="Z45" s="5" t="str" cm="1">
        <f t="array" aca="1" ref="Z45" ca="1">IFERROR(INDIRECT("Data"&amp;"!"&amp;ADDRESS(MATCH($V$1,Data!$A:$A,0)+3+$U45,MATCH(Z$1,Data!$2:$2,0)+3,4)),"")</f>
        <v/>
      </c>
      <c r="AA45" s="5" t="str" cm="1">
        <f t="array" aca="1" ref="AA45" ca="1">IFERROR(INDIRECT("Data"&amp;"!"&amp;ADDRESS(MATCH($V$1,Data!$A:$A,0)+3+$U45,MATCH(AA$1,Data!$2:$2,0)+3,4)),"")</f>
        <v/>
      </c>
      <c r="AB45" s="5" t="str" cm="1">
        <f t="array" aca="1" ref="AB45" ca="1">IFERROR(INDIRECT("Data"&amp;"!"&amp;ADDRESS(MATCH($V$1,Data!$A:$A,0)+3+$U45,MATCH(AB$1,Data!$2:$2,0)+3,4)),"")</f>
        <v/>
      </c>
      <c r="AC45" s="5" t="str" cm="1">
        <f t="array" aca="1" ref="AC45" ca="1">IFERROR(INDIRECT("Data"&amp;"!"&amp;ADDRESS(MATCH($V$1,Data!$A:$A,0)+3+$U45,MATCH(AC$1,Data!$2:$2,0)+3,4)),"")</f>
        <v/>
      </c>
      <c r="AD45" s="5" t="str" cm="1">
        <f t="array" aca="1" ref="AD45" ca="1">IFERROR(INDIRECT("Data"&amp;"!"&amp;ADDRESS(MATCH($V$1,Data!$A:$A,0)+3+$U45,MATCH(AD$1,Data!$2:$2,0)+3,4)),"")</f>
        <v/>
      </c>
      <c r="AE45" s="5" t="str" cm="1">
        <f t="array" aca="1" ref="AE45" ca="1">IFERROR(INDIRECT("Data"&amp;"!"&amp;ADDRESS(MATCH($V$1,Data!$A:$A,0)+3+$U45,MATCH(AE$1,Data!$2:$2,0)+3,4)),"")</f>
        <v/>
      </c>
      <c r="AF45" s="5" t="str" cm="1">
        <f t="array" aca="1" ref="AF45" ca="1">IFERROR(INDIRECT("Data"&amp;"!"&amp;ADDRESS(MATCH($V$1,Data!$A:$A,0)+3+$U45,MATCH(AF$1,Data!$2:$2,0)+3,4)),"")</f>
        <v/>
      </c>
      <c r="AG45" s="5" t="str" cm="1">
        <f t="array" aca="1" ref="AG45" ca="1">IFERROR(INDIRECT("Data"&amp;"!"&amp;ADDRESS(MATCH($V$1,Data!$A:$A,0)+3+$U45,MATCH(AG$1,Data!$2:$2,0)+3,4)),"")</f>
        <v/>
      </c>
    </row>
    <row r="46" spans="2:33" x14ac:dyDescent="0.25">
      <c r="B46" s="22" t="str" cm="1">
        <f t="array" aca="1" ref="B46" ca="1">IFERROR(INDIRECT("List"&amp;"!"&amp;ADDRESS(MATCH($A46,List!$B:$B,0),MATCH($B$1,List!$1:$1,0),4)),"")</f>
        <v/>
      </c>
      <c r="C46" s="22" t="str" cm="1">
        <f t="array" aca="1" ref="C46" ca="1">IFERROR(INDIRECT("List"&amp;"!"&amp;ADDRESS(MATCH($A46,List!$B:$B,0),MATCH($C$1,List!$1:$1,0),4)),"")</f>
        <v/>
      </c>
      <c r="D46" s="22" t="str" cm="1">
        <f t="array" aca="1" ref="D46" ca="1">IFERROR(INDIRECT("List"&amp;"!"&amp;ADDRESS(MATCH($A46,List!$B:$B,0),MATCH($D$1,List!$1:$1,0),4)),"")</f>
        <v/>
      </c>
      <c r="E46" s="22" t="str" cm="1">
        <f t="array" aca="1" ref="E46" ca="1">IFERROR(INDIRECT("List"&amp;"!"&amp;ADDRESS(MATCH($A46,List!$B:$B,0),MATCH($E$1,List!$1:$1,0),4)),"")</f>
        <v/>
      </c>
      <c r="F46" s="27" t="str" cm="1">
        <f t="array" aca="1" ref="F46" ca="1">IFERROR(INDIRECT("List"&amp;"!"&amp;ADDRESS(MATCH($A46,List!$B:$B,0),MATCH($F$1,List!$1:$1,0),4)),"")</f>
        <v/>
      </c>
      <c r="G46" s="31" t="str" cm="1">
        <f t="array" aca="1" ref="G46" ca="1">IFERROR(INDIRECT("Data"&amp;"!"&amp;ADDRESS(MATCH($G$1,Data!$A$1:$A$20,0),MATCH($A46,Data!$2:$2,0)+3,4)),"")</f>
        <v/>
      </c>
      <c r="H46" s="31" t="str" cm="1">
        <f t="array" aca="1" ref="H46" ca="1">IFERROR(INDIRECT("Data"&amp;"!"&amp;ADDRESS(MATCH($G$1,Data!$A$1:$A$20,0),MATCH($A46,Data!$2:$2,0),4)),"")</f>
        <v/>
      </c>
      <c r="I46" s="31" t="str" cm="1">
        <f t="array" aca="1" ref="I46" ca="1">IFERROR(INDIRECT("Data"&amp;"!"&amp;ADDRESS(MATCH($G$1,Data!$A$1:$A$20,0),MATCH($A46,Data!$2:$2,0)+1,4)),"")</f>
        <v/>
      </c>
      <c r="J46" s="31" t="str" cm="1">
        <f t="array" aca="1" ref="J46" ca="1">IFERROR(INDIRECT("Data"&amp;"!"&amp;ADDRESS(MATCH($G$1,Data!$A$1:$A$20,0),MATCH($A46,Data!$2:$2,0)+2,4)),"")</f>
        <v/>
      </c>
      <c r="K46" s="34" t="str" cm="1">
        <f t="array" aca="1" ref="K46" ca="1">IFERROR(INDIRECT("Data"&amp;"!"&amp;ADDRESS(MATCH($K$1,Data!$A$1:$A$20,0),MATCH($A46,Data!$2:$2,0)+2,4)),"")</f>
        <v/>
      </c>
      <c r="U46" s="7">
        <v>43</v>
      </c>
      <c r="V46" s="7">
        <v>92</v>
      </c>
      <c r="W46" s="5">
        <v>0</v>
      </c>
      <c r="X46" s="7" t="str" cm="1">
        <f t="array" aca="1" ref="X46" ca="1">IFERROR(INDIRECT("Data"&amp;"!"&amp;ADDRESS(MATCH($V$1,Data!$A:$A,0)+3+$U46,MATCH(X$1,Data!$2:$2,0)+3,4)),"")</f>
        <v/>
      </c>
      <c r="Y46" s="5" t="str" cm="1">
        <f t="array" aca="1" ref="Y46" ca="1">IFERROR(INDIRECT("Data"&amp;"!"&amp;ADDRESS(MATCH($V$1,Data!$A:$A,0)+3+$U46,MATCH(Y$1,Data!$2:$2,0)+3,4)),"")</f>
        <v/>
      </c>
      <c r="Z46" s="5" t="str" cm="1">
        <f t="array" aca="1" ref="Z46" ca="1">IFERROR(INDIRECT("Data"&amp;"!"&amp;ADDRESS(MATCH($V$1,Data!$A:$A,0)+3+$U46,MATCH(Z$1,Data!$2:$2,0)+3,4)),"")</f>
        <v/>
      </c>
      <c r="AA46" s="5" t="str" cm="1">
        <f t="array" aca="1" ref="AA46" ca="1">IFERROR(INDIRECT("Data"&amp;"!"&amp;ADDRESS(MATCH($V$1,Data!$A:$A,0)+3+$U46,MATCH(AA$1,Data!$2:$2,0)+3,4)),"")</f>
        <v/>
      </c>
      <c r="AB46" s="5" t="str" cm="1">
        <f t="array" aca="1" ref="AB46" ca="1">IFERROR(INDIRECT("Data"&amp;"!"&amp;ADDRESS(MATCH($V$1,Data!$A:$A,0)+3+$U46,MATCH(AB$1,Data!$2:$2,0)+3,4)),"")</f>
        <v/>
      </c>
      <c r="AC46" s="5" t="str" cm="1">
        <f t="array" aca="1" ref="AC46" ca="1">IFERROR(INDIRECT("Data"&amp;"!"&amp;ADDRESS(MATCH($V$1,Data!$A:$A,0)+3+$U46,MATCH(AC$1,Data!$2:$2,0)+3,4)),"")</f>
        <v/>
      </c>
      <c r="AD46" s="5" t="str" cm="1">
        <f t="array" aca="1" ref="AD46" ca="1">IFERROR(INDIRECT("Data"&amp;"!"&amp;ADDRESS(MATCH($V$1,Data!$A:$A,0)+3+$U46,MATCH(AD$1,Data!$2:$2,0)+3,4)),"")</f>
        <v/>
      </c>
      <c r="AE46" s="5" t="str" cm="1">
        <f t="array" aca="1" ref="AE46" ca="1">IFERROR(INDIRECT("Data"&amp;"!"&amp;ADDRESS(MATCH($V$1,Data!$A:$A,0)+3+$U46,MATCH(AE$1,Data!$2:$2,0)+3,4)),"")</f>
        <v/>
      </c>
      <c r="AF46" s="5" t="str" cm="1">
        <f t="array" aca="1" ref="AF46" ca="1">IFERROR(INDIRECT("Data"&amp;"!"&amp;ADDRESS(MATCH($V$1,Data!$A:$A,0)+3+$U46,MATCH(AF$1,Data!$2:$2,0)+3,4)),"")</f>
        <v/>
      </c>
      <c r="AG46" s="5" t="str" cm="1">
        <f t="array" aca="1" ref="AG46" ca="1">IFERROR(INDIRECT("Data"&amp;"!"&amp;ADDRESS(MATCH($V$1,Data!$A:$A,0)+3+$U46,MATCH(AG$1,Data!$2:$2,0)+3,4)),"")</f>
        <v/>
      </c>
    </row>
    <row r="47" spans="2:33" x14ac:dyDescent="0.25">
      <c r="B47" s="22" t="str" cm="1">
        <f t="array" aca="1" ref="B47" ca="1">IFERROR(INDIRECT("List"&amp;"!"&amp;ADDRESS(MATCH($A47,List!$B:$B,0),MATCH($B$1,List!$1:$1,0),4)),"")</f>
        <v/>
      </c>
      <c r="C47" s="22" t="str" cm="1">
        <f t="array" aca="1" ref="C47" ca="1">IFERROR(INDIRECT("List"&amp;"!"&amp;ADDRESS(MATCH($A47,List!$B:$B,0),MATCH($C$1,List!$1:$1,0),4)),"")</f>
        <v/>
      </c>
      <c r="D47" s="22" t="str" cm="1">
        <f t="array" aca="1" ref="D47" ca="1">IFERROR(INDIRECT("List"&amp;"!"&amp;ADDRESS(MATCH($A47,List!$B:$B,0),MATCH($D$1,List!$1:$1,0),4)),"")</f>
        <v/>
      </c>
      <c r="E47" s="22" t="str" cm="1">
        <f t="array" aca="1" ref="E47" ca="1">IFERROR(INDIRECT("List"&amp;"!"&amp;ADDRESS(MATCH($A47,List!$B:$B,0),MATCH($E$1,List!$1:$1,0),4)),"")</f>
        <v/>
      </c>
      <c r="F47" s="27" t="str" cm="1">
        <f t="array" aca="1" ref="F47" ca="1">IFERROR(INDIRECT("List"&amp;"!"&amp;ADDRESS(MATCH($A47,List!$B:$B,0),MATCH($F$1,List!$1:$1,0),4)),"")</f>
        <v/>
      </c>
      <c r="G47" s="31" t="str" cm="1">
        <f t="array" aca="1" ref="G47" ca="1">IFERROR(INDIRECT("Data"&amp;"!"&amp;ADDRESS(MATCH($G$1,Data!$A$1:$A$20,0),MATCH($A47,Data!$2:$2,0)+3,4)),"")</f>
        <v/>
      </c>
      <c r="H47" s="31" t="str" cm="1">
        <f t="array" aca="1" ref="H47" ca="1">IFERROR(INDIRECT("Data"&amp;"!"&amp;ADDRESS(MATCH($G$1,Data!$A$1:$A$20,0),MATCH($A47,Data!$2:$2,0),4)),"")</f>
        <v/>
      </c>
      <c r="I47" s="31" t="str" cm="1">
        <f t="array" aca="1" ref="I47" ca="1">IFERROR(INDIRECT("Data"&amp;"!"&amp;ADDRESS(MATCH($G$1,Data!$A$1:$A$20,0),MATCH($A47,Data!$2:$2,0)+1,4)),"")</f>
        <v/>
      </c>
      <c r="J47" s="31" t="str" cm="1">
        <f t="array" aca="1" ref="J47" ca="1">IFERROR(INDIRECT("Data"&amp;"!"&amp;ADDRESS(MATCH($G$1,Data!$A$1:$A$20,0),MATCH($A47,Data!$2:$2,0)+2,4)),"")</f>
        <v/>
      </c>
      <c r="K47" s="34" t="str" cm="1">
        <f t="array" aca="1" ref="K47" ca="1">IFERROR(INDIRECT("Data"&amp;"!"&amp;ADDRESS(MATCH($K$1,Data!$A$1:$A$20,0),MATCH($A47,Data!$2:$2,0)+2,4)),"")</f>
        <v/>
      </c>
      <c r="U47" s="7">
        <v>44</v>
      </c>
      <c r="V47" s="7">
        <v>94</v>
      </c>
      <c r="W47" s="5">
        <v>0</v>
      </c>
      <c r="X47" s="7" t="str" cm="1">
        <f t="array" aca="1" ref="X47" ca="1">IFERROR(INDIRECT("Data"&amp;"!"&amp;ADDRESS(MATCH($V$1,Data!$A:$A,0)+3+$U47,MATCH(X$1,Data!$2:$2,0)+3,4)),"")</f>
        <v/>
      </c>
      <c r="Y47" s="5" t="str" cm="1">
        <f t="array" aca="1" ref="Y47" ca="1">IFERROR(INDIRECT("Data"&amp;"!"&amp;ADDRESS(MATCH($V$1,Data!$A:$A,0)+3+$U47,MATCH(Y$1,Data!$2:$2,0)+3,4)),"")</f>
        <v/>
      </c>
      <c r="Z47" s="5" t="str" cm="1">
        <f t="array" aca="1" ref="Z47" ca="1">IFERROR(INDIRECT("Data"&amp;"!"&amp;ADDRESS(MATCH($V$1,Data!$A:$A,0)+3+$U47,MATCH(Z$1,Data!$2:$2,0)+3,4)),"")</f>
        <v/>
      </c>
      <c r="AA47" s="5" t="str" cm="1">
        <f t="array" aca="1" ref="AA47" ca="1">IFERROR(INDIRECT("Data"&amp;"!"&amp;ADDRESS(MATCH($V$1,Data!$A:$A,0)+3+$U47,MATCH(AA$1,Data!$2:$2,0)+3,4)),"")</f>
        <v/>
      </c>
      <c r="AB47" s="5" t="str" cm="1">
        <f t="array" aca="1" ref="AB47" ca="1">IFERROR(INDIRECT("Data"&amp;"!"&amp;ADDRESS(MATCH($V$1,Data!$A:$A,0)+3+$U47,MATCH(AB$1,Data!$2:$2,0)+3,4)),"")</f>
        <v/>
      </c>
      <c r="AC47" s="5" t="str" cm="1">
        <f t="array" aca="1" ref="AC47" ca="1">IFERROR(INDIRECT("Data"&amp;"!"&amp;ADDRESS(MATCH($V$1,Data!$A:$A,0)+3+$U47,MATCH(AC$1,Data!$2:$2,0)+3,4)),"")</f>
        <v/>
      </c>
      <c r="AD47" s="5" t="str" cm="1">
        <f t="array" aca="1" ref="AD47" ca="1">IFERROR(INDIRECT("Data"&amp;"!"&amp;ADDRESS(MATCH($V$1,Data!$A:$A,0)+3+$U47,MATCH(AD$1,Data!$2:$2,0)+3,4)),"")</f>
        <v/>
      </c>
      <c r="AE47" s="5" t="str" cm="1">
        <f t="array" aca="1" ref="AE47" ca="1">IFERROR(INDIRECT("Data"&amp;"!"&amp;ADDRESS(MATCH($V$1,Data!$A:$A,0)+3+$U47,MATCH(AE$1,Data!$2:$2,0)+3,4)),"")</f>
        <v/>
      </c>
      <c r="AF47" s="5" t="str" cm="1">
        <f t="array" aca="1" ref="AF47" ca="1">IFERROR(INDIRECT("Data"&amp;"!"&amp;ADDRESS(MATCH($V$1,Data!$A:$A,0)+3+$U47,MATCH(AF$1,Data!$2:$2,0)+3,4)),"")</f>
        <v/>
      </c>
      <c r="AG47" s="5" t="str" cm="1">
        <f t="array" aca="1" ref="AG47" ca="1">IFERROR(INDIRECT("Data"&amp;"!"&amp;ADDRESS(MATCH($V$1,Data!$A:$A,0)+3+$U47,MATCH(AG$1,Data!$2:$2,0)+3,4)),"")</f>
        <v/>
      </c>
    </row>
    <row r="48" spans="2:33" x14ac:dyDescent="0.25">
      <c r="B48" s="22" t="str" cm="1">
        <f t="array" aca="1" ref="B48" ca="1">IFERROR(INDIRECT("List"&amp;"!"&amp;ADDRESS(MATCH($A48,List!$B:$B,0),MATCH($B$1,List!$1:$1,0),4)),"")</f>
        <v/>
      </c>
      <c r="C48" s="22" t="str" cm="1">
        <f t="array" aca="1" ref="C48" ca="1">IFERROR(INDIRECT("List"&amp;"!"&amp;ADDRESS(MATCH($A48,List!$B:$B,0),MATCH($C$1,List!$1:$1,0),4)),"")</f>
        <v/>
      </c>
      <c r="D48" s="22" t="str" cm="1">
        <f t="array" aca="1" ref="D48" ca="1">IFERROR(INDIRECT("List"&amp;"!"&amp;ADDRESS(MATCH($A48,List!$B:$B,0),MATCH($D$1,List!$1:$1,0),4)),"")</f>
        <v/>
      </c>
      <c r="E48" s="22" t="str" cm="1">
        <f t="array" aca="1" ref="E48" ca="1">IFERROR(INDIRECT("List"&amp;"!"&amp;ADDRESS(MATCH($A48,List!$B:$B,0),MATCH($E$1,List!$1:$1,0),4)),"")</f>
        <v/>
      </c>
      <c r="F48" s="27" t="str" cm="1">
        <f t="array" aca="1" ref="F48" ca="1">IFERROR(INDIRECT("List"&amp;"!"&amp;ADDRESS(MATCH($A48,List!$B:$B,0),MATCH($F$1,List!$1:$1,0),4)),"")</f>
        <v/>
      </c>
      <c r="G48" s="31" t="str" cm="1">
        <f t="array" aca="1" ref="G48" ca="1">IFERROR(INDIRECT("Data"&amp;"!"&amp;ADDRESS(MATCH($G$1,Data!$A$1:$A$20,0),MATCH($A48,Data!$2:$2,0)+3,4)),"")</f>
        <v/>
      </c>
      <c r="H48" s="31" t="str" cm="1">
        <f t="array" aca="1" ref="H48" ca="1">IFERROR(INDIRECT("Data"&amp;"!"&amp;ADDRESS(MATCH($G$1,Data!$A$1:$A$20,0),MATCH($A48,Data!$2:$2,0),4)),"")</f>
        <v/>
      </c>
      <c r="I48" s="31" t="str" cm="1">
        <f t="array" aca="1" ref="I48" ca="1">IFERROR(INDIRECT("Data"&amp;"!"&amp;ADDRESS(MATCH($G$1,Data!$A$1:$A$20,0),MATCH($A48,Data!$2:$2,0)+1,4)),"")</f>
        <v/>
      </c>
      <c r="J48" s="31" t="str" cm="1">
        <f t="array" aca="1" ref="J48" ca="1">IFERROR(INDIRECT("Data"&amp;"!"&amp;ADDRESS(MATCH($G$1,Data!$A$1:$A$20,0),MATCH($A48,Data!$2:$2,0)+2,4)),"")</f>
        <v/>
      </c>
      <c r="K48" s="34" t="str" cm="1">
        <f t="array" aca="1" ref="K48" ca="1">IFERROR(INDIRECT("Data"&amp;"!"&amp;ADDRESS(MATCH($K$1,Data!$A$1:$A$20,0),MATCH($A48,Data!$2:$2,0)+2,4)),"")</f>
        <v/>
      </c>
      <c r="U48" s="7">
        <v>45</v>
      </c>
      <c r="V48" s="7">
        <v>95</v>
      </c>
      <c r="W48" s="5">
        <v>0</v>
      </c>
      <c r="X48" s="7" t="str" cm="1">
        <f t="array" aca="1" ref="X48" ca="1">IFERROR(INDIRECT("Data"&amp;"!"&amp;ADDRESS(MATCH($V$1,Data!$A:$A,0)+3+$U48,MATCH(X$1,Data!$2:$2,0)+3,4)),"")</f>
        <v/>
      </c>
      <c r="Y48" s="5" t="str" cm="1">
        <f t="array" aca="1" ref="Y48" ca="1">IFERROR(INDIRECT("Data"&amp;"!"&amp;ADDRESS(MATCH($V$1,Data!$A:$A,0)+3+$U48,MATCH(Y$1,Data!$2:$2,0)+3,4)),"")</f>
        <v/>
      </c>
      <c r="Z48" s="5" t="str" cm="1">
        <f t="array" aca="1" ref="Z48" ca="1">IFERROR(INDIRECT("Data"&amp;"!"&amp;ADDRESS(MATCH($V$1,Data!$A:$A,0)+3+$U48,MATCH(Z$1,Data!$2:$2,0)+3,4)),"")</f>
        <v/>
      </c>
      <c r="AA48" s="5" t="str" cm="1">
        <f t="array" aca="1" ref="AA48" ca="1">IFERROR(INDIRECT("Data"&amp;"!"&amp;ADDRESS(MATCH($V$1,Data!$A:$A,0)+3+$U48,MATCH(AA$1,Data!$2:$2,0)+3,4)),"")</f>
        <v/>
      </c>
      <c r="AB48" s="5" t="str" cm="1">
        <f t="array" aca="1" ref="AB48" ca="1">IFERROR(INDIRECT("Data"&amp;"!"&amp;ADDRESS(MATCH($V$1,Data!$A:$A,0)+3+$U48,MATCH(AB$1,Data!$2:$2,0)+3,4)),"")</f>
        <v/>
      </c>
      <c r="AC48" s="5" t="str" cm="1">
        <f t="array" aca="1" ref="AC48" ca="1">IFERROR(INDIRECT("Data"&amp;"!"&amp;ADDRESS(MATCH($V$1,Data!$A:$A,0)+3+$U48,MATCH(AC$1,Data!$2:$2,0)+3,4)),"")</f>
        <v/>
      </c>
      <c r="AD48" s="5" t="str" cm="1">
        <f t="array" aca="1" ref="AD48" ca="1">IFERROR(INDIRECT("Data"&amp;"!"&amp;ADDRESS(MATCH($V$1,Data!$A:$A,0)+3+$U48,MATCH(AD$1,Data!$2:$2,0)+3,4)),"")</f>
        <v/>
      </c>
      <c r="AE48" s="5" t="str" cm="1">
        <f t="array" aca="1" ref="AE48" ca="1">IFERROR(INDIRECT("Data"&amp;"!"&amp;ADDRESS(MATCH($V$1,Data!$A:$A,0)+3+$U48,MATCH(AE$1,Data!$2:$2,0)+3,4)),"")</f>
        <v/>
      </c>
      <c r="AF48" s="5" t="str" cm="1">
        <f t="array" aca="1" ref="AF48" ca="1">IFERROR(INDIRECT("Data"&amp;"!"&amp;ADDRESS(MATCH($V$1,Data!$A:$A,0)+3+$U48,MATCH(AF$1,Data!$2:$2,0)+3,4)),"")</f>
        <v/>
      </c>
      <c r="AG48" s="5" t="str" cm="1">
        <f t="array" aca="1" ref="AG48" ca="1">IFERROR(INDIRECT("Data"&amp;"!"&amp;ADDRESS(MATCH($V$1,Data!$A:$A,0)+3+$U48,MATCH(AG$1,Data!$2:$2,0)+3,4)),"")</f>
        <v/>
      </c>
    </row>
    <row r="49" spans="2:33" x14ac:dyDescent="0.25">
      <c r="B49" s="22" t="str" cm="1">
        <f t="array" aca="1" ref="B49" ca="1">IFERROR(INDIRECT("List"&amp;"!"&amp;ADDRESS(MATCH($A49,List!$B:$B,0),MATCH($B$1,List!$1:$1,0),4)),"")</f>
        <v/>
      </c>
      <c r="C49" s="22" t="str" cm="1">
        <f t="array" aca="1" ref="C49" ca="1">IFERROR(INDIRECT("List"&amp;"!"&amp;ADDRESS(MATCH($A49,List!$B:$B,0),MATCH($C$1,List!$1:$1,0),4)),"")</f>
        <v/>
      </c>
      <c r="D49" s="22" t="str" cm="1">
        <f t="array" aca="1" ref="D49" ca="1">IFERROR(INDIRECT("List"&amp;"!"&amp;ADDRESS(MATCH($A49,List!$B:$B,0),MATCH($D$1,List!$1:$1,0),4)),"")</f>
        <v/>
      </c>
      <c r="E49" s="22" t="str" cm="1">
        <f t="array" aca="1" ref="E49" ca="1">IFERROR(INDIRECT("List"&amp;"!"&amp;ADDRESS(MATCH($A49,List!$B:$B,0),MATCH($E$1,List!$1:$1,0),4)),"")</f>
        <v/>
      </c>
      <c r="F49" s="27" t="str" cm="1">
        <f t="array" aca="1" ref="F49" ca="1">IFERROR(INDIRECT("List"&amp;"!"&amp;ADDRESS(MATCH($A49,List!$B:$B,0),MATCH($F$1,List!$1:$1,0),4)),"")</f>
        <v/>
      </c>
      <c r="G49" s="31" t="str" cm="1">
        <f t="array" aca="1" ref="G49" ca="1">IFERROR(INDIRECT("Data"&amp;"!"&amp;ADDRESS(MATCH($G$1,Data!$A$1:$A$20,0),MATCH($A49,Data!$2:$2,0)+3,4)),"")</f>
        <v/>
      </c>
      <c r="H49" s="31" t="str" cm="1">
        <f t="array" aca="1" ref="H49" ca="1">IFERROR(INDIRECT("Data"&amp;"!"&amp;ADDRESS(MATCH($G$1,Data!$A$1:$A$20,0),MATCH($A49,Data!$2:$2,0),4)),"")</f>
        <v/>
      </c>
      <c r="I49" s="31" t="str" cm="1">
        <f t="array" aca="1" ref="I49" ca="1">IFERROR(INDIRECT("Data"&amp;"!"&amp;ADDRESS(MATCH($G$1,Data!$A$1:$A$20,0),MATCH($A49,Data!$2:$2,0)+1,4)),"")</f>
        <v/>
      </c>
      <c r="J49" s="31" t="str" cm="1">
        <f t="array" aca="1" ref="J49" ca="1">IFERROR(INDIRECT("Data"&amp;"!"&amp;ADDRESS(MATCH($G$1,Data!$A$1:$A$20,0),MATCH($A49,Data!$2:$2,0)+2,4)),"")</f>
        <v/>
      </c>
      <c r="K49" s="34" t="str" cm="1">
        <f t="array" aca="1" ref="K49" ca="1">IFERROR(INDIRECT("Data"&amp;"!"&amp;ADDRESS(MATCH($K$1,Data!$A$1:$A$20,0),MATCH($A49,Data!$2:$2,0)+2,4)),"")</f>
        <v/>
      </c>
      <c r="U49" s="7">
        <v>46</v>
      </c>
      <c r="V49" s="7">
        <v>96</v>
      </c>
      <c r="W49" s="5">
        <v>0</v>
      </c>
      <c r="X49" s="7" t="str" cm="1">
        <f t="array" aca="1" ref="X49" ca="1">IFERROR(INDIRECT("Data"&amp;"!"&amp;ADDRESS(MATCH($V$1,Data!$A:$A,0)+3+$U49,MATCH(X$1,Data!$2:$2,0)+3,4)),"")</f>
        <v/>
      </c>
      <c r="Y49" s="5" t="str" cm="1">
        <f t="array" aca="1" ref="Y49" ca="1">IFERROR(INDIRECT("Data"&amp;"!"&amp;ADDRESS(MATCH($V$1,Data!$A:$A,0)+3+$U49,MATCH(Y$1,Data!$2:$2,0)+3,4)),"")</f>
        <v/>
      </c>
      <c r="Z49" s="5" t="str" cm="1">
        <f t="array" aca="1" ref="Z49" ca="1">IFERROR(INDIRECT("Data"&amp;"!"&amp;ADDRESS(MATCH($V$1,Data!$A:$A,0)+3+$U49,MATCH(Z$1,Data!$2:$2,0)+3,4)),"")</f>
        <v/>
      </c>
      <c r="AA49" s="5" t="str" cm="1">
        <f t="array" aca="1" ref="AA49" ca="1">IFERROR(INDIRECT("Data"&amp;"!"&amp;ADDRESS(MATCH($V$1,Data!$A:$A,0)+3+$U49,MATCH(AA$1,Data!$2:$2,0)+3,4)),"")</f>
        <v/>
      </c>
      <c r="AB49" s="5" t="str" cm="1">
        <f t="array" aca="1" ref="AB49" ca="1">IFERROR(INDIRECT("Data"&amp;"!"&amp;ADDRESS(MATCH($V$1,Data!$A:$A,0)+3+$U49,MATCH(AB$1,Data!$2:$2,0)+3,4)),"")</f>
        <v/>
      </c>
      <c r="AC49" s="5" t="str" cm="1">
        <f t="array" aca="1" ref="AC49" ca="1">IFERROR(INDIRECT("Data"&amp;"!"&amp;ADDRESS(MATCH($V$1,Data!$A:$A,0)+3+$U49,MATCH(AC$1,Data!$2:$2,0)+3,4)),"")</f>
        <v/>
      </c>
      <c r="AD49" s="5" t="str" cm="1">
        <f t="array" aca="1" ref="AD49" ca="1">IFERROR(INDIRECT("Data"&amp;"!"&amp;ADDRESS(MATCH($V$1,Data!$A:$A,0)+3+$U49,MATCH(AD$1,Data!$2:$2,0)+3,4)),"")</f>
        <v/>
      </c>
      <c r="AE49" s="5" t="str" cm="1">
        <f t="array" aca="1" ref="AE49" ca="1">IFERROR(INDIRECT("Data"&amp;"!"&amp;ADDRESS(MATCH($V$1,Data!$A:$A,0)+3+$U49,MATCH(AE$1,Data!$2:$2,0)+3,4)),"")</f>
        <v/>
      </c>
      <c r="AF49" s="5" t="str" cm="1">
        <f t="array" aca="1" ref="AF49" ca="1">IFERROR(INDIRECT("Data"&amp;"!"&amp;ADDRESS(MATCH($V$1,Data!$A:$A,0)+3+$U49,MATCH(AF$1,Data!$2:$2,0)+3,4)),"")</f>
        <v/>
      </c>
      <c r="AG49" s="5" t="str" cm="1">
        <f t="array" aca="1" ref="AG49" ca="1">IFERROR(INDIRECT("Data"&amp;"!"&amp;ADDRESS(MATCH($V$1,Data!$A:$A,0)+3+$U49,MATCH(AG$1,Data!$2:$2,0)+3,4)),"")</f>
        <v/>
      </c>
    </row>
    <row r="50" spans="2:33" x14ac:dyDescent="0.25">
      <c r="B50" s="22" t="str" cm="1">
        <f t="array" aca="1" ref="B50" ca="1">IFERROR(INDIRECT("List"&amp;"!"&amp;ADDRESS(MATCH($A50,List!$B:$B,0),MATCH($B$1,List!$1:$1,0),4)),"")</f>
        <v/>
      </c>
      <c r="C50" s="22" t="str" cm="1">
        <f t="array" aca="1" ref="C50" ca="1">IFERROR(INDIRECT("List"&amp;"!"&amp;ADDRESS(MATCH($A50,List!$B:$B,0),MATCH($C$1,List!$1:$1,0),4)),"")</f>
        <v/>
      </c>
      <c r="D50" s="22" t="str" cm="1">
        <f t="array" aca="1" ref="D50" ca="1">IFERROR(INDIRECT("List"&amp;"!"&amp;ADDRESS(MATCH($A50,List!$B:$B,0),MATCH($D$1,List!$1:$1,0),4)),"")</f>
        <v/>
      </c>
      <c r="E50" s="22" t="str" cm="1">
        <f t="array" aca="1" ref="E50" ca="1">IFERROR(INDIRECT("List"&amp;"!"&amp;ADDRESS(MATCH($A50,List!$B:$B,0),MATCH($E$1,List!$1:$1,0),4)),"")</f>
        <v/>
      </c>
      <c r="F50" s="27" t="str" cm="1">
        <f t="array" aca="1" ref="F50" ca="1">IFERROR(INDIRECT("List"&amp;"!"&amp;ADDRESS(MATCH($A50,List!$B:$B,0),MATCH($F$1,List!$1:$1,0),4)),"")</f>
        <v/>
      </c>
      <c r="G50" s="31" t="str" cm="1">
        <f t="array" aca="1" ref="G50" ca="1">IFERROR(INDIRECT("Data"&amp;"!"&amp;ADDRESS(MATCH($G$1,Data!$A$1:$A$20,0),MATCH($A50,Data!$2:$2,0)+3,4)),"")</f>
        <v/>
      </c>
      <c r="H50" s="31" t="str" cm="1">
        <f t="array" aca="1" ref="H50" ca="1">IFERROR(INDIRECT("Data"&amp;"!"&amp;ADDRESS(MATCH($G$1,Data!$A$1:$A$20,0),MATCH($A50,Data!$2:$2,0),4)),"")</f>
        <v/>
      </c>
      <c r="I50" s="31" t="str" cm="1">
        <f t="array" aca="1" ref="I50" ca="1">IFERROR(INDIRECT("Data"&amp;"!"&amp;ADDRESS(MATCH($G$1,Data!$A$1:$A$20,0),MATCH($A50,Data!$2:$2,0)+1,4)),"")</f>
        <v/>
      </c>
      <c r="J50" s="31" t="str" cm="1">
        <f t="array" aca="1" ref="J50" ca="1">IFERROR(INDIRECT("Data"&amp;"!"&amp;ADDRESS(MATCH($G$1,Data!$A$1:$A$20,0),MATCH($A50,Data!$2:$2,0)+2,4)),"")</f>
        <v/>
      </c>
      <c r="K50" s="34" t="str" cm="1">
        <f t="array" aca="1" ref="K50" ca="1">IFERROR(INDIRECT("Data"&amp;"!"&amp;ADDRESS(MATCH($K$1,Data!$A$1:$A$20,0),MATCH($A50,Data!$2:$2,0)+2,4)),"")</f>
        <v/>
      </c>
      <c r="U50" s="7">
        <v>47</v>
      </c>
      <c r="V50" s="7">
        <v>97</v>
      </c>
      <c r="W50" s="5">
        <v>0</v>
      </c>
      <c r="X50" s="7" t="str" cm="1">
        <f t="array" aca="1" ref="X50" ca="1">IFERROR(INDIRECT("Data"&amp;"!"&amp;ADDRESS(MATCH($V$1,Data!$A:$A,0)+3+$U50,MATCH(X$1,Data!$2:$2,0)+3,4)),"")</f>
        <v/>
      </c>
      <c r="Y50" s="5" t="str" cm="1">
        <f t="array" aca="1" ref="Y50" ca="1">IFERROR(INDIRECT("Data"&amp;"!"&amp;ADDRESS(MATCH($V$1,Data!$A:$A,0)+3+$U50,MATCH(Y$1,Data!$2:$2,0)+3,4)),"")</f>
        <v/>
      </c>
      <c r="Z50" s="5" t="str" cm="1">
        <f t="array" aca="1" ref="Z50" ca="1">IFERROR(INDIRECT("Data"&amp;"!"&amp;ADDRESS(MATCH($V$1,Data!$A:$A,0)+3+$U50,MATCH(Z$1,Data!$2:$2,0)+3,4)),"")</f>
        <v/>
      </c>
      <c r="AA50" s="5" t="str" cm="1">
        <f t="array" aca="1" ref="AA50" ca="1">IFERROR(INDIRECT("Data"&amp;"!"&amp;ADDRESS(MATCH($V$1,Data!$A:$A,0)+3+$U50,MATCH(AA$1,Data!$2:$2,0)+3,4)),"")</f>
        <v/>
      </c>
      <c r="AB50" s="5" t="str" cm="1">
        <f t="array" aca="1" ref="AB50" ca="1">IFERROR(INDIRECT("Data"&amp;"!"&amp;ADDRESS(MATCH($V$1,Data!$A:$A,0)+3+$U50,MATCH(AB$1,Data!$2:$2,0)+3,4)),"")</f>
        <v/>
      </c>
      <c r="AC50" s="5" t="str" cm="1">
        <f t="array" aca="1" ref="AC50" ca="1">IFERROR(INDIRECT("Data"&amp;"!"&amp;ADDRESS(MATCH($V$1,Data!$A:$A,0)+3+$U50,MATCH(AC$1,Data!$2:$2,0)+3,4)),"")</f>
        <v/>
      </c>
      <c r="AD50" s="5" t="str" cm="1">
        <f t="array" aca="1" ref="AD50" ca="1">IFERROR(INDIRECT("Data"&amp;"!"&amp;ADDRESS(MATCH($V$1,Data!$A:$A,0)+3+$U50,MATCH(AD$1,Data!$2:$2,0)+3,4)),"")</f>
        <v/>
      </c>
      <c r="AE50" s="5" t="str" cm="1">
        <f t="array" aca="1" ref="AE50" ca="1">IFERROR(INDIRECT("Data"&amp;"!"&amp;ADDRESS(MATCH($V$1,Data!$A:$A,0)+3+$U50,MATCH(AE$1,Data!$2:$2,0)+3,4)),"")</f>
        <v/>
      </c>
      <c r="AF50" s="5" t="str" cm="1">
        <f t="array" aca="1" ref="AF50" ca="1">IFERROR(INDIRECT("Data"&amp;"!"&amp;ADDRESS(MATCH($V$1,Data!$A:$A,0)+3+$U50,MATCH(AF$1,Data!$2:$2,0)+3,4)),"")</f>
        <v/>
      </c>
      <c r="AG50" s="5" t="str" cm="1">
        <f t="array" aca="1" ref="AG50" ca="1">IFERROR(INDIRECT("Data"&amp;"!"&amp;ADDRESS(MATCH($V$1,Data!$A:$A,0)+3+$U50,MATCH(AG$1,Data!$2:$2,0)+3,4)),"")</f>
        <v/>
      </c>
    </row>
    <row r="51" spans="2:33" x14ac:dyDescent="0.25">
      <c r="B51" s="22" t="str" cm="1">
        <f t="array" aca="1" ref="B51" ca="1">IFERROR(INDIRECT("List"&amp;"!"&amp;ADDRESS(MATCH($A51,List!$B:$B,0),MATCH($B$1,List!$1:$1,0),4)),"")</f>
        <v/>
      </c>
      <c r="C51" s="22" t="str" cm="1">
        <f t="array" aca="1" ref="C51" ca="1">IFERROR(INDIRECT("List"&amp;"!"&amp;ADDRESS(MATCH($A51,List!$B:$B,0),MATCH($C$1,List!$1:$1,0),4)),"")</f>
        <v/>
      </c>
      <c r="D51" s="22" t="str" cm="1">
        <f t="array" aca="1" ref="D51" ca="1">IFERROR(INDIRECT("List"&amp;"!"&amp;ADDRESS(MATCH($A51,List!$B:$B,0),MATCH($D$1,List!$1:$1,0),4)),"")</f>
        <v/>
      </c>
      <c r="E51" s="22" t="str" cm="1">
        <f t="array" aca="1" ref="E51" ca="1">IFERROR(INDIRECT("List"&amp;"!"&amp;ADDRESS(MATCH($A51,List!$B:$B,0),MATCH($E$1,List!$1:$1,0),4)),"")</f>
        <v/>
      </c>
      <c r="F51" s="27" t="str" cm="1">
        <f t="array" aca="1" ref="F51" ca="1">IFERROR(INDIRECT("List"&amp;"!"&amp;ADDRESS(MATCH($A51,List!$B:$B,0),MATCH($F$1,List!$1:$1,0),4)),"")</f>
        <v/>
      </c>
      <c r="G51" s="31" t="str" cm="1">
        <f t="array" aca="1" ref="G51" ca="1">IFERROR(INDIRECT("Data"&amp;"!"&amp;ADDRESS(MATCH($G$1,Data!$A$1:$A$20,0),MATCH($A51,Data!$2:$2,0)+3,4)),"")</f>
        <v/>
      </c>
      <c r="H51" s="31" t="str" cm="1">
        <f t="array" aca="1" ref="H51" ca="1">IFERROR(INDIRECT("Data"&amp;"!"&amp;ADDRESS(MATCH($G$1,Data!$A$1:$A$20,0),MATCH($A51,Data!$2:$2,0),4)),"")</f>
        <v/>
      </c>
      <c r="I51" s="31" t="str" cm="1">
        <f t="array" aca="1" ref="I51" ca="1">IFERROR(INDIRECT("Data"&amp;"!"&amp;ADDRESS(MATCH($G$1,Data!$A$1:$A$20,0),MATCH($A51,Data!$2:$2,0)+1,4)),"")</f>
        <v/>
      </c>
      <c r="J51" s="31" t="str" cm="1">
        <f t="array" aca="1" ref="J51" ca="1">IFERROR(INDIRECT("Data"&amp;"!"&amp;ADDRESS(MATCH($G$1,Data!$A$1:$A$20,0),MATCH($A51,Data!$2:$2,0)+2,4)),"")</f>
        <v/>
      </c>
      <c r="K51" s="34" t="str" cm="1">
        <f t="array" aca="1" ref="K51" ca="1">IFERROR(INDIRECT("Data"&amp;"!"&amp;ADDRESS(MATCH($K$1,Data!$A$1:$A$20,0),MATCH($A51,Data!$2:$2,0)+2,4)),"")</f>
        <v/>
      </c>
      <c r="U51" s="7">
        <v>48</v>
      </c>
      <c r="V51" s="7">
        <v>98</v>
      </c>
      <c r="W51" s="5">
        <v>0</v>
      </c>
      <c r="X51" s="7" t="str" cm="1">
        <f t="array" aca="1" ref="X51" ca="1">IFERROR(INDIRECT("Data"&amp;"!"&amp;ADDRESS(MATCH($V$1,Data!$A:$A,0)+3+$U51,MATCH(X$1,Data!$2:$2,0)+3,4)),"")</f>
        <v/>
      </c>
      <c r="Y51" s="5" t="str" cm="1">
        <f t="array" aca="1" ref="Y51" ca="1">IFERROR(INDIRECT("Data"&amp;"!"&amp;ADDRESS(MATCH($V$1,Data!$A:$A,0)+3+$U51,MATCH(Y$1,Data!$2:$2,0)+3,4)),"")</f>
        <v/>
      </c>
      <c r="Z51" s="5" t="str" cm="1">
        <f t="array" aca="1" ref="Z51" ca="1">IFERROR(INDIRECT("Data"&amp;"!"&amp;ADDRESS(MATCH($V$1,Data!$A:$A,0)+3+$U51,MATCH(Z$1,Data!$2:$2,0)+3,4)),"")</f>
        <v/>
      </c>
      <c r="AA51" s="5" t="str" cm="1">
        <f t="array" aca="1" ref="AA51" ca="1">IFERROR(INDIRECT("Data"&amp;"!"&amp;ADDRESS(MATCH($V$1,Data!$A:$A,0)+3+$U51,MATCH(AA$1,Data!$2:$2,0)+3,4)),"")</f>
        <v/>
      </c>
      <c r="AB51" s="5" t="str" cm="1">
        <f t="array" aca="1" ref="AB51" ca="1">IFERROR(INDIRECT("Data"&amp;"!"&amp;ADDRESS(MATCH($V$1,Data!$A:$A,0)+3+$U51,MATCH(AB$1,Data!$2:$2,0)+3,4)),"")</f>
        <v/>
      </c>
      <c r="AC51" s="5" t="str" cm="1">
        <f t="array" aca="1" ref="AC51" ca="1">IFERROR(INDIRECT("Data"&amp;"!"&amp;ADDRESS(MATCH($V$1,Data!$A:$A,0)+3+$U51,MATCH(AC$1,Data!$2:$2,0)+3,4)),"")</f>
        <v/>
      </c>
      <c r="AD51" s="5" t="str" cm="1">
        <f t="array" aca="1" ref="AD51" ca="1">IFERROR(INDIRECT("Data"&amp;"!"&amp;ADDRESS(MATCH($V$1,Data!$A:$A,0)+3+$U51,MATCH(AD$1,Data!$2:$2,0)+3,4)),"")</f>
        <v/>
      </c>
      <c r="AE51" s="5" t="str" cm="1">
        <f t="array" aca="1" ref="AE51" ca="1">IFERROR(INDIRECT("Data"&amp;"!"&amp;ADDRESS(MATCH($V$1,Data!$A:$A,0)+3+$U51,MATCH(AE$1,Data!$2:$2,0)+3,4)),"")</f>
        <v/>
      </c>
      <c r="AF51" s="5" t="str" cm="1">
        <f t="array" aca="1" ref="AF51" ca="1">IFERROR(INDIRECT("Data"&amp;"!"&amp;ADDRESS(MATCH($V$1,Data!$A:$A,0)+3+$U51,MATCH(AF$1,Data!$2:$2,0)+3,4)),"")</f>
        <v/>
      </c>
      <c r="AG51" s="5" t="str" cm="1">
        <f t="array" aca="1" ref="AG51" ca="1">IFERROR(INDIRECT("Data"&amp;"!"&amp;ADDRESS(MATCH($V$1,Data!$A:$A,0)+3+$U51,MATCH(AG$1,Data!$2:$2,0)+3,4)),"")</f>
        <v/>
      </c>
    </row>
    <row r="52" spans="2:33" x14ac:dyDescent="0.25">
      <c r="B52" s="22" t="str" cm="1">
        <f t="array" aca="1" ref="B52" ca="1">IFERROR(INDIRECT("List"&amp;"!"&amp;ADDRESS(MATCH($A52,List!$B:$B,0),MATCH($B$1,List!$1:$1,0),4)),"")</f>
        <v/>
      </c>
      <c r="C52" s="22" t="str" cm="1">
        <f t="array" aca="1" ref="C52" ca="1">IFERROR(INDIRECT("List"&amp;"!"&amp;ADDRESS(MATCH($A52,List!$B:$B,0),MATCH($C$1,List!$1:$1,0),4)),"")</f>
        <v/>
      </c>
      <c r="D52" s="22" t="str" cm="1">
        <f t="array" aca="1" ref="D52" ca="1">IFERROR(INDIRECT("List"&amp;"!"&amp;ADDRESS(MATCH($A52,List!$B:$B,0),MATCH($D$1,List!$1:$1,0),4)),"")</f>
        <v/>
      </c>
      <c r="E52" s="22" t="str" cm="1">
        <f t="array" aca="1" ref="E52" ca="1">IFERROR(INDIRECT("List"&amp;"!"&amp;ADDRESS(MATCH($A52,List!$B:$B,0),MATCH($E$1,List!$1:$1,0),4)),"")</f>
        <v/>
      </c>
      <c r="F52" s="27" t="str" cm="1">
        <f t="array" aca="1" ref="F52" ca="1">IFERROR(INDIRECT("List"&amp;"!"&amp;ADDRESS(MATCH($A52,List!$B:$B,0),MATCH($F$1,List!$1:$1,0),4)),"")</f>
        <v/>
      </c>
      <c r="G52" s="31" t="str" cm="1">
        <f t="array" aca="1" ref="G52" ca="1">IFERROR(INDIRECT("Data"&amp;"!"&amp;ADDRESS(MATCH($G$1,Data!$A$1:$A$20,0),MATCH($A52,Data!$2:$2,0)+3,4)),"")</f>
        <v/>
      </c>
      <c r="H52" s="31" t="str" cm="1">
        <f t="array" aca="1" ref="H52" ca="1">IFERROR(INDIRECT("Data"&amp;"!"&amp;ADDRESS(MATCH($G$1,Data!$A$1:$A$20,0),MATCH($A52,Data!$2:$2,0),4)),"")</f>
        <v/>
      </c>
      <c r="I52" s="31" t="str" cm="1">
        <f t="array" aca="1" ref="I52" ca="1">IFERROR(INDIRECT("Data"&amp;"!"&amp;ADDRESS(MATCH($G$1,Data!$A$1:$A$20,0),MATCH($A52,Data!$2:$2,0)+1,4)),"")</f>
        <v/>
      </c>
      <c r="J52" s="31" t="str" cm="1">
        <f t="array" aca="1" ref="J52" ca="1">IFERROR(INDIRECT("Data"&amp;"!"&amp;ADDRESS(MATCH($G$1,Data!$A$1:$A$20,0),MATCH($A52,Data!$2:$2,0)+2,4)),"")</f>
        <v/>
      </c>
      <c r="K52" s="34" t="str" cm="1">
        <f t="array" aca="1" ref="K52" ca="1">IFERROR(INDIRECT("Data"&amp;"!"&amp;ADDRESS(MATCH($K$1,Data!$A$1:$A$20,0),MATCH($A52,Data!$2:$2,0)+2,4)),"")</f>
        <v/>
      </c>
      <c r="U52" s="7">
        <v>49</v>
      </c>
      <c r="V52" s="7">
        <v>0</v>
      </c>
      <c r="W52" s="5">
        <v>-97</v>
      </c>
      <c r="X52" s="7" t="str" cm="1">
        <f t="array" aca="1" ref="X52" ca="1">IFERROR(INDIRECT("Data"&amp;"!"&amp;ADDRESS(MATCH($V$1,Data!$A:$A,0)+3+$U52,MATCH(X$1,Data!$2:$2,0)+3,4)),"")</f>
        <v/>
      </c>
      <c r="Y52" s="5" t="str" cm="1">
        <f t="array" aca="1" ref="Y52" ca="1">IFERROR(INDIRECT("Data"&amp;"!"&amp;ADDRESS(MATCH($V$1,Data!$A:$A,0)+3+$U52,MATCH(Y$1,Data!$2:$2,0)+3,4)),"")</f>
        <v/>
      </c>
      <c r="Z52" s="5" t="str" cm="1">
        <f t="array" aca="1" ref="Z52" ca="1">IFERROR(INDIRECT("Data"&amp;"!"&amp;ADDRESS(MATCH($V$1,Data!$A:$A,0)+3+$U52,MATCH(Z$1,Data!$2:$2,0)+3,4)),"")</f>
        <v/>
      </c>
      <c r="AA52" s="5" t="str" cm="1">
        <f t="array" aca="1" ref="AA52" ca="1">IFERROR(INDIRECT("Data"&amp;"!"&amp;ADDRESS(MATCH($V$1,Data!$A:$A,0)+3+$U52,MATCH(AA$1,Data!$2:$2,0)+3,4)),"")</f>
        <v/>
      </c>
      <c r="AB52" s="5" t="str" cm="1">
        <f t="array" aca="1" ref="AB52" ca="1">IFERROR(INDIRECT("Data"&amp;"!"&amp;ADDRESS(MATCH($V$1,Data!$A:$A,0)+3+$U52,MATCH(AB$1,Data!$2:$2,0)+3,4)),"")</f>
        <v/>
      </c>
      <c r="AC52" s="5" t="str" cm="1">
        <f t="array" aca="1" ref="AC52" ca="1">IFERROR(INDIRECT("Data"&amp;"!"&amp;ADDRESS(MATCH($V$1,Data!$A:$A,0)+3+$U52,MATCH(AC$1,Data!$2:$2,0)+3,4)),"")</f>
        <v/>
      </c>
      <c r="AD52" s="5" t="str" cm="1">
        <f t="array" aca="1" ref="AD52" ca="1">IFERROR(INDIRECT("Data"&amp;"!"&amp;ADDRESS(MATCH($V$1,Data!$A:$A,0)+3+$U52,MATCH(AD$1,Data!$2:$2,0)+3,4)),"")</f>
        <v/>
      </c>
      <c r="AE52" s="5" t="str" cm="1">
        <f t="array" aca="1" ref="AE52" ca="1">IFERROR(INDIRECT("Data"&amp;"!"&amp;ADDRESS(MATCH($V$1,Data!$A:$A,0)+3+$U52,MATCH(AE$1,Data!$2:$2,0)+3,4)),"")</f>
        <v/>
      </c>
      <c r="AF52" s="5" t="str" cm="1">
        <f t="array" aca="1" ref="AF52" ca="1">IFERROR(INDIRECT("Data"&amp;"!"&amp;ADDRESS(MATCH($V$1,Data!$A:$A,0)+3+$U52,MATCH(AF$1,Data!$2:$2,0)+3,4)),"")</f>
        <v/>
      </c>
      <c r="AG52" s="5" t="str" cm="1">
        <f t="array" aca="1" ref="AG52" ca="1">IFERROR(INDIRECT("Data"&amp;"!"&amp;ADDRESS(MATCH($V$1,Data!$A:$A,0)+3+$U52,MATCH(AG$1,Data!$2:$2,0)+3,4)),"")</f>
        <v/>
      </c>
    </row>
    <row r="53" spans="2:33" x14ac:dyDescent="0.25">
      <c r="B53" s="22" t="str" cm="1">
        <f t="array" aca="1" ref="B53" ca="1">IFERROR(INDIRECT("List"&amp;"!"&amp;ADDRESS(MATCH($A53,List!$B:$B,0),MATCH($B$1,List!$1:$1,0),4)),"")</f>
        <v/>
      </c>
      <c r="C53" s="22" t="str" cm="1">
        <f t="array" aca="1" ref="C53" ca="1">IFERROR(INDIRECT("List"&amp;"!"&amp;ADDRESS(MATCH($A53,List!$B:$B,0),MATCH($C$1,List!$1:$1,0),4)),"")</f>
        <v/>
      </c>
      <c r="D53" s="22" t="str" cm="1">
        <f t="array" aca="1" ref="D53" ca="1">IFERROR(INDIRECT("List"&amp;"!"&amp;ADDRESS(MATCH($A53,List!$B:$B,0),MATCH($D$1,List!$1:$1,0),4)),"")</f>
        <v/>
      </c>
      <c r="E53" s="22" t="str" cm="1">
        <f t="array" aca="1" ref="E53" ca="1">IFERROR(INDIRECT("List"&amp;"!"&amp;ADDRESS(MATCH($A53,List!$B:$B,0),MATCH($E$1,List!$1:$1,0),4)),"")</f>
        <v/>
      </c>
      <c r="F53" s="27" t="str" cm="1">
        <f t="array" aca="1" ref="F53" ca="1">IFERROR(INDIRECT("List"&amp;"!"&amp;ADDRESS(MATCH($A53,List!$B:$B,0),MATCH($F$1,List!$1:$1,0),4)),"")</f>
        <v/>
      </c>
      <c r="G53" s="31" t="str" cm="1">
        <f t="array" aca="1" ref="G53" ca="1">IFERROR(INDIRECT("Data"&amp;"!"&amp;ADDRESS(MATCH($G$1,Data!$A$1:$A$20,0),MATCH($A53,Data!$2:$2,0)+3,4)),"")</f>
        <v/>
      </c>
      <c r="H53" s="31" t="str" cm="1">
        <f t="array" aca="1" ref="H53" ca="1">IFERROR(INDIRECT("Data"&amp;"!"&amp;ADDRESS(MATCH($G$1,Data!$A$1:$A$20,0),MATCH($A53,Data!$2:$2,0),4)),"")</f>
        <v/>
      </c>
      <c r="I53" s="31" t="str" cm="1">
        <f t="array" aca="1" ref="I53" ca="1">IFERROR(INDIRECT("Data"&amp;"!"&amp;ADDRESS(MATCH($G$1,Data!$A$1:$A$20,0),MATCH($A53,Data!$2:$2,0)+1,4)),"")</f>
        <v/>
      </c>
      <c r="J53" s="31" t="str" cm="1">
        <f t="array" aca="1" ref="J53" ca="1">IFERROR(INDIRECT("Data"&amp;"!"&amp;ADDRESS(MATCH($G$1,Data!$A$1:$A$20,0),MATCH($A53,Data!$2:$2,0)+2,4)),"")</f>
        <v/>
      </c>
      <c r="K53" s="34" t="str" cm="1">
        <f t="array" aca="1" ref="K53" ca="1">IFERROR(INDIRECT("Data"&amp;"!"&amp;ADDRESS(MATCH($K$1,Data!$A$1:$A$20,0),MATCH($A53,Data!$2:$2,0)+2,4)),"")</f>
        <v/>
      </c>
      <c r="U53" s="7">
        <v>50</v>
      </c>
      <c r="V53" s="7">
        <v>0</v>
      </c>
      <c r="W53" s="5">
        <v>-96</v>
      </c>
      <c r="X53" s="7" t="str" cm="1">
        <f t="array" aca="1" ref="X53" ca="1">IFERROR(INDIRECT("Data"&amp;"!"&amp;ADDRESS(MATCH($V$1,Data!$A:$A,0)+3+$U53,MATCH(X$1,Data!$2:$2,0)+3,4)),"")</f>
        <v/>
      </c>
      <c r="Y53" s="5" t="str" cm="1">
        <f t="array" aca="1" ref="Y53" ca="1">IFERROR(INDIRECT("Data"&amp;"!"&amp;ADDRESS(MATCH($V$1,Data!$A:$A,0)+3+$U53,MATCH(Y$1,Data!$2:$2,0)+3,4)),"")</f>
        <v/>
      </c>
      <c r="Z53" s="5" t="str" cm="1">
        <f t="array" aca="1" ref="Z53" ca="1">IFERROR(INDIRECT("Data"&amp;"!"&amp;ADDRESS(MATCH($V$1,Data!$A:$A,0)+3+$U53,MATCH(Z$1,Data!$2:$2,0)+3,4)),"")</f>
        <v/>
      </c>
      <c r="AA53" s="5" t="str" cm="1">
        <f t="array" aca="1" ref="AA53" ca="1">IFERROR(INDIRECT("Data"&amp;"!"&amp;ADDRESS(MATCH($V$1,Data!$A:$A,0)+3+$U53,MATCH(AA$1,Data!$2:$2,0)+3,4)),"")</f>
        <v/>
      </c>
      <c r="AB53" s="5" t="str" cm="1">
        <f t="array" aca="1" ref="AB53" ca="1">IFERROR(INDIRECT("Data"&amp;"!"&amp;ADDRESS(MATCH($V$1,Data!$A:$A,0)+3+$U53,MATCH(AB$1,Data!$2:$2,0)+3,4)),"")</f>
        <v/>
      </c>
      <c r="AC53" s="5" t="str" cm="1">
        <f t="array" aca="1" ref="AC53" ca="1">IFERROR(INDIRECT("Data"&amp;"!"&amp;ADDRESS(MATCH($V$1,Data!$A:$A,0)+3+$U53,MATCH(AC$1,Data!$2:$2,0)+3,4)),"")</f>
        <v/>
      </c>
      <c r="AD53" s="5" t="str" cm="1">
        <f t="array" aca="1" ref="AD53" ca="1">IFERROR(INDIRECT("Data"&amp;"!"&amp;ADDRESS(MATCH($V$1,Data!$A:$A,0)+3+$U53,MATCH(AD$1,Data!$2:$2,0)+3,4)),"")</f>
        <v/>
      </c>
      <c r="AE53" s="5" t="str" cm="1">
        <f t="array" aca="1" ref="AE53" ca="1">IFERROR(INDIRECT("Data"&amp;"!"&amp;ADDRESS(MATCH($V$1,Data!$A:$A,0)+3+$U53,MATCH(AE$1,Data!$2:$2,0)+3,4)),"")</f>
        <v/>
      </c>
      <c r="AF53" s="5" t="str" cm="1">
        <f t="array" aca="1" ref="AF53" ca="1">IFERROR(INDIRECT("Data"&amp;"!"&amp;ADDRESS(MATCH($V$1,Data!$A:$A,0)+3+$U53,MATCH(AF$1,Data!$2:$2,0)+3,4)),"")</f>
        <v/>
      </c>
      <c r="AG53" s="5" t="str" cm="1">
        <f t="array" aca="1" ref="AG53" ca="1">IFERROR(INDIRECT("Data"&amp;"!"&amp;ADDRESS(MATCH($V$1,Data!$A:$A,0)+3+$U53,MATCH(AG$1,Data!$2:$2,0)+3,4)),"")</f>
        <v/>
      </c>
    </row>
    <row r="54" spans="2:33" x14ac:dyDescent="0.25">
      <c r="B54" s="22" t="str" cm="1">
        <f t="array" aca="1" ref="B54" ca="1">IFERROR(INDIRECT("List"&amp;"!"&amp;ADDRESS(MATCH($A54,List!$B:$B,0),MATCH($B$1,List!$1:$1,0),4)),"")</f>
        <v/>
      </c>
      <c r="C54" s="22" t="str" cm="1">
        <f t="array" aca="1" ref="C54" ca="1">IFERROR(INDIRECT("List"&amp;"!"&amp;ADDRESS(MATCH($A54,List!$B:$B,0),MATCH($C$1,List!$1:$1,0),4)),"")</f>
        <v/>
      </c>
      <c r="D54" s="22" t="str" cm="1">
        <f t="array" aca="1" ref="D54" ca="1">IFERROR(INDIRECT("List"&amp;"!"&amp;ADDRESS(MATCH($A54,List!$B:$B,0),MATCH($D$1,List!$1:$1,0),4)),"")</f>
        <v/>
      </c>
      <c r="E54" s="22" t="str" cm="1">
        <f t="array" aca="1" ref="E54" ca="1">IFERROR(INDIRECT("List"&amp;"!"&amp;ADDRESS(MATCH($A54,List!$B:$B,0),MATCH($E$1,List!$1:$1,0),4)),"")</f>
        <v/>
      </c>
      <c r="F54" s="27" t="str" cm="1">
        <f t="array" aca="1" ref="F54" ca="1">IFERROR(INDIRECT("List"&amp;"!"&amp;ADDRESS(MATCH($A54,List!$B:$B,0),MATCH($F$1,List!$1:$1,0),4)),"")</f>
        <v/>
      </c>
      <c r="G54" s="31" t="str" cm="1">
        <f t="array" aca="1" ref="G54" ca="1">IFERROR(INDIRECT("Data"&amp;"!"&amp;ADDRESS(MATCH($G$1,Data!$A$1:$A$20,0),MATCH($A54,Data!$2:$2,0)+3,4)),"")</f>
        <v/>
      </c>
      <c r="H54" s="31" t="str" cm="1">
        <f t="array" aca="1" ref="H54" ca="1">IFERROR(INDIRECT("Data"&amp;"!"&amp;ADDRESS(MATCH($G$1,Data!$A$1:$A$20,0),MATCH($A54,Data!$2:$2,0),4)),"")</f>
        <v/>
      </c>
      <c r="I54" s="31" t="str" cm="1">
        <f t="array" aca="1" ref="I54" ca="1">IFERROR(INDIRECT("Data"&amp;"!"&amp;ADDRESS(MATCH($G$1,Data!$A$1:$A$20,0),MATCH($A54,Data!$2:$2,0)+1,4)),"")</f>
        <v/>
      </c>
      <c r="J54" s="31" t="str" cm="1">
        <f t="array" aca="1" ref="J54" ca="1">IFERROR(INDIRECT("Data"&amp;"!"&amp;ADDRESS(MATCH($G$1,Data!$A$1:$A$20,0),MATCH($A54,Data!$2:$2,0)+2,4)),"")</f>
        <v/>
      </c>
      <c r="K54" s="34" t="str" cm="1">
        <f t="array" aca="1" ref="K54" ca="1">IFERROR(INDIRECT("Data"&amp;"!"&amp;ADDRESS(MATCH($K$1,Data!$A$1:$A$20,0),MATCH($A54,Data!$2:$2,0)+2,4)),"")</f>
        <v/>
      </c>
      <c r="U54" s="7">
        <v>51</v>
      </c>
      <c r="V54" s="7">
        <v>0</v>
      </c>
      <c r="W54" s="5">
        <v>-95</v>
      </c>
      <c r="X54" s="7" t="str" cm="1">
        <f t="array" aca="1" ref="X54" ca="1">IFERROR(INDIRECT("Data"&amp;"!"&amp;ADDRESS(MATCH($V$1,Data!$A:$A,0)+3+$U54,MATCH(X$1,Data!$2:$2,0)+3,4)),"")</f>
        <v/>
      </c>
      <c r="Y54" s="5" t="str" cm="1">
        <f t="array" aca="1" ref="Y54" ca="1">IFERROR(INDIRECT("Data"&amp;"!"&amp;ADDRESS(MATCH($V$1,Data!$A:$A,0)+3+$U54,MATCH(Y$1,Data!$2:$2,0)+3,4)),"")</f>
        <v/>
      </c>
      <c r="Z54" s="5" t="str" cm="1">
        <f t="array" aca="1" ref="Z54" ca="1">IFERROR(INDIRECT("Data"&amp;"!"&amp;ADDRESS(MATCH($V$1,Data!$A:$A,0)+3+$U54,MATCH(Z$1,Data!$2:$2,0)+3,4)),"")</f>
        <v/>
      </c>
      <c r="AA54" s="5" t="str" cm="1">
        <f t="array" aca="1" ref="AA54" ca="1">IFERROR(INDIRECT("Data"&amp;"!"&amp;ADDRESS(MATCH($V$1,Data!$A:$A,0)+3+$U54,MATCH(AA$1,Data!$2:$2,0)+3,4)),"")</f>
        <v/>
      </c>
      <c r="AB54" s="5" t="str" cm="1">
        <f t="array" aca="1" ref="AB54" ca="1">IFERROR(INDIRECT("Data"&amp;"!"&amp;ADDRESS(MATCH($V$1,Data!$A:$A,0)+3+$U54,MATCH(AB$1,Data!$2:$2,0)+3,4)),"")</f>
        <v/>
      </c>
      <c r="AC54" s="5" t="str" cm="1">
        <f t="array" aca="1" ref="AC54" ca="1">IFERROR(INDIRECT("Data"&amp;"!"&amp;ADDRESS(MATCH($V$1,Data!$A:$A,0)+3+$U54,MATCH(AC$1,Data!$2:$2,0)+3,4)),"")</f>
        <v/>
      </c>
      <c r="AD54" s="5" t="str" cm="1">
        <f t="array" aca="1" ref="AD54" ca="1">IFERROR(INDIRECT("Data"&amp;"!"&amp;ADDRESS(MATCH($V$1,Data!$A:$A,0)+3+$U54,MATCH(AD$1,Data!$2:$2,0)+3,4)),"")</f>
        <v/>
      </c>
      <c r="AE54" s="5" t="str" cm="1">
        <f t="array" aca="1" ref="AE54" ca="1">IFERROR(INDIRECT("Data"&amp;"!"&amp;ADDRESS(MATCH($V$1,Data!$A:$A,0)+3+$U54,MATCH(AE$1,Data!$2:$2,0)+3,4)),"")</f>
        <v/>
      </c>
      <c r="AF54" s="5" t="str" cm="1">
        <f t="array" aca="1" ref="AF54" ca="1">IFERROR(INDIRECT("Data"&amp;"!"&amp;ADDRESS(MATCH($V$1,Data!$A:$A,0)+3+$U54,MATCH(AF$1,Data!$2:$2,0)+3,4)),"")</f>
        <v/>
      </c>
      <c r="AG54" s="5" t="str" cm="1">
        <f t="array" aca="1" ref="AG54" ca="1">IFERROR(INDIRECT("Data"&amp;"!"&amp;ADDRESS(MATCH($V$1,Data!$A:$A,0)+3+$U54,MATCH(AG$1,Data!$2:$2,0)+3,4)),"")</f>
        <v/>
      </c>
    </row>
    <row r="55" spans="2:33" x14ac:dyDescent="0.25">
      <c r="B55" s="22" t="str" cm="1">
        <f t="array" aca="1" ref="B55" ca="1">IFERROR(INDIRECT("List"&amp;"!"&amp;ADDRESS(MATCH($A55,List!$B:$B,0),MATCH($B$1,List!$1:$1,0),4)),"")</f>
        <v/>
      </c>
      <c r="C55" s="22" t="str" cm="1">
        <f t="array" aca="1" ref="C55" ca="1">IFERROR(INDIRECT("List"&amp;"!"&amp;ADDRESS(MATCH($A55,List!$B:$B,0),MATCH($C$1,List!$1:$1,0),4)),"")</f>
        <v/>
      </c>
      <c r="D55" s="22" t="str" cm="1">
        <f t="array" aca="1" ref="D55" ca="1">IFERROR(INDIRECT("List"&amp;"!"&amp;ADDRESS(MATCH($A55,List!$B:$B,0),MATCH($D$1,List!$1:$1,0),4)),"")</f>
        <v/>
      </c>
      <c r="E55" s="22" t="str" cm="1">
        <f t="array" aca="1" ref="E55" ca="1">IFERROR(INDIRECT("List"&amp;"!"&amp;ADDRESS(MATCH($A55,List!$B:$B,0),MATCH($E$1,List!$1:$1,0),4)),"")</f>
        <v/>
      </c>
      <c r="F55" s="27" t="str" cm="1">
        <f t="array" aca="1" ref="F55" ca="1">IFERROR(INDIRECT("List"&amp;"!"&amp;ADDRESS(MATCH($A55,List!$B:$B,0),MATCH($F$1,List!$1:$1,0),4)),"")</f>
        <v/>
      </c>
      <c r="G55" s="31" t="str" cm="1">
        <f t="array" aca="1" ref="G55" ca="1">IFERROR(INDIRECT("Data"&amp;"!"&amp;ADDRESS(MATCH($G$1,Data!$A$1:$A$20,0),MATCH($A55,Data!$2:$2,0)+3,4)),"")</f>
        <v/>
      </c>
      <c r="H55" s="31" t="str" cm="1">
        <f t="array" aca="1" ref="H55" ca="1">IFERROR(INDIRECT("Data"&amp;"!"&amp;ADDRESS(MATCH($G$1,Data!$A$1:$A$20,0),MATCH($A55,Data!$2:$2,0),4)),"")</f>
        <v/>
      </c>
      <c r="I55" s="31" t="str" cm="1">
        <f t="array" aca="1" ref="I55" ca="1">IFERROR(INDIRECT("Data"&amp;"!"&amp;ADDRESS(MATCH($G$1,Data!$A$1:$A$20,0),MATCH($A55,Data!$2:$2,0)+1,4)),"")</f>
        <v/>
      </c>
      <c r="J55" s="31" t="str" cm="1">
        <f t="array" aca="1" ref="J55" ca="1">IFERROR(INDIRECT("Data"&amp;"!"&amp;ADDRESS(MATCH($G$1,Data!$A$1:$A$20,0),MATCH($A55,Data!$2:$2,0)+2,4)),"")</f>
        <v/>
      </c>
      <c r="K55" s="34" t="str" cm="1">
        <f t="array" aca="1" ref="K55" ca="1">IFERROR(INDIRECT("Data"&amp;"!"&amp;ADDRESS(MATCH($K$1,Data!$A$1:$A$20,0),MATCH($A55,Data!$2:$2,0)+2,4)),"")</f>
        <v/>
      </c>
      <c r="U55" s="7">
        <v>52</v>
      </c>
      <c r="V55" s="7">
        <v>0</v>
      </c>
      <c r="W55" s="5">
        <v>-94</v>
      </c>
      <c r="X55" s="7" t="str" cm="1">
        <f t="array" aca="1" ref="X55" ca="1">IFERROR(INDIRECT("Data"&amp;"!"&amp;ADDRESS(MATCH($V$1,Data!$A:$A,0)+3+$U55,MATCH(X$1,Data!$2:$2,0)+3,4)),"")</f>
        <v/>
      </c>
      <c r="Y55" s="5" t="str" cm="1">
        <f t="array" aca="1" ref="Y55" ca="1">IFERROR(INDIRECT("Data"&amp;"!"&amp;ADDRESS(MATCH($V$1,Data!$A:$A,0)+3+$U55,MATCH(Y$1,Data!$2:$2,0)+3,4)),"")</f>
        <v/>
      </c>
      <c r="Z55" s="5" t="str" cm="1">
        <f t="array" aca="1" ref="Z55" ca="1">IFERROR(INDIRECT("Data"&amp;"!"&amp;ADDRESS(MATCH($V$1,Data!$A:$A,0)+3+$U55,MATCH(Z$1,Data!$2:$2,0)+3,4)),"")</f>
        <v/>
      </c>
      <c r="AA55" s="5" t="str" cm="1">
        <f t="array" aca="1" ref="AA55" ca="1">IFERROR(INDIRECT("Data"&amp;"!"&amp;ADDRESS(MATCH($V$1,Data!$A:$A,0)+3+$U55,MATCH(AA$1,Data!$2:$2,0)+3,4)),"")</f>
        <v/>
      </c>
      <c r="AB55" s="5" t="str" cm="1">
        <f t="array" aca="1" ref="AB55" ca="1">IFERROR(INDIRECT("Data"&amp;"!"&amp;ADDRESS(MATCH($V$1,Data!$A:$A,0)+3+$U55,MATCH(AB$1,Data!$2:$2,0)+3,4)),"")</f>
        <v/>
      </c>
      <c r="AC55" s="5" t="str" cm="1">
        <f t="array" aca="1" ref="AC55" ca="1">IFERROR(INDIRECT("Data"&amp;"!"&amp;ADDRESS(MATCH($V$1,Data!$A:$A,0)+3+$U55,MATCH(AC$1,Data!$2:$2,0)+3,4)),"")</f>
        <v/>
      </c>
      <c r="AD55" s="5" t="str" cm="1">
        <f t="array" aca="1" ref="AD55" ca="1">IFERROR(INDIRECT("Data"&amp;"!"&amp;ADDRESS(MATCH($V$1,Data!$A:$A,0)+3+$U55,MATCH(AD$1,Data!$2:$2,0)+3,4)),"")</f>
        <v/>
      </c>
      <c r="AE55" s="5" t="str" cm="1">
        <f t="array" aca="1" ref="AE55" ca="1">IFERROR(INDIRECT("Data"&amp;"!"&amp;ADDRESS(MATCH($V$1,Data!$A:$A,0)+3+$U55,MATCH(AE$1,Data!$2:$2,0)+3,4)),"")</f>
        <v/>
      </c>
      <c r="AF55" s="5" t="str" cm="1">
        <f t="array" aca="1" ref="AF55" ca="1">IFERROR(INDIRECT("Data"&amp;"!"&amp;ADDRESS(MATCH($V$1,Data!$A:$A,0)+3+$U55,MATCH(AF$1,Data!$2:$2,0)+3,4)),"")</f>
        <v/>
      </c>
      <c r="AG55" s="5" t="str" cm="1">
        <f t="array" aca="1" ref="AG55" ca="1">IFERROR(INDIRECT("Data"&amp;"!"&amp;ADDRESS(MATCH($V$1,Data!$A:$A,0)+3+$U55,MATCH(AG$1,Data!$2:$2,0)+3,4)),"")</f>
        <v/>
      </c>
    </row>
    <row r="56" spans="2:33" x14ac:dyDescent="0.25">
      <c r="B56" s="22" t="str" cm="1">
        <f t="array" aca="1" ref="B56" ca="1">IFERROR(INDIRECT("List"&amp;"!"&amp;ADDRESS(MATCH($A56,List!$B:$B,0),MATCH($B$1,List!$1:$1,0),4)),"")</f>
        <v/>
      </c>
      <c r="C56" s="22" t="str" cm="1">
        <f t="array" aca="1" ref="C56" ca="1">IFERROR(INDIRECT("List"&amp;"!"&amp;ADDRESS(MATCH($A56,List!$B:$B,0),MATCH($C$1,List!$1:$1,0),4)),"")</f>
        <v/>
      </c>
      <c r="D56" s="22" t="str" cm="1">
        <f t="array" aca="1" ref="D56" ca="1">IFERROR(INDIRECT("List"&amp;"!"&amp;ADDRESS(MATCH($A56,List!$B:$B,0),MATCH($D$1,List!$1:$1,0),4)),"")</f>
        <v/>
      </c>
      <c r="E56" s="22" t="str" cm="1">
        <f t="array" aca="1" ref="E56" ca="1">IFERROR(INDIRECT("List"&amp;"!"&amp;ADDRESS(MATCH($A56,List!$B:$B,0),MATCH($E$1,List!$1:$1,0),4)),"")</f>
        <v/>
      </c>
      <c r="F56" s="27" t="str" cm="1">
        <f t="array" aca="1" ref="F56" ca="1">IFERROR(INDIRECT("List"&amp;"!"&amp;ADDRESS(MATCH($A56,List!$B:$B,0),MATCH($F$1,List!$1:$1,0),4)),"")</f>
        <v/>
      </c>
      <c r="G56" s="31" t="str" cm="1">
        <f t="array" aca="1" ref="G56" ca="1">IFERROR(INDIRECT("Data"&amp;"!"&amp;ADDRESS(MATCH($G$1,Data!$A$1:$A$20,0),MATCH($A56,Data!$2:$2,0)+3,4)),"")</f>
        <v/>
      </c>
      <c r="H56" s="31" t="str" cm="1">
        <f t="array" aca="1" ref="H56" ca="1">IFERROR(INDIRECT("Data"&amp;"!"&amp;ADDRESS(MATCH($G$1,Data!$A$1:$A$20,0),MATCH($A56,Data!$2:$2,0),4)),"")</f>
        <v/>
      </c>
      <c r="I56" s="31" t="str" cm="1">
        <f t="array" aca="1" ref="I56" ca="1">IFERROR(INDIRECT("Data"&amp;"!"&amp;ADDRESS(MATCH($G$1,Data!$A$1:$A$20,0),MATCH($A56,Data!$2:$2,0)+1,4)),"")</f>
        <v/>
      </c>
      <c r="J56" s="31" t="str" cm="1">
        <f t="array" aca="1" ref="J56" ca="1">IFERROR(INDIRECT("Data"&amp;"!"&amp;ADDRESS(MATCH($G$1,Data!$A$1:$A$20,0),MATCH($A56,Data!$2:$2,0)+2,4)),"")</f>
        <v/>
      </c>
      <c r="K56" s="34" t="str" cm="1">
        <f t="array" aca="1" ref="K56" ca="1">IFERROR(INDIRECT("Data"&amp;"!"&amp;ADDRESS(MATCH($K$1,Data!$A$1:$A$20,0),MATCH($A56,Data!$2:$2,0)+2,4)),"")</f>
        <v/>
      </c>
      <c r="U56" s="7">
        <v>53</v>
      </c>
      <c r="V56" s="7">
        <v>0</v>
      </c>
      <c r="W56" s="5">
        <v>-92</v>
      </c>
      <c r="X56" s="7" t="str" cm="1">
        <f t="array" aca="1" ref="X56" ca="1">IFERROR(INDIRECT("Data"&amp;"!"&amp;ADDRESS(MATCH($V$1,Data!$A:$A,0)+3+$U56,MATCH(X$1,Data!$2:$2,0)+3,4)),"")</f>
        <v/>
      </c>
      <c r="Y56" s="5" t="str" cm="1">
        <f t="array" aca="1" ref="Y56" ca="1">IFERROR(INDIRECT("Data"&amp;"!"&amp;ADDRESS(MATCH($V$1,Data!$A:$A,0)+3+$U56,MATCH(Y$1,Data!$2:$2,0)+3,4)),"")</f>
        <v/>
      </c>
      <c r="Z56" s="5" t="str" cm="1">
        <f t="array" aca="1" ref="Z56" ca="1">IFERROR(INDIRECT("Data"&amp;"!"&amp;ADDRESS(MATCH($V$1,Data!$A:$A,0)+3+$U56,MATCH(Z$1,Data!$2:$2,0)+3,4)),"")</f>
        <v/>
      </c>
      <c r="AA56" s="5" t="str" cm="1">
        <f t="array" aca="1" ref="AA56" ca="1">IFERROR(INDIRECT("Data"&amp;"!"&amp;ADDRESS(MATCH($V$1,Data!$A:$A,0)+3+$U56,MATCH(AA$1,Data!$2:$2,0)+3,4)),"")</f>
        <v/>
      </c>
      <c r="AB56" s="5" t="str" cm="1">
        <f t="array" aca="1" ref="AB56" ca="1">IFERROR(INDIRECT("Data"&amp;"!"&amp;ADDRESS(MATCH($V$1,Data!$A:$A,0)+3+$U56,MATCH(AB$1,Data!$2:$2,0)+3,4)),"")</f>
        <v/>
      </c>
      <c r="AC56" s="5" t="str" cm="1">
        <f t="array" aca="1" ref="AC56" ca="1">IFERROR(INDIRECT("Data"&amp;"!"&amp;ADDRESS(MATCH($V$1,Data!$A:$A,0)+3+$U56,MATCH(AC$1,Data!$2:$2,0)+3,4)),"")</f>
        <v/>
      </c>
      <c r="AD56" s="5" t="str" cm="1">
        <f t="array" aca="1" ref="AD56" ca="1">IFERROR(INDIRECT("Data"&amp;"!"&amp;ADDRESS(MATCH($V$1,Data!$A:$A,0)+3+$U56,MATCH(AD$1,Data!$2:$2,0)+3,4)),"")</f>
        <v/>
      </c>
      <c r="AE56" s="5" t="str" cm="1">
        <f t="array" aca="1" ref="AE56" ca="1">IFERROR(INDIRECT("Data"&amp;"!"&amp;ADDRESS(MATCH($V$1,Data!$A:$A,0)+3+$U56,MATCH(AE$1,Data!$2:$2,0)+3,4)),"")</f>
        <v/>
      </c>
      <c r="AF56" s="5" t="str" cm="1">
        <f t="array" aca="1" ref="AF56" ca="1">IFERROR(INDIRECT("Data"&amp;"!"&amp;ADDRESS(MATCH($V$1,Data!$A:$A,0)+3+$U56,MATCH(AF$1,Data!$2:$2,0)+3,4)),"")</f>
        <v/>
      </c>
      <c r="AG56" s="5" t="str" cm="1">
        <f t="array" aca="1" ref="AG56" ca="1">IFERROR(INDIRECT("Data"&amp;"!"&amp;ADDRESS(MATCH($V$1,Data!$A:$A,0)+3+$U56,MATCH(AG$1,Data!$2:$2,0)+3,4)),"")</f>
        <v/>
      </c>
    </row>
    <row r="57" spans="2:33" x14ac:dyDescent="0.25">
      <c r="B57" s="22" t="str" cm="1">
        <f t="array" aca="1" ref="B57" ca="1">IFERROR(INDIRECT("List"&amp;"!"&amp;ADDRESS(MATCH($A57,List!$B:$B,0),MATCH($B$1,List!$1:$1,0),4)),"")</f>
        <v/>
      </c>
      <c r="C57" s="22" t="str" cm="1">
        <f t="array" aca="1" ref="C57" ca="1">IFERROR(INDIRECT("List"&amp;"!"&amp;ADDRESS(MATCH($A57,List!$B:$B,0),MATCH($C$1,List!$1:$1,0),4)),"")</f>
        <v/>
      </c>
      <c r="D57" s="22" t="str" cm="1">
        <f t="array" aca="1" ref="D57" ca="1">IFERROR(INDIRECT("List"&amp;"!"&amp;ADDRESS(MATCH($A57,List!$B:$B,0),MATCH($D$1,List!$1:$1,0),4)),"")</f>
        <v/>
      </c>
      <c r="E57" s="22" t="str" cm="1">
        <f t="array" aca="1" ref="E57" ca="1">IFERROR(INDIRECT("List"&amp;"!"&amp;ADDRESS(MATCH($A57,List!$B:$B,0),MATCH($E$1,List!$1:$1,0),4)),"")</f>
        <v/>
      </c>
      <c r="F57" s="27" t="str" cm="1">
        <f t="array" aca="1" ref="F57" ca="1">IFERROR(INDIRECT("List"&amp;"!"&amp;ADDRESS(MATCH($A57,List!$B:$B,0),MATCH($F$1,List!$1:$1,0),4)),"")</f>
        <v/>
      </c>
      <c r="G57" s="31" t="str" cm="1">
        <f t="array" aca="1" ref="G57" ca="1">IFERROR(INDIRECT("Data"&amp;"!"&amp;ADDRESS(MATCH($G$1,Data!$A$1:$A$20,0),MATCH($A57,Data!$2:$2,0)+3,4)),"")</f>
        <v/>
      </c>
      <c r="H57" s="31" t="str" cm="1">
        <f t="array" aca="1" ref="H57" ca="1">IFERROR(INDIRECT("Data"&amp;"!"&amp;ADDRESS(MATCH($G$1,Data!$A$1:$A$20,0),MATCH($A57,Data!$2:$2,0),4)),"")</f>
        <v/>
      </c>
      <c r="I57" s="31" t="str" cm="1">
        <f t="array" aca="1" ref="I57" ca="1">IFERROR(INDIRECT("Data"&amp;"!"&amp;ADDRESS(MATCH($G$1,Data!$A$1:$A$20,0),MATCH($A57,Data!$2:$2,0)+1,4)),"")</f>
        <v/>
      </c>
      <c r="J57" s="31" t="str" cm="1">
        <f t="array" aca="1" ref="J57" ca="1">IFERROR(INDIRECT("Data"&amp;"!"&amp;ADDRESS(MATCH($G$1,Data!$A$1:$A$20,0),MATCH($A57,Data!$2:$2,0)+2,4)),"")</f>
        <v/>
      </c>
      <c r="K57" s="34" t="str" cm="1">
        <f t="array" aca="1" ref="K57" ca="1">IFERROR(INDIRECT("Data"&amp;"!"&amp;ADDRESS(MATCH($K$1,Data!$A$1:$A$20,0),MATCH($A57,Data!$2:$2,0)+2,4)),"")</f>
        <v/>
      </c>
      <c r="U57" s="7">
        <v>54</v>
      </c>
      <c r="V57" s="7">
        <v>0</v>
      </c>
      <c r="W57" s="5">
        <v>-90</v>
      </c>
      <c r="X57" s="7" t="str" cm="1">
        <f t="array" aca="1" ref="X57" ca="1">IFERROR(INDIRECT("Data"&amp;"!"&amp;ADDRESS(MATCH($V$1,Data!$A:$A,0)+3+$U57,MATCH(X$1,Data!$2:$2,0)+3,4)),"")</f>
        <v/>
      </c>
      <c r="Y57" s="5" t="str" cm="1">
        <f t="array" aca="1" ref="Y57" ca="1">IFERROR(INDIRECT("Data"&amp;"!"&amp;ADDRESS(MATCH($V$1,Data!$A:$A,0)+3+$U57,MATCH(Y$1,Data!$2:$2,0)+3,4)),"")</f>
        <v/>
      </c>
      <c r="Z57" s="5" t="str" cm="1">
        <f t="array" aca="1" ref="Z57" ca="1">IFERROR(INDIRECT("Data"&amp;"!"&amp;ADDRESS(MATCH($V$1,Data!$A:$A,0)+3+$U57,MATCH(Z$1,Data!$2:$2,0)+3,4)),"")</f>
        <v/>
      </c>
      <c r="AA57" s="5" t="str" cm="1">
        <f t="array" aca="1" ref="AA57" ca="1">IFERROR(INDIRECT("Data"&amp;"!"&amp;ADDRESS(MATCH($V$1,Data!$A:$A,0)+3+$U57,MATCH(AA$1,Data!$2:$2,0)+3,4)),"")</f>
        <v/>
      </c>
      <c r="AB57" s="5" t="str" cm="1">
        <f t="array" aca="1" ref="AB57" ca="1">IFERROR(INDIRECT("Data"&amp;"!"&amp;ADDRESS(MATCH($V$1,Data!$A:$A,0)+3+$U57,MATCH(AB$1,Data!$2:$2,0)+3,4)),"")</f>
        <v/>
      </c>
      <c r="AC57" s="5" t="str" cm="1">
        <f t="array" aca="1" ref="AC57" ca="1">IFERROR(INDIRECT("Data"&amp;"!"&amp;ADDRESS(MATCH($V$1,Data!$A:$A,0)+3+$U57,MATCH(AC$1,Data!$2:$2,0)+3,4)),"")</f>
        <v/>
      </c>
      <c r="AD57" s="5" t="str" cm="1">
        <f t="array" aca="1" ref="AD57" ca="1">IFERROR(INDIRECT("Data"&amp;"!"&amp;ADDRESS(MATCH($V$1,Data!$A:$A,0)+3+$U57,MATCH(AD$1,Data!$2:$2,0)+3,4)),"")</f>
        <v/>
      </c>
      <c r="AE57" s="5" t="str" cm="1">
        <f t="array" aca="1" ref="AE57" ca="1">IFERROR(INDIRECT("Data"&amp;"!"&amp;ADDRESS(MATCH($V$1,Data!$A:$A,0)+3+$U57,MATCH(AE$1,Data!$2:$2,0)+3,4)),"")</f>
        <v/>
      </c>
      <c r="AF57" s="5" t="str" cm="1">
        <f t="array" aca="1" ref="AF57" ca="1">IFERROR(INDIRECT("Data"&amp;"!"&amp;ADDRESS(MATCH($V$1,Data!$A:$A,0)+3+$U57,MATCH(AF$1,Data!$2:$2,0)+3,4)),"")</f>
        <v/>
      </c>
      <c r="AG57" s="5" t="str" cm="1">
        <f t="array" aca="1" ref="AG57" ca="1">IFERROR(INDIRECT("Data"&amp;"!"&amp;ADDRESS(MATCH($V$1,Data!$A:$A,0)+3+$U57,MATCH(AG$1,Data!$2:$2,0)+3,4)),"")</f>
        <v/>
      </c>
    </row>
    <row r="58" spans="2:33" x14ac:dyDescent="0.25">
      <c r="B58" s="22" t="str" cm="1">
        <f t="array" aca="1" ref="B58" ca="1">IFERROR(INDIRECT("List"&amp;"!"&amp;ADDRESS(MATCH($A58,List!$B:$B,0),MATCH($B$1,List!$1:$1,0),4)),"")</f>
        <v/>
      </c>
      <c r="C58" s="22" t="str" cm="1">
        <f t="array" aca="1" ref="C58" ca="1">IFERROR(INDIRECT("List"&amp;"!"&amp;ADDRESS(MATCH($A58,List!$B:$B,0),MATCH($C$1,List!$1:$1,0),4)),"")</f>
        <v/>
      </c>
      <c r="D58" s="22" t="str" cm="1">
        <f t="array" aca="1" ref="D58" ca="1">IFERROR(INDIRECT("List"&amp;"!"&amp;ADDRESS(MATCH($A58,List!$B:$B,0),MATCH($D$1,List!$1:$1,0),4)),"")</f>
        <v/>
      </c>
      <c r="E58" s="22" t="str" cm="1">
        <f t="array" aca="1" ref="E58" ca="1">IFERROR(INDIRECT("List"&amp;"!"&amp;ADDRESS(MATCH($A58,List!$B:$B,0),MATCH($E$1,List!$1:$1,0),4)),"")</f>
        <v/>
      </c>
      <c r="F58" s="27" t="str" cm="1">
        <f t="array" aca="1" ref="F58" ca="1">IFERROR(INDIRECT("List"&amp;"!"&amp;ADDRESS(MATCH($A58,List!$B:$B,0),MATCH($F$1,List!$1:$1,0),4)),"")</f>
        <v/>
      </c>
      <c r="G58" s="31" t="str" cm="1">
        <f t="array" aca="1" ref="G58" ca="1">IFERROR(INDIRECT("Data"&amp;"!"&amp;ADDRESS(MATCH($G$1,Data!$A$1:$A$20,0),MATCH($A58,Data!$2:$2,0)+3,4)),"")</f>
        <v/>
      </c>
      <c r="H58" s="31" t="str" cm="1">
        <f t="array" aca="1" ref="H58" ca="1">IFERROR(INDIRECT("Data"&amp;"!"&amp;ADDRESS(MATCH($G$1,Data!$A$1:$A$20,0),MATCH($A58,Data!$2:$2,0),4)),"")</f>
        <v/>
      </c>
      <c r="I58" s="31" t="str" cm="1">
        <f t="array" aca="1" ref="I58" ca="1">IFERROR(INDIRECT("Data"&amp;"!"&amp;ADDRESS(MATCH($G$1,Data!$A$1:$A$20,0),MATCH($A58,Data!$2:$2,0)+1,4)),"")</f>
        <v/>
      </c>
      <c r="J58" s="31" t="str" cm="1">
        <f t="array" aca="1" ref="J58" ca="1">IFERROR(INDIRECT("Data"&amp;"!"&amp;ADDRESS(MATCH($G$1,Data!$A$1:$A$20,0),MATCH($A58,Data!$2:$2,0)+2,4)),"")</f>
        <v/>
      </c>
      <c r="K58" s="34" t="str" cm="1">
        <f t="array" aca="1" ref="K58" ca="1">IFERROR(INDIRECT("Data"&amp;"!"&amp;ADDRESS(MATCH($K$1,Data!$A$1:$A$20,0),MATCH($A58,Data!$2:$2,0)+2,4)),"")</f>
        <v/>
      </c>
      <c r="U58" s="7">
        <v>55</v>
      </c>
      <c r="V58" s="7">
        <v>0</v>
      </c>
      <c r="W58" s="5">
        <v>-85</v>
      </c>
      <c r="X58" s="7" t="str" cm="1">
        <f t="array" aca="1" ref="X58" ca="1">IFERROR(INDIRECT("Data"&amp;"!"&amp;ADDRESS(MATCH($V$1,Data!$A:$A,0)+3+$U58,MATCH(X$1,Data!$2:$2,0)+3,4)),"")</f>
        <v/>
      </c>
      <c r="Y58" s="5" t="str" cm="1">
        <f t="array" aca="1" ref="Y58" ca="1">IFERROR(INDIRECT("Data"&amp;"!"&amp;ADDRESS(MATCH($V$1,Data!$A:$A,0)+3+$U58,MATCH(Y$1,Data!$2:$2,0)+3,4)),"")</f>
        <v/>
      </c>
      <c r="Z58" s="5" t="str" cm="1">
        <f t="array" aca="1" ref="Z58" ca="1">IFERROR(INDIRECT("Data"&amp;"!"&amp;ADDRESS(MATCH($V$1,Data!$A:$A,0)+3+$U58,MATCH(Z$1,Data!$2:$2,0)+3,4)),"")</f>
        <v/>
      </c>
      <c r="AA58" s="5" t="str" cm="1">
        <f t="array" aca="1" ref="AA58" ca="1">IFERROR(INDIRECT("Data"&amp;"!"&amp;ADDRESS(MATCH($V$1,Data!$A:$A,0)+3+$U58,MATCH(AA$1,Data!$2:$2,0)+3,4)),"")</f>
        <v/>
      </c>
      <c r="AB58" s="5" t="str" cm="1">
        <f t="array" aca="1" ref="AB58" ca="1">IFERROR(INDIRECT("Data"&amp;"!"&amp;ADDRESS(MATCH($V$1,Data!$A:$A,0)+3+$U58,MATCH(AB$1,Data!$2:$2,0)+3,4)),"")</f>
        <v/>
      </c>
      <c r="AC58" s="5" t="str" cm="1">
        <f t="array" aca="1" ref="AC58" ca="1">IFERROR(INDIRECT("Data"&amp;"!"&amp;ADDRESS(MATCH($V$1,Data!$A:$A,0)+3+$U58,MATCH(AC$1,Data!$2:$2,0)+3,4)),"")</f>
        <v/>
      </c>
      <c r="AD58" s="5" t="str" cm="1">
        <f t="array" aca="1" ref="AD58" ca="1">IFERROR(INDIRECT("Data"&amp;"!"&amp;ADDRESS(MATCH($V$1,Data!$A:$A,0)+3+$U58,MATCH(AD$1,Data!$2:$2,0)+3,4)),"")</f>
        <v/>
      </c>
      <c r="AE58" s="5" t="str" cm="1">
        <f t="array" aca="1" ref="AE58" ca="1">IFERROR(INDIRECT("Data"&amp;"!"&amp;ADDRESS(MATCH($V$1,Data!$A:$A,0)+3+$U58,MATCH(AE$1,Data!$2:$2,0)+3,4)),"")</f>
        <v/>
      </c>
      <c r="AF58" s="5" t="str" cm="1">
        <f t="array" aca="1" ref="AF58" ca="1">IFERROR(INDIRECT("Data"&amp;"!"&amp;ADDRESS(MATCH($V$1,Data!$A:$A,0)+3+$U58,MATCH(AF$1,Data!$2:$2,0)+3,4)),"")</f>
        <v/>
      </c>
      <c r="AG58" s="5" t="str" cm="1">
        <f t="array" aca="1" ref="AG58" ca="1">IFERROR(INDIRECT("Data"&amp;"!"&amp;ADDRESS(MATCH($V$1,Data!$A:$A,0)+3+$U58,MATCH(AG$1,Data!$2:$2,0)+3,4)),"")</f>
        <v/>
      </c>
    </row>
    <row r="59" spans="2:33" x14ac:dyDescent="0.25">
      <c r="B59" s="22" t="str" cm="1">
        <f t="array" aca="1" ref="B59" ca="1">IFERROR(INDIRECT("List"&amp;"!"&amp;ADDRESS(MATCH($A59,List!$B:$B,0),MATCH($B$1,List!$1:$1,0),4)),"")</f>
        <v/>
      </c>
      <c r="C59" s="22" t="str" cm="1">
        <f t="array" aca="1" ref="C59" ca="1">IFERROR(INDIRECT("List"&amp;"!"&amp;ADDRESS(MATCH($A59,List!$B:$B,0),MATCH($C$1,List!$1:$1,0),4)),"")</f>
        <v/>
      </c>
      <c r="D59" s="22" t="str" cm="1">
        <f t="array" aca="1" ref="D59" ca="1">IFERROR(INDIRECT("List"&amp;"!"&amp;ADDRESS(MATCH($A59,List!$B:$B,0),MATCH($D$1,List!$1:$1,0),4)),"")</f>
        <v/>
      </c>
      <c r="E59" s="22" t="str" cm="1">
        <f t="array" aca="1" ref="E59" ca="1">IFERROR(INDIRECT("List"&amp;"!"&amp;ADDRESS(MATCH($A59,List!$B:$B,0),MATCH($E$1,List!$1:$1,0),4)),"")</f>
        <v/>
      </c>
      <c r="F59" s="27" t="str" cm="1">
        <f t="array" aca="1" ref="F59" ca="1">IFERROR(INDIRECT("List"&amp;"!"&amp;ADDRESS(MATCH($A59,List!$B:$B,0),MATCH($F$1,List!$1:$1,0),4)),"")</f>
        <v/>
      </c>
      <c r="G59" s="31" t="str" cm="1">
        <f t="array" aca="1" ref="G59" ca="1">IFERROR(INDIRECT("Data"&amp;"!"&amp;ADDRESS(MATCH($G$1,Data!$A$1:$A$20,0),MATCH($A59,Data!$2:$2,0)+3,4)),"")</f>
        <v/>
      </c>
      <c r="H59" s="31" t="str" cm="1">
        <f t="array" aca="1" ref="H59" ca="1">IFERROR(INDIRECT("Data"&amp;"!"&amp;ADDRESS(MATCH($G$1,Data!$A$1:$A$20,0),MATCH($A59,Data!$2:$2,0),4)),"")</f>
        <v/>
      </c>
      <c r="I59" s="31" t="str" cm="1">
        <f t="array" aca="1" ref="I59" ca="1">IFERROR(INDIRECT("Data"&amp;"!"&amp;ADDRESS(MATCH($G$1,Data!$A$1:$A$20,0),MATCH($A59,Data!$2:$2,0)+1,4)),"")</f>
        <v/>
      </c>
      <c r="J59" s="31" t="str" cm="1">
        <f t="array" aca="1" ref="J59" ca="1">IFERROR(INDIRECT("Data"&amp;"!"&amp;ADDRESS(MATCH($G$1,Data!$A$1:$A$20,0),MATCH($A59,Data!$2:$2,0)+2,4)),"")</f>
        <v/>
      </c>
      <c r="K59" s="34" t="str" cm="1">
        <f t="array" aca="1" ref="K59" ca="1">IFERROR(INDIRECT("Data"&amp;"!"&amp;ADDRESS(MATCH($K$1,Data!$A$1:$A$20,0),MATCH($A59,Data!$2:$2,0)+2,4)),"")</f>
        <v/>
      </c>
      <c r="U59" s="7">
        <v>56</v>
      </c>
      <c r="V59" s="7">
        <v>0</v>
      </c>
      <c r="W59" s="5">
        <v>-80</v>
      </c>
      <c r="X59" s="7" t="str" cm="1">
        <f t="array" aca="1" ref="X59" ca="1">IFERROR(INDIRECT("Data"&amp;"!"&amp;ADDRESS(MATCH($V$1,Data!$A:$A,0)+3+$U59,MATCH(X$1,Data!$2:$2,0)+3,4)),"")</f>
        <v/>
      </c>
      <c r="Y59" s="5" t="str" cm="1">
        <f t="array" aca="1" ref="Y59" ca="1">IFERROR(INDIRECT("Data"&amp;"!"&amp;ADDRESS(MATCH($V$1,Data!$A:$A,0)+3+$U59,MATCH(Y$1,Data!$2:$2,0)+3,4)),"")</f>
        <v/>
      </c>
      <c r="Z59" s="5" t="str" cm="1">
        <f t="array" aca="1" ref="Z59" ca="1">IFERROR(INDIRECT("Data"&amp;"!"&amp;ADDRESS(MATCH($V$1,Data!$A:$A,0)+3+$U59,MATCH(Z$1,Data!$2:$2,0)+3,4)),"")</f>
        <v/>
      </c>
      <c r="AA59" s="5" t="str" cm="1">
        <f t="array" aca="1" ref="AA59" ca="1">IFERROR(INDIRECT("Data"&amp;"!"&amp;ADDRESS(MATCH($V$1,Data!$A:$A,0)+3+$U59,MATCH(AA$1,Data!$2:$2,0)+3,4)),"")</f>
        <v/>
      </c>
      <c r="AB59" s="5" t="str" cm="1">
        <f t="array" aca="1" ref="AB59" ca="1">IFERROR(INDIRECT("Data"&amp;"!"&amp;ADDRESS(MATCH($V$1,Data!$A:$A,0)+3+$U59,MATCH(AB$1,Data!$2:$2,0)+3,4)),"")</f>
        <v/>
      </c>
      <c r="AC59" s="5" t="str" cm="1">
        <f t="array" aca="1" ref="AC59" ca="1">IFERROR(INDIRECT("Data"&amp;"!"&amp;ADDRESS(MATCH($V$1,Data!$A:$A,0)+3+$U59,MATCH(AC$1,Data!$2:$2,0)+3,4)),"")</f>
        <v/>
      </c>
      <c r="AD59" s="5" t="str" cm="1">
        <f t="array" aca="1" ref="AD59" ca="1">IFERROR(INDIRECT("Data"&amp;"!"&amp;ADDRESS(MATCH($V$1,Data!$A:$A,0)+3+$U59,MATCH(AD$1,Data!$2:$2,0)+3,4)),"")</f>
        <v/>
      </c>
      <c r="AE59" s="5" t="str" cm="1">
        <f t="array" aca="1" ref="AE59" ca="1">IFERROR(INDIRECT("Data"&amp;"!"&amp;ADDRESS(MATCH($V$1,Data!$A:$A,0)+3+$U59,MATCH(AE$1,Data!$2:$2,0)+3,4)),"")</f>
        <v/>
      </c>
      <c r="AF59" s="5" t="str" cm="1">
        <f t="array" aca="1" ref="AF59" ca="1">IFERROR(INDIRECT("Data"&amp;"!"&amp;ADDRESS(MATCH($V$1,Data!$A:$A,0)+3+$U59,MATCH(AF$1,Data!$2:$2,0)+3,4)),"")</f>
        <v/>
      </c>
      <c r="AG59" s="5" t="str" cm="1">
        <f t="array" aca="1" ref="AG59" ca="1">IFERROR(INDIRECT("Data"&amp;"!"&amp;ADDRESS(MATCH($V$1,Data!$A:$A,0)+3+$U59,MATCH(AG$1,Data!$2:$2,0)+3,4)),"")</f>
        <v/>
      </c>
    </row>
    <row r="60" spans="2:33" x14ac:dyDescent="0.25">
      <c r="B60" s="22" t="str" cm="1">
        <f t="array" aca="1" ref="B60" ca="1">IFERROR(INDIRECT("List"&amp;"!"&amp;ADDRESS(MATCH($A60,List!$B:$B,0),MATCH($B$1,List!$1:$1,0),4)),"")</f>
        <v/>
      </c>
      <c r="C60" s="22" t="str" cm="1">
        <f t="array" aca="1" ref="C60" ca="1">IFERROR(INDIRECT("List"&amp;"!"&amp;ADDRESS(MATCH($A60,List!$B:$B,0),MATCH($C$1,List!$1:$1,0),4)),"")</f>
        <v/>
      </c>
      <c r="D60" s="22" t="str" cm="1">
        <f t="array" aca="1" ref="D60" ca="1">IFERROR(INDIRECT("List"&amp;"!"&amp;ADDRESS(MATCH($A60,List!$B:$B,0),MATCH($D$1,List!$1:$1,0),4)),"")</f>
        <v/>
      </c>
      <c r="E60" s="22" t="str" cm="1">
        <f t="array" aca="1" ref="E60" ca="1">IFERROR(INDIRECT("List"&amp;"!"&amp;ADDRESS(MATCH($A60,List!$B:$B,0),MATCH($E$1,List!$1:$1,0),4)),"")</f>
        <v/>
      </c>
      <c r="F60" s="27" t="str" cm="1">
        <f t="array" aca="1" ref="F60" ca="1">IFERROR(INDIRECT("List"&amp;"!"&amp;ADDRESS(MATCH($A60,List!$B:$B,0),MATCH($F$1,List!$1:$1,0),4)),"")</f>
        <v/>
      </c>
      <c r="G60" s="31" t="str" cm="1">
        <f t="array" aca="1" ref="G60" ca="1">IFERROR(INDIRECT("Data"&amp;"!"&amp;ADDRESS(MATCH($G$1,Data!$A$1:$A$20,0),MATCH($A60,Data!$2:$2,0)+3,4)),"")</f>
        <v/>
      </c>
      <c r="H60" s="31" t="str" cm="1">
        <f t="array" aca="1" ref="H60" ca="1">IFERROR(INDIRECT("Data"&amp;"!"&amp;ADDRESS(MATCH($G$1,Data!$A$1:$A$20,0),MATCH($A60,Data!$2:$2,0),4)),"")</f>
        <v/>
      </c>
      <c r="I60" s="31" t="str" cm="1">
        <f t="array" aca="1" ref="I60" ca="1">IFERROR(INDIRECT("Data"&amp;"!"&amp;ADDRESS(MATCH($G$1,Data!$A$1:$A$20,0),MATCH($A60,Data!$2:$2,0)+1,4)),"")</f>
        <v/>
      </c>
      <c r="J60" s="31" t="str" cm="1">
        <f t="array" aca="1" ref="J60" ca="1">IFERROR(INDIRECT("Data"&amp;"!"&amp;ADDRESS(MATCH($G$1,Data!$A$1:$A$20,0),MATCH($A60,Data!$2:$2,0)+2,4)),"")</f>
        <v/>
      </c>
      <c r="K60" s="34" t="str" cm="1">
        <f t="array" aca="1" ref="K60" ca="1">IFERROR(INDIRECT("Data"&amp;"!"&amp;ADDRESS(MATCH($K$1,Data!$A$1:$A$20,0),MATCH($A60,Data!$2:$2,0)+2,4)),"")</f>
        <v/>
      </c>
      <c r="U60" s="7">
        <v>57</v>
      </c>
      <c r="V60" s="7">
        <v>0</v>
      </c>
      <c r="W60" s="5">
        <v>-75</v>
      </c>
      <c r="X60" s="7" t="str" cm="1">
        <f t="array" aca="1" ref="X60" ca="1">IFERROR(INDIRECT("Data"&amp;"!"&amp;ADDRESS(MATCH($V$1,Data!$A:$A,0)+3+$U60,MATCH(X$1,Data!$2:$2,0)+3,4)),"")</f>
        <v/>
      </c>
      <c r="Y60" s="5" t="str" cm="1">
        <f t="array" aca="1" ref="Y60" ca="1">IFERROR(INDIRECT("Data"&amp;"!"&amp;ADDRESS(MATCH($V$1,Data!$A:$A,0)+3+$U60,MATCH(Y$1,Data!$2:$2,0)+3,4)),"")</f>
        <v/>
      </c>
      <c r="Z60" s="5" t="str" cm="1">
        <f t="array" aca="1" ref="Z60" ca="1">IFERROR(INDIRECT("Data"&amp;"!"&amp;ADDRESS(MATCH($V$1,Data!$A:$A,0)+3+$U60,MATCH(Z$1,Data!$2:$2,0)+3,4)),"")</f>
        <v/>
      </c>
      <c r="AA60" s="5" t="str" cm="1">
        <f t="array" aca="1" ref="AA60" ca="1">IFERROR(INDIRECT("Data"&amp;"!"&amp;ADDRESS(MATCH($V$1,Data!$A:$A,0)+3+$U60,MATCH(AA$1,Data!$2:$2,0)+3,4)),"")</f>
        <v/>
      </c>
      <c r="AB60" s="5" t="str" cm="1">
        <f t="array" aca="1" ref="AB60" ca="1">IFERROR(INDIRECT("Data"&amp;"!"&amp;ADDRESS(MATCH($V$1,Data!$A:$A,0)+3+$U60,MATCH(AB$1,Data!$2:$2,0)+3,4)),"")</f>
        <v/>
      </c>
      <c r="AC60" s="5" t="str" cm="1">
        <f t="array" aca="1" ref="AC60" ca="1">IFERROR(INDIRECT("Data"&amp;"!"&amp;ADDRESS(MATCH($V$1,Data!$A:$A,0)+3+$U60,MATCH(AC$1,Data!$2:$2,0)+3,4)),"")</f>
        <v/>
      </c>
      <c r="AD60" s="5" t="str" cm="1">
        <f t="array" aca="1" ref="AD60" ca="1">IFERROR(INDIRECT("Data"&amp;"!"&amp;ADDRESS(MATCH($V$1,Data!$A:$A,0)+3+$U60,MATCH(AD$1,Data!$2:$2,0)+3,4)),"")</f>
        <v/>
      </c>
      <c r="AE60" s="5" t="str" cm="1">
        <f t="array" aca="1" ref="AE60" ca="1">IFERROR(INDIRECT("Data"&amp;"!"&amp;ADDRESS(MATCH($V$1,Data!$A:$A,0)+3+$U60,MATCH(AE$1,Data!$2:$2,0)+3,4)),"")</f>
        <v/>
      </c>
      <c r="AF60" s="5" t="str" cm="1">
        <f t="array" aca="1" ref="AF60" ca="1">IFERROR(INDIRECT("Data"&amp;"!"&amp;ADDRESS(MATCH($V$1,Data!$A:$A,0)+3+$U60,MATCH(AF$1,Data!$2:$2,0)+3,4)),"")</f>
        <v/>
      </c>
      <c r="AG60" s="5" t="str" cm="1">
        <f t="array" aca="1" ref="AG60" ca="1">IFERROR(INDIRECT("Data"&amp;"!"&amp;ADDRESS(MATCH($V$1,Data!$A:$A,0)+3+$U60,MATCH(AG$1,Data!$2:$2,0)+3,4)),"")</f>
        <v/>
      </c>
    </row>
    <row r="61" spans="2:33" x14ac:dyDescent="0.25">
      <c r="B61" s="22" t="str" cm="1">
        <f t="array" aca="1" ref="B61" ca="1">IFERROR(INDIRECT("List"&amp;"!"&amp;ADDRESS(MATCH($A61,List!$B:$B,0),MATCH($B$1,List!$1:$1,0),4)),"")</f>
        <v/>
      </c>
      <c r="C61" s="22" t="str" cm="1">
        <f t="array" aca="1" ref="C61" ca="1">IFERROR(INDIRECT("List"&amp;"!"&amp;ADDRESS(MATCH($A61,List!$B:$B,0),MATCH($C$1,List!$1:$1,0),4)),"")</f>
        <v/>
      </c>
      <c r="D61" s="22" t="str" cm="1">
        <f t="array" aca="1" ref="D61" ca="1">IFERROR(INDIRECT("List"&amp;"!"&amp;ADDRESS(MATCH($A61,List!$B:$B,0),MATCH($D$1,List!$1:$1,0),4)),"")</f>
        <v/>
      </c>
      <c r="E61" s="22" t="str" cm="1">
        <f t="array" aca="1" ref="E61" ca="1">IFERROR(INDIRECT("List"&amp;"!"&amp;ADDRESS(MATCH($A61,List!$B:$B,0),MATCH($E$1,List!$1:$1,0),4)),"")</f>
        <v/>
      </c>
      <c r="F61" s="27" t="str" cm="1">
        <f t="array" aca="1" ref="F61" ca="1">IFERROR(INDIRECT("List"&amp;"!"&amp;ADDRESS(MATCH($A61,List!$B:$B,0),MATCH($F$1,List!$1:$1,0),4)),"")</f>
        <v/>
      </c>
      <c r="G61" s="31" t="str" cm="1">
        <f t="array" aca="1" ref="G61" ca="1">IFERROR(INDIRECT("Data"&amp;"!"&amp;ADDRESS(MATCH($G$1,Data!$A$1:$A$20,0),MATCH($A61,Data!$2:$2,0)+3,4)),"")</f>
        <v/>
      </c>
      <c r="H61" s="31" t="str" cm="1">
        <f t="array" aca="1" ref="H61" ca="1">IFERROR(INDIRECT("Data"&amp;"!"&amp;ADDRESS(MATCH($G$1,Data!$A$1:$A$20,0),MATCH($A61,Data!$2:$2,0),4)),"")</f>
        <v/>
      </c>
      <c r="I61" s="31" t="str" cm="1">
        <f t="array" aca="1" ref="I61" ca="1">IFERROR(INDIRECT("Data"&amp;"!"&amp;ADDRESS(MATCH($G$1,Data!$A$1:$A$20,0),MATCH($A61,Data!$2:$2,0)+1,4)),"")</f>
        <v/>
      </c>
      <c r="J61" s="31" t="str" cm="1">
        <f t="array" aca="1" ref="J61" ca="1">IFERROR(INDIRECT("Data"&amp;"!"&amp;ADDRESS(MATCH($G$1,Data!$A$1:$A$20,0),MATCH($A61,Data!$2:$2,0)+2,4)),"")</f>
        <v/>
      </c>
      <c r="K61" s="34" t="str" cm="1">
        <f t="array" aca="1" ref="K61" ca="1">IFERROR(INDIRECT("Data"&amp;"!"&amp;ADDRESS(MATCH($K$1,Data!$A$1:$A$20,0),MATCH($A61,Data!$2:$2,0)+2,4)),"")</f>
        <v/>
      </c>
      <c r="U61" s="7">
        <v>58</v>
      </c>
      <c r="V61" s="7">
        <v>0</v>
      </c>
      <c r="W61" s="5">
        <v>-70</v>
      </c>
      <c r="X61" s="7" t="str" cm="1">
        <f t="array" aca="1" ref="X61" ca="1">IFERROR(INDIRECT("Data"&amp;"!"&amp;ADDRESS(MATCH($V$1,Data!$A:$A,0)+3+$U61,MATCH(X$1,Data!$2:$2,0)+3,4)),"")</f>
        <v/>
      </c>
      <c r="Y61" s="5" t="str" cm="1">
        <f t="array" aca="1" ref="Y61" ca="1">IFERROR(INDIRECT("Data"&amp;"!"&amp;ADDRESS(MATCH($V$1,Data!$A:$A,0)+3+$U61,MATCH(Y$1,Data!$2:$2,0)+3,4)),"")</f>
        <v/>
      </c>
      <c r="Z61" s="5" t="str" cm="1">
        <f t="array" aca="1" ref="Z61" ca="1">IFERROR(INDIRECT("Data"&amp;"!"&amp;ADDRESS(MATCH($V$1,Data!$A:$A,0)+3+$U61,MATCH(Z$1,Data!$2:$2,0)+3,4)),"")</f>
        <v/>
      </c>
      <c r="AA61" s="5" t="str" cm="1">
        <f t="array" aca="1" ref="AA61" ca="1">IFERROR(INDIRECT("Data"&amp;"!"&amp;ADDRESS(MATCH($V$1,Data!$A:$A,0)+3+$U61,MATCH(AA$1,Data!$2:$2,0)+3,4)),"")</f>
        <v/>
      </c>
      <c r="AB61" s="5" t="str" cm="1">
        <f t="array" aca="1" ref="AB61" ca="1">IFERROR(INDIRECT("Data"&amp;"!"&amp;ADDRESS(MATCH($V$1,Data!$A:$A,0)+3+$U61,MATCH(AB$1,Data!$2:$2,0)+3,4)),"")</f>
        <v/>
      </c>
      <c r="AC61" s="5" t="str" cm="1">
        <f t="array" aca="1" ref="AC61" ca="1">IFERROR(INDIRECT("Data"&amp;"!"&amp;ADDRESS(MATCH($V$1,Data!$A:$A,0)+3+$U61,MATCH(AC$1,Data!$2:$2,0)+3,4)),"")</f>
        <v/>
      </c>
      <c r="AD61" s="5" t="str" cm="1">
        <f t="array" aca="1" ref="AD61" ca="1">IFERROR(INDIRECT("Data"&amp;"!"&amp;ADDRESS(MATCH($V$1,Data!$A:$A,0)+3+$U61,MATCH(AD$1,Data!$2:$2,0)+3,4)),"")</f>
        <v/>
      </c>
      <c r="AE61" s="5" t="str" cm="1">
        <f t="array" aca="1" ref="AE61" ca="1">IFERROR(INDIRECT("Data"&amp;"!"&amp;ADDRESS(MATCH($V$1,Data!$A:$A,0)+3+$U61,MATCH(AE$1,Data!$2:$2,0)+3,4)),"")</f>
        <v/>
      </c>
      <c r="AF61" s="5" t="str" cm="1">
        <f t="array" aca="1" ref="AF61" ca="1">IFERROR(INDIRECT("Data"&amp;"!"&amp;ADDRESS(MATCH($V$1,Data!$A:$A,0)+3+$U61,MATCH(AF$1,Data!$2:$2,0)+3,4)),"")</f>
        <v/>
      </c>
      <c r="AG61" s="5" t="str" cm="1">
        <f t="array" aca="1" ref="AG61" ca="1">IFERROR(INDIRECT("Data"&amp;"!"&amp;ADDRESS(MATCH($V$1,Data!$A:$A,0)+3+$U61,MATCH(AG$1,Data!$2:$2,0)+3,4)),"")</f>
        <v/>
      </c>
    </row>
    <row r="62" spans="2:33" x14ac:dyDescent="0.25">
      <c r="B62" s="22" t="str" cm="1">
        <f t="array" aca="1" ref="B62" ca="1">IFERROR(INDIRECT("List"&amp;"!"&amp;ADDRESS(MATCH($A62,List!$B:$B,0),MATCH($B$1,List!$1:$1,0),4)),"")</f>
        <v/>
      </c>
      <c r="C62" s="22" t="str" cm="1">
        <f t="array" aca="1" ref="C62" ca="1">IFERROR(INDIRECT("List"&amp;"!"&amp;ADDRESS(MATCH($A62,List!$B:$B,0),MATCH($C$1,List!$1:$1,0),4)),"")</f>
        <v/>
      </c>
      <c r="D62" s="22" t="str" cm="1">
        <f t="array" aca="1" ref="D62" ca="1">IFERROR(INDIRECT("List"&amp;"!"&amp;ADDRESS(MATCH($A62,List!$B:$B,0),MATCH($D$1,List!$1:$1,0),4)),"")</f>
        <v/>
      </c>
      <c r="E62" s="22" t="str" cm="1">
        <f t="array" aca="1" ref="E62" ca="1">IFERROR(INDIRECT("List"&amp;"!"&amp;ADDRESS(MATCH($A62,List!$B:$B,0),MATCH($E$1,List!$1:$1,0),4)),"")</f>
        <v/>
      </c>
      <c r="F62" s="27" t="str" cm="1">
        <f t="array" aca="1" ref="F62" ca="1">IFERROR(INDIRECT("List"&amp;"!"&amp;ADDRESS(MATCH($A62,List!$B:$B,0),MATCH($F$1,List!$1:$1,0),4)),"")</f>
        <v/>
      </c>
      <c r="G62" s="31" t="str" cm="1">
        <f t="array" aca="1" ref="G62" ca="1">IFERROR(INDIRECT("Data"&amp;"!"&amp;ADDRESS(MATCH($G$1,Data!$A$1:$A$20,0),MATCH($A62,Data!$2:$2,0)+3,4)),"")</f>
        <v/>
      </c>
      <c r="H62" s="31" t="str" cm="1">
        <f t="array" aca="1" ref="H62" ca="1">IFERROR(INDIRECT("Data"&amp;"!"&amp;ADDRESS(MATCH($G$1,Data!$A$1:$A$20,0),MATCH($A62,Data!$2:$2,0),4)),"")</f>
        <v/>
      </c>
      <c r="I62" s="31" t="str" cm="1">
        <f t="array" aca="1" ref="I62" ca="1">IFERROR(INDIRECT("Data"&amp;"!"&amp;ADDRESS(MATCH($G$1,Data!$A$1:$A$20,0),MATCH($A62,Data!$2:$2,0)+1,4)),"")</f>
        <v/>
      </c>
      <c r="J62" s="31" t="str" cm="1">
        <f t="array" aca="1" ref="J62" ca="1">IFERROR(INDIRECT("Data"&amp;"!"&amp;ADDRESS(MATCH($G$1,Data!$A$1:$A$20,0),MATCH($A62,Data!$2:$2,0)+2,4)),"")</f>
        <v/>
      </c>
      <c r="K62" s="34" t="str" cm="1">
        <f t="array" aca="1" ref="K62" ca="1">IFERROR(INDIRECT("Data"&amp;"!"&amp;ADDRESS(MATCH($K$1,Data!$A$1:$A$20,0),MATCH($A62,Data!$2:$2,0)+2,4)),"")</f>
        <v/>
      </c>
      <c r="U62" s="7">
        <v>59</v>
      </c>
      <c r="V62" s="7">
        <v>0</v>
      </c>
      <c r="W62" s="5">
        <v>-65</v>
      </c>
      <c r="X62" s="7" t="str" cm="1">
        <f t="array" aca="1" ref="X62" ca="1">IFERROR(INDIRECT("Data"&amp;"!"&amp;ADDRESS(MATCH($V$1,Data!$A:$A,0)+3+$U62,MATCH(X$1,Data!$2:$2,0)+3,4)),"")</f>
        <v/>
      </c>
      <c r="Y62" s="5" t="str" cm="1">
        <f t="array" aca="1" ref="Y62" ca="1">IFERROR(INDIRECT("Data"&amp;"!"&amp;ADDRESS(MATCH($V$1,Data!$A:$A,0)+3+$U62,MATCH(Y$1,Data!$2:$2,0)+3,4)),"")</f>
        <v/>
      </c>
      <c r="Z62" s="5" t="str" cm="1">
        <f t="array" aca="1" ref="Z62" ca="1">IFERROR(INDIRECT("Data"&amp;"!"&amp;ADDRESS(MATCH($V$1,Data!$A:$A,0)+3+$U62,MATCH(Z$1,Data!$2:$2,0)+3,4)),"")</f>
        <v/>
      </c>
      <c r="AA62" s="5" t="str" cm="1">
        <f t="array" aca="1" ref="AA62" ca="1">IFERROR(INDIRECT("Data"&amp;"!"&amp;ADDRESS(MATCH($V$1,Data!$A:$A,0)+3+$U62,MATCH(AA$1,Data!$2:$2,0)+3,4)),"")</f>
        <v/>
      </c>
      <c r="AB62" s="5" t="str" cm="1">
        <f t="array" aca="1" ref="AB62" ca="1">IFERROR(INDIRECT("Data"&amp;"!"&amp;ADDRESS(MATCH($V$1,Data!$A:$A,0)+3+$U62,MATCH(AB$1,Data!$2:$2,0)+3,4)),"")</f>
        <v/>
      </c>
      <c r="AC62" s="5" t="str" cm="1">
        <f t="array" aca="1" ref="AC62" ca="1">IFERROR(INDIRECT("Data"&amp;"!"&amp;ADDRESS(MATCH($V$1,Data!$A:$A,0)+3+$U62,MATCH(AC$1,Data!$2:$2,0)+3,4)),"")</f>
        <v/>
      </c>
      <c r="AD62" s="5" t="str" cm="1">
        <f t="array" aca="1" ref="AD62" ca="1">IFERROR(INDIRECT("Data"&amp;"!"&amp;ADDRESS(MATCH($V$1,Data!$A:$A,0)+3+$U62,MATCH(AD$1,Data!$2:$2,0)+3,4)),"")</f>
        <v/>
      </c>
      <c r="AE62" s="5" t="str" cm="1">
        <f t="array" aca="1" ref="AE62" ca="1">IFERROR(INDIRECT("Data"&amp;"!"&amp;ADDRESS(MATCH($V$1,Data!$A:$A,0)+3+$U62,MATCH(AE$1,Data!$2:$2,0)+3,4)),"")</f>
        <v/>
      </c>
      <c r="AF62" s="5" t="str" cm="1">
        <f t="array" aca="1" ref="AF62" ca="1">IFERROR(INDIRECT("Data"&amp;"!"&amp;ADDRESS(MATCH($V$1,Data!$A:$A,0)+3+$U62,MATCH(AF$1,Data!$2:$2,0)+3,4)),"")</f>
        <v/>
      </c>
      <c r="AG62" s="5" t="str" cm="1">
        <f t="array" aca="1" ref="AG62" ca="1">IFERROR(INDIRECT("Data"&amp;"!"&amp;ADDRESS(MATCH($V$1,Data!$A:$A,0)+3+$U62,MATCH(AG$1,Data!$2:$2,0)+3,4)),"")</f>
        <v/>
      </c>
    </row>
    <row r="63" spans="2:33" x14ac:dyDescent="0.25">
      <c r="B63" s="22" t="str" cm="1">
        <f t="array" aca="1" ref="B63" ca="1">IFERROR(INDIRECT("List"&amp;"!"&amp;ADDRESS(MATCH($A63,List!$B:$B,0),MATCH($B$1,List!$1:$1,0),4)),"")</f>
        <v/>
      </c>
      <c r="C63" s="22" t="str" cm="1">
        <f t="array" aca="1" ref="C63" ca="1">IFERROR(INDIRECT("List"&amp;"!"&amp;ADDRESS(MATCH($A63,List!$B:$B,0),MATCH($C$1,List!$1:$1,0),4)),"")</f>
        <v/>
      </c>
      <c r="D63" s="22" t="str" cm="1">
        <f t="array" aca="1" ref="D63" ca="1">IFERROR(INDIRECT("List"&amp;"!"&amp;ADDRESS(MATCH($A63,List!$B:$B,0),MATCH($D$1,List!$1:$1,0),4)),"")</f>
        <v/>
      </c>
      <c r="E63" s="22" t="str" cm="1">
        <f t="array" aca="1" ref="E63" ca="1">IFERROR(INDIRECT("List"&amp;"!"&amp;ADDRESS(MATCH($A63,List!$B:$B,0),MATCH($E$1,List!$1:$1,0),4)),"")</f>
        <v/>
      </c>
      <c r="F63" s="27" t="str" cm="1">
        <f t="array" aca="1" ref="F63" ca="1">IFERROR(INDIRECT("List"&amp;"!"&amp;ADDRESS(MATCH($A63,List!$B:$B,0),MATCH($F$1,List!$1:$1,0),4)),"")</f>
        <v/>
      </c>
      <c r="G63" s="31" t="str" cm="1">
        <f t="array" aca="1" ref="G63" ca="1">IFERROR(INDIRECT("Data"&amp;"!"&amp;ADDRESS(MATCH($G$1,Data!$A$1:$A$20,0),MATCH($A63,Data!$2:$2,0)+3,4)),"")</f>
        <v/>
      </c>
      <c r="H63" s="31" t="str" cm="1">
        <f t="array" aca="1" ref="H63" ca="1">IFERROR(INDIRECT("Data"&amp;"!"&amp;ADDRESS(MATCH($G$1,Data!$A$1:$A$20,0),MATCH($A63,Data!$2:$2,0),4)),"")</f>
        <v/>
      </c>
      <c r="I63" s="31" t="str" cm="1">
        <f t="array" aca="1" ref="I63" ca="1">IFERROR(INDIRECT("Data"&amp;"!"&amp;ADDRESS(MATCH($G$1,Data!$A$1:$A$20,0),MATCH($A63,Data!$2:$2,0)+1,4)),"")</f>
        <v/>
      </c>
      <c r="J63" s="31" t="str" cm="1">
        <f t="array" aca="1" ref="J63" ca="1">IFERROR(INDIRECT("Data"&amp;"!"&amp;ADDRESS(MATCH($G$1,Data!$A$1:$A$20,0),MATCH($A63,Data!$2:$2,0)+2,4)),"")</f>
        <v/>
      </c>
      <c r="K63" s="34" t="str" cm="1">
        <f t="array" aca="1" ref="K63" ca="1">IFERROR(INDIRECT("Data"&amp;"!"&amp;ADDRESS(MATCH($K$1,Data!$A$1:$A$20,0),MATCH($A63,Data!$2:$2,0)+2,4)),"")</f>
        <v/>
      </c>
      <c r="U63" s="7">
        <v>60</v>
      </c>
      <c r="V63" s="7">
        <v>0</v>
      </c>
      <c r="W63" s="5">
        <v>-60</v>
      </c>
      <c r="X63" s="7" t="str" cm="1">
        <f t="array" aca="1" ref="X63" ca="1">IFERROR(INDIRECT("Data"&amp;"!"&amp;ADDRESS(MATCH($V$1,Data!$A:$A,0)+3+$U63,MATCH(X$1,Data!$2:$2,0)+3,4)),"")</f>
        <v/>
      </c>
      <c r="Y63" s="5" t="str" cm="1">
        <f t="array" aca="1" ref="Y63" ca="1">IFERROR(INDIRECT("Data"&amp;"!"&amp;ADDRESS(MATCH($V$1,Data!$A:$A,0)+3+$U63,MATCH(Y$1,Data!$2:$2,0)+3,4)),"")</f>
        <v/>
      </c>
      <c r="Z63" s="5" t="str" cm="1">
        <f t="array" aca="1" ref="Z63" ca="1">IFERROR(INDIRECT("Data"&amp;"!"&amp;ADDRESS(MATCH($V$1,Data!$A:$A,0)+3+$U63,MATCH(Z$1,Data!$2:$2,0)+3,4)),"")</f>
        <v/>
      </c>
      <c r="AA63" s="5" t="str" cm="1">
        <f t="array" aca="1" ref="AA63" ca="1">IFERROR(INDIRECT("Data"&amp;"!"&amp;ADDRESS(MATCH($V$1,Data!$A:$A,0)+3+$U63,MATCH(AA$1,Data!$2:$2,0)+3,4)),"")</f>
        <v/>
      </c>
      <c r="AB63" s="5" t="str" cm="1">
        <f t="array" aca="1" ref="AB63" ca="1">IFERROR(INDIRECT("Data"&amp;"!"&amp;ADDRESS(MATCH($V$1,Data!$A:$A,0)+3+$U63,MATCH(AB$1,Data!$2:$2,0)+3,4)),"")</f>
        <v/>
      </c>
      <c r="AC63" s="5" t="str" cm="1">
        <f t="array" aca="1" ref="AC63" ca="1">IFERROR(INDIRECT("Data"&amp;"!"&amp;ADDRESS(MATCH($V$1,Data!$A:$A,0)+3+$U63,MATCH(AC$1,Data!$2:$2,0)+3,4)),"")</f>
        <v/>
      </c>
      <c r="AD63" s="5" t="str" cm="1">
        <f t="array" aca="1" ref="AD63" ca="1">IFERROR(INDIRECT("Data"&amp;"!"&amp;ADDRESS(MATCH($V$1,Data!$A:$A,0)+3+$U63,MATCH(AD$1,Data!$2:$2,0)+3,4)),"")</f>
        <v/>
      </c>
      <c r="AE63" s="5" t="str" cm="1">
        <f t="array" aca="1" ref="AE63" ca="1">IFERROR(INDIRECT("Data"&amp;"!"&amp;ADDRESS(MATCH($V$1,Data!$A:$A,0)+3+$U63,MATCH(AE$1,Data!$2:$2,0)+3,4)),"")</f>
        <v/>
      </c>
      <c r="AF63" s="5" t="str" cm="1">
        <f t="array" aca="1" ref="AF63" ca="1">IFERROR(INDIRECT("Data"&amp;"!"&amp;ADDRESS(MATCH($V$1,Data!$A:$A,0)+3+$U63,MATCH(AF$1,Data!$2:$2,0)+3,4)),"")</f>
        <v/>
      </c>
      <c r="AG63" s="5" t="str" cm="1">
        <f t="array" aca="1" ref="AG63" ca="1">IFERROR(INDIRECT("Data"&amp;"!"&amp;ADDRESS(MATCH($V$1,Data!$A:$A,0)+3+$U63,MATCH(AG$1,Data!$2:$2,0)+3,4)),"")</f>
        <v/>
      </c>
    </row>
    <row r="64" spans="2:33" x14ac:dyDescent="0.25">
      <c r="B64" s="22" t="str" cm="1">
        <f t="array" aca="1" ref="B64" ca="1">IFERROR(INDIRECT("List"&amp;"!"&amp;ADDRESS(MATCH($A64,List!$B:$B,0),MATCH($B$1,List!$1:$1,0),4)),"")</f>
        <v/>
      </c>
      <c r="C64" s="22" t="str" cm="1">
        <f t="array" aca="1" ref="C64" ca="1">IFERROR(INDIRECT("List"&amp;"!"&amp;ADDRESS(MATCH($A64,List!$B:$B,0),MATCH($C$1,List!$1:$1,0),4)),"")</f>
        <v/>
      </c>
      <c r="D64" s="22" t="str" cm="1">
        <f t="array" aca="1" ref="D64" ca="1">IFERROR(INDIRECT("List"&amp;"!"&amp;ADDRESS(MATCH($A64,List!$B:$B,0),MATCH($D$1,List!$1:$1,0),4)),"")</f>
        <v/>
      </c>
      <c r="E64" s="22" t="str" cm="1">
        <f t="array" aca="1" ref="E64" ca="1">IFERROR(INDIRECT("List"&amp;"!"&amp;ADDRESS(MATCH($A64,List!$B:$B,0),MATCH($E$1,List!$1:$1,0),4)),"")</f>
        <v/>
      </c>
      <c r="F64" s="27" t="str" cm="1">
        <f t="array" aca="1" ref="F64" ca="1">IFERROR(INDIRECT("List"&amp;"!"&amp;ADDRESS(MATCH($A64,List!$B:$B,0),MATCH($F$1,List!$1:$1,0),4)),"")</f>
        <v/>
      </c>
      <c r="G64" s="31" t="str" cm="1">
        <f t="array" aca="1" ref="G64" ca="1">IFERROR(INDIRECT("Data"&amp;"!"&amp;ADDRESS(MATCH($G$1,Data!$A$1:$A$20,0),MATCH($A64,Data!$2:$2,0)+3,4)),"")</f>
        <v/>
      </c>
      <c r="H64" s="31" t="str" cm="1">
        <f t="array" aca="1" ref="H64" ca="1">IFERROR(INDIRECT("Data"&amp;"!"&amp;ADDRESS(MATCH($G$1,Data!$A$1:$A$20,0),MATCH($A64,Data!$2:$2,0),4)),"")</f>
        <v/>
      </c>
      <c r="I64" s="31" t="str" cm="1">
        <f t="array" aca="1" ref="I64" ca="1">IFERROR(INDIRECT("Data"&amp;"!"&amp;ADDRESS(MATCH($G$1,Data!$A$1:$A$20,0),MATCH($A64,Data!$2:$2,0)+1,4)),"")</f>
        <v/>
      </c>
      <c r="J64" s="31" t="str" cm="1">
        <f t="array" aca="1" ref="J64" ca="1">IFERROR(INDIRECT("Data"&amp;"!"&amp;ADDRESS(MATCH($G$1,Data!$A$1:$A$20,0),MATCH($A64,Data!$2:$2,0)+2,4)),"")</f>
        <v/>
      </c>
      <c r="K64" s="34" t="str" cm="1">
        <f t="array" aca="1" ref="K64" ca="1">IFERROR(INDIRECT("Data"&amp;"!"&amp;ADDRESS(MATCH($K$1,Data!$A$1:$A$20,0),MATCH($A64,Data!$2:$2,0)+2,4)),"")</f>
        <v/>
      </c>
      <c r="U64" s="7">
        <v>61</v>
      </c>
      <c r="V64" s="7">
        <v>0</v>
      </c>
      <c r="W64" s="5">
        <v>-55</v>
      </c>
      <c r="X64" s="7" t="str" cm="1">
        <f t="array" aca="1" ref="X64" ca="1">IFERROR(INDIRECT("Data"&amp;"!"&amp;ADDRESS(MATCH($V$1,Data!$A:$A,0)+3+$U64,MATCH(X$1,Data!$2:$2,0)+3,4)),"")</f>
        <v/>
      </c>
      <c r="Y64" s="5" t="str" cm="1">
        <f t="array" aca="1" ref="Y64" ca="1">IFERROR(INDIRECT("Data"&amp;"!"&amp;ADDRESS(MATCH($V$1,Data!$A:$A,0)+3+$U64,MATCH(Y$1,Data!$2:$2,0)+3,4)),"")</f>
        <v/>
      </c>
      <c r="Z64" s="5" t="str" cm="1">
        <f t="array" aca="1" ref="Z64" ca="1">IFERROR(INDIRECT("Data"&amp;"!"&amp;ADDRESS(MATCH($V$1,Data!$A:$A,0)+3+$U64,MATCH(Z$1,Data!$2:$2,0)+3,4)),"")</f>
        <v/>
      </c>
      <c r="AA64" s="5" t="str" cm="1">
        <f t="array" aca="1" ref="AA64" ca="1">IFERROR(INDIRECT("Data"&amp;"!"&amp;ADDRESS(MATCH($V$1,Data!$A:$A,0)+3+$U64,MATCH(AA$1,Data!$2:$2,0)+3,4)),"")</f>
        <v/>
      </c>
      <c r="AB64" s="5" t="str" cm="1">
        <f t="array" aca="1" ref="AB64" ca="1">IFERROR(INDIRECT("Data"&amp;"!"&amp;ADDRESS(MATCH($V$1,Data!$A:$A,0)+3+$U64,MATCH(AB$1,Data!$2:$2,0)+3,4)),"")</f>
        <v/>
      </c>
      <c r="AC64" s="5" t="str" cm="1">
        <f t="array" aca="1" ref="AC64" ca="1">IFERROR(INDIRECT("Data"&amp;"!"&amp;ADDRESS(MATCH($V$1,Data!$A:$A,0)+3+$U64,MATCH(AC$1,Data!$2:$2,0)+3,4)),"")</f>
        <v/>
      </c>
      <c r="AD64" s="5" t="str" cm="1">
        <f t="array" aca="1" ref="AD64" ca="1">IFERROR(INDIRECT("Data"&amp;"!"&amp;ADDRESS(MATCH($V$1,Data!$A:$A,0)+3+$U64,MATCH(AD$1,Data!$2:$2,0)+3,4)),"")</f>
        <v/>
      </c>
      <c r="AE64" s="5" t="str" cm="1">
        <f t="array" aca="1" ref="AE64" ca="1">IFERROR(INDIRECT("Data"&amp;"!"&amp;ADDRESS(MATCH($V$1,Data!$A:$A,0)+3+$U64,MATCH(AE$1,Data!$2:$2,0)+3,4)),"")</f>
        <v/>
      </c>
      <c r="AF64" s="5" t="str" cm="1">
        <f t="array" aca="1" ref="AF64" ca="1">IFERROR(INDIRECT("Data"&amp;"!"&amp;ADDRESS(MATCH($V$1,Data!$A:$A,0)+3+$U64,MATCH(AF$1,Data!$2:$2,0)+3,4)),"")</f>
        <v/>
      </c>
      <c r="AG64" s="5" t="str" cm="1">
        <f t="array" aca="1" ref="AG64" ca="1">IFERROR(INDIRECT("Data"&amp;"!"&amp;ADDRESS(MATCH($V$1,Data!$A:$A,0)+3+$U64,MATCH(AG$1,Data!$2:$2,0)+3,4)),"")</f>
        <v/>
      </c>
    </row>
    <row r="65" spans="2:33" x14ac:dyDescent="0.25">
      <c r="B65" s="22" t="str" cm="1">
        <f t="array" aca="1" ref="B65" ca="1">IFERROR(INDIRECT("List"&amp;"!"&amp;ADDRESS(MATCH($A65,List!$B:$B,0),MATCH($B$1,List!$1:$1,0),4)),"")</f>
        <v/>
      </c>
      <c r="C65" s="22" t="str" cm="1">
        <f t="array" aca="1" ref="C65" ca="1">IFERROR(INDIRECT("List"&amp;"!"&amp;ADDRESS(MATCH($A65,List!$B:$B,0),MATCH($C$1,List!$1:$1,0),4)),"")</f>
        <v/>
      </c>
      <c r="D65" s="22" t="str" cm="1">
        <f t="array" aca="1" ref="D65" ca="1">IFERROR(INDIRECT("List"&amp;"!"&amp;ADDRESS(MATCH($A65,List!$B:$B,0),MATCH($D$1,List!$1:$1,0),4)),"")</f>
        <v/>
      </c>
      <c r="E65" s="22" t="str" cm="1">
        <f t="array" aca="1" ref="E65" ca="1">IFERROR(INDIRECT("List"&amp;"!"&amp;ADDRESS(MATCH($A65,List!$B:$B,0),MATCH($E$1,List!$1:$1,0),4)),"")</f>
        <v/>
      </c>
      <c r="F65" s="27" t="str" cm="1">
        <f t="array" aca="1" ref="F65" ca="1">IFERROR(INDIRECT("List"&amp;"!"&amp;ADDRESS(MATCH($A65,List!$B:$B,0),MATCH($F$1,List!$1:$1,0),4)),"")</f>
        <v/>
      </c>
      <c r="G65" s="31" t="str" cm="1">
        <f t="array" aca="1" ref="G65" ca="1">IFERROR(INDIRECT("Data"&amp;"!"&amp;ADDRESS(MATCH($G$1,Data!$A$1:$A$20,0),MATCH($A65,Data!$2:$2,0)+3,4)),"")</f>
        <v/>
      </c>
      <c r="H65" s="31" t="str" cm="1">
        <f t="array" aca="1" ref="H65" ca="1">IFERROR(INDIRECT("Data"&amp;"!"&amp;ADDRESS(MATCH($G$1,Data!$A$1:$A$20,0),MATCH($A65,Data!$2:$2,0),4)),"")</f>
        <v/>
      </c>
      <c r="I65" s="31" t="str" cm="1">
        <f t="array" aca="1" ref="I65" ca="1">IFERROR(INDIRECT("Data"&amp;"!"&amp;ADDRESS(MATCH($G$1,Data!$A$1:$A$20,0),MATCH($A65,Data!$2:$2,0)+1,4)),"")</f>
        <v/>
      </c>
      <c r="J65" s="31" t="str" cm="1">
        <f t="array" aca="1" ref="J65" ca="1">IFERROR(INDIRECT("Data"&amp;"!"&amp;ADDRESS(MATCH($G$1,Data!$A$1:$A$20,0),MATCH($A65,Data!$2:$2,0)+2,4)),"")</f>
        <v/>
      </c>
      <c r="K65" s="34" t="str" cm="1">
        <f t="array" aca="1" ref="K65" ca="1">IFERROR(INDIRECT("Data"&amp;"!"&amp;ADDRESS(MATCH($K$1,Data!$A$1:$A$20,0),MATCH($A65,Data!$2:$2,0)+2,4)),"")</f>
        <v/>
      </c>
      <c r="U65" s="7">
        <v>62</v>
      </c>
      <c r="V65" s="7">
        <v>0</v>
      </c>
      <c r="W65" s="5">
        <v>-50</v>
      </c>
      <c r="X65" s="7" t="str" cm="1">
        <f t="array" aca="1" ref="X65" ca="1">IFERROR(INDIRECT("Data"&amp;"!"&amp;ADDRESS(MATCH($V$1,Data!$A:$A,0)+3+$U65,MATCH(X$1,Data!$2:$2,0)+3,4)),"")</f>
        <v/>
      </c>
      <c r="Y65" s="5" t="str" cm="1">
        <f t="array" aca="1" ref="Y65" ca="1">IFERROR(INDIRECT("Data"&amp;"!"&amp;ADDRESS(MATCH($V$1,Data!$A:$A,0)+3+$U65,MATCH(Y$1,Data!$2:$2,0)+3,4)),"")</f>
        <v/>
      </c>
      <c r="Z65" s="5" t="str" cm="1">
        <f t="array" aca="1" ref="Z65" ca="1">IFERROR(INDIRECT("Data"&amp;"!"&amp;ADDRESS(MATCH($V$1,Data!$A:$A,0)+3+$U65,MATCH(Z$1,Data!$2:$2,0)+3,4)),"")</f>
        <v/>
      </c>
      <c r="AA65" s="5" t="str" cm="1">
        <f t="array" aca="1" ref="AA65" ca="1">IFERROR(INDIRECT("Data"&amp;"!"&amp;ADDRESS(MATCH($V$1,Data!$A:$A,0)+3+$U65,MATCH(AA$1,Data!$2:$2,0)+3,4)),"")</f>
        <v/>
      </c>
      <c r="AB65" s="5" t="str" cm="1">
        <f t="array" aca="1" ref="AB65" ca="1">IFERROR(INDIRECT("Data"&amp;"!"&amp;ADDRESS(MATCH($V$1,Data!$A:$A,0)+3+$U65,MATCH(AB$1,Data!$2:$2,0)+3,4)),"")</f>
        <v/>
      </c>
      <c r="AC65" s="5" t="str" cm="1">
        <f t="array" aca="1" ref="AC65" ca="1">IFERROR(INDIRECT("Data"&amp;"!"&amp;ADDRESS(MATCH($V$1,Data!$A:$A,0)+3+$U65,MATCH(AC$1,Data!$2:$2,0)+3,4)),"")</f>
        <v/>
      </c>
      <c r="AD65" s="5" t="str" cm="1">
        <f t="array" aca="1" ref="AD65" ca="1">IFERROR(INDIRECT("Data"&amp;"!"&amp;ADDRESS(MATCH($V$1,Data!$A:$A,0)+3+$U65,MATCH(AD$1,Data!$2:$2,0)+3,4)),"")</f>
        <v/>
      </c>
      <c r="AE65" s="5" t="str" cm="1">
        <f t="array" aca="1" ref="AE65" ca="1">IFERROR(INDIRECT("Data"&amp;"!"&amp;ADDRESS(MATCH($V$1,Data!$A:$A,0)+3+$U65,MATCH(AE$1,Data!$2:$2,0)+3,4)),"")</f>
        <v/>
      </c>
      <c r="AF65" s="5" t="str" cm="1">
        <f t="array" aca="1" ref="AF65" ca="1">IFERROR(INDIRECT("Data"&amp;"!"&amp;ADDRESS(MATCH($V$1,Data!$A:$A,0)+3+$U65,MATCH(AF$1,Data!$2:$2,0)+3,4)),"")</f>
        <v/>
      </c>
      <c r="AG65" s="5" t="str" cm="1">
        <f t="array" aca="1" ref="AG65" ca="1">IFERROR(INDIRECT("Data"&amp;"!"&amp;ADDRESS(MATCH($V$1,Data!$A:$A,0)+3+$U65,MATCH(AG$1,Data!$2:$2,0)+3,4)),"")</f>
        <v/>
      </c>
    </row>
    <row r="66" spans="2:33" x14ac:dyDescent="0.25">
      <c r="B66" s="22" t="str" cm="1">
        <f t="array" aca="1" ref="B66" ca="1">IFERROR(INDIRECT("List"&amp;"!"&amp;ADDRESS(MATCH($A66,List!$B:$B,0),MATCH($B$1,List!$1:$1,0),4)),"")</f>
        <v/>
      </c>
      <c r="C66" s="22" t="str" cm="1">
        <f t="array" aca="1" ref="C66" ca="1">IFERROR(INDIRECT("List"&amp;"!"&amp;ADDRESS(MATCH($A66,List!$B:$B,0),MATCH($C$1,List!$1:$1,0),4)),"")</f>
        <v/>
      </c>
      <c r="D66" s="22" t="str" cm="1">
        <f t="array" aca="1" ref="D66" ca="1">IFERROR(INDIRECT("List"&amp;"!"&amp;ADDRESS(MATCH($A66,List!$B:$B,0),MATCH($D$1,List!$1:$1,0),4)),"")</f>
        <v/>
      </c>
      <c r="E66" s="22" t="str" cm="1">
        <f t="array" aca="1" ref="E66" ca="1">IFERROR(INDIRECT("List"&amp;"!"&amp;ADDRESS(MATCH($A66,List!$B:$B,0),MATCH($E$1,List!$1:$1,0),4)),"")</f>
        <v/>
      </c>
      <c r="F66" s="27" t="str" cm="1">
        <f t="array" aca="1" ref="F66" ca="1">IFERROR(INDIRECT("List"&amp;"!"&amp;ADDRESS(MATCH($A66,List!$B:$B,0),MATCH($F$1,List!$1:$1,0),4)),"")</f>
        <v/>
      </c>
      <c r="G66" s="31" t="str" cm="1">
        <f t="array" aca="1" ref="G66" ca="1">IFERROR(INDIRECT("Data"&amp;"!"&amp;ADDRESS(MATCH($G$1,Data!$A$1:$A$20,0),MATCH($A66,Data!$2:$2,0)+3,4)),"")</f>
        <v/>
      </c>
      <c r="H66" s="31" t="str" cm="1">
        <f t="array" aca="1" ref="H66" ca="1">IFERROR(INDIRECT("Data"&amp;"!"&amp;ADDRESS(MATCH($G$1,Data!$A$1:$A$20,0),MATCH($A66,Data!$2:$2,0),4)),"")</f>
        <v/>
      </c>
      <c r="I66" s="31" t="str" cm="1">
        <f t="array" aca="1" ref="I66" ca="1">IFERROR(INDIRECT("Data"&amp;"!"&amp;ADDRESS(MATCH($G$1,Data!$A$1:$A$20,0),MATCH($A66,Data!$2:$2,0)+1,4)),"")</f>
        <v/>
      </c>
      <c r="J66" s="31" t="str" cm="1">
        <f t="array" aca="1" ref="J66" ca="1">IFERROR(INDIRECT("Data"&amp;"!"&amp;ADDRESS(MATCH($G$1,Data!$A$1:$A$20,0),MATCH($A66,Data!$2:$2,0)+2,4)),"")</f>
        <v/>
      </c>
      <c r="K66" s="34" t="str" cm="1">
        <f t="array" aca="1" ref="K66" ca="1">IFERROR(INDIRECT("Data"&amp;"!"&amp;ADDRESS(MATCH($K$1,Data!$A$1:$A$20,0),MATCH($A66,Data!$2:$2,0)+2,4)),"")</f>
        <v/>
      </c>
      <c r="U66" s="7">
        <v>63</v>
      </c>
      <c r="V66" s="7">
        <v>0</v>
      </c>
      <c r="W66" s="5">
        <v>-45</v>
      </c>
      <c r="X66" s="7" t="str" cm="1">
        <f t="array" aca="1" ref="X66" ca="1">IFERROR(INDIRECT("Data"&amp;"!"&amp;ADDRESS(MATCH($V$1,Data!$A:$A,0)+3+$U66,MATCH(X$1,Data!$2:$2,0)+3,4)),"")</f>
        <v/>
      </c>
      <c r="Y66" s="5" t="str" cm="1">
        <f t="array" aca="1" ref="Y66" ca="1">IFERROR(INDIRECT("Data"&amp;"!"&amp;ADDRESS(MATCH($V$1,Data!$A:$A,0)+3+$U66,MATCH(Y$1,Data!$2:$2,0)+3,4)),"")</f>
        <v/>
      </c>
      <c r="Z66" s="5" t="str" cm="1">
        <f t="array" aca="1" ref="Z66" ca="1">IFERROR(INDIRECT("Data"&amp;"!"&amp;ADDRESS(MATCH($V$1,Data!$A:$A,0)+3+$U66,MATCH(Z$1,Data!$2:$2,0)+3,4)),"")</f>
        <v/>
      </c>
      <c r="AA66" s="5" t="str" cm="1">
        <f t="array" aca="1" ref="AA66" ca="1">IFERROR(INDIRECT("Data"&amp;"!"&amp;ADDRESS(MATCH($V$1,Data!$A:$A,0)+3+$U66,MATCH(AA$1,Data!$2:$2,0)+3,4)),"")</f>
        <v/>
      </c>
      <c r="AB66" s="5" t="str" cm="1">
        <f t="array" aca="1" ref="AB66" ca="1">IFERROR(INDIRECT("Data"&amp;"!"&amp;ADDRESS(MATCH($V$1,Data!$A:$A,0)+3+$U66,MATCH(AB$1,Data!$2:$2,0)+3,4)),"")</f>
        <v/>
      </c>
      <c r="AC66" s="5" t="str" cm="1">
        <f t="array" aca="1" ref="AC66" ca="1">IFERROR(INDIRECT("Data"&amp;"!"&amp;ADDRESS(MATCH($V$1,Data!$A:$A,0)+3+$U66,MATCH(AC$1,Data!$2:$2,0)+3,4)),"")</f>
        <v/>
      </c>
      <c r="AD66" s="5" t="str" cm="1">
        <f t="array" aca="1" ref="AD66" ca="1">IFERROR(INDIRECT("Data"&amp;"!"&amp;ADDRESS(MATCH($V$1,Data!$A:$A,0)+3+$U66,MATCH(AD$1,Data!$2:$2,0)+3,4)),"")</f>
        <v/>
      </c>
      <c r="AE66" s="5" t="str" cm="1">
        <f t="array" aca="1" ref="AE66" ca="1">IFERROR(INDIRECT("Data"&amp;"!"&amp;ADDRESS(MATCH($V$1,Data!$A:$A,0)+3+$U66,MATCH(AE$1,Data!$2:$2,0)+3,4)),"")</f>
        <v/>
      </c>
      <c r="AF66" s="5" t="str" cm="1">
        <f t="array" aca="1" ref="AF66" ca="1">IFERROR(INDIRECT("Data"&amp;"!"&amp;ADDRESS(MATCH($V$1,Data!$A:$A,0)+3+$U66,MATCH(AF$1,Data!$2:$2,0)+3,4)),"")</f>
        <v/>
      </c>
      <c r="AG66" s="5" t="str" cm="1">
        <f t="array" aca="1" ref="AG66" ca="1">IFERROR(INDIRECT("Data"&amp;"!"&amp;ADDRESS(MATCH($V$1,Data!$A:$A,0)+3+$U66,MATCH(AG$1,Data!$2:$2,0)+3,4)),"")</f>
        <v/>
      </c>
    </row>
    <row r="67" spans="2:33" x14ac:dyDescent="0.25">
      <c r="B67" s="22" t="str" cm="1">
        <f t="array" aca="1" ref="B67" ca="1">IFERROR(INDIRECT("List"&amp;"!"&amp;ADDRESS(MATCH($A67,List!$B:$B,0),MATCH($B$1,List!$1:$1,0),4)),"")</f>
        <v/>
      </c>
      <c r="C67" s="22" t="str" cm="1">
        <f t="array" aca="1" ref="C67" ca="1">IFERROR(INDIRECT("List"&amp;"!"&amp;ADDRESS(MATCH($A67,List!$B:$B,0),MATCH($C$1,List!$1:$1,0),4)),"")</f>
        <v/>
      </c>
      <c r="D67" s="22" t="str" cm="1">
        <f t="array" aca="1" ref="D67" ca="1">IFERROR(INDIRECT("List"&amp;"!"&amp;ADDRESS(MATCH($A67,List!$B:$B,0),MATCH($D$1,List!$1:$1,0),4)),"")</f>
        <v/>
      </c>
      <c r="E67" s="22" t="str" cm="1">
        <f t="array" aca="1" ref="E67" ca="1">IFERROR(INDIRECT("List"&amp;"!"&amp;ADDRESS(MATCH($A67,List!$B:$B,0),MATCH($E$1,List!$1:$1,0),4)),"")</f>
        <v/>
      </c>
      <c r="F67" s="27" t="str" cm="1">
        <f t="array" aca="1" ref="F67" ca="1">IFERROR(INDIRECT("List"&amp;"!"&amp;ADDRESS(MATCH($A67,List!$B:$B,0),MATCH($F$1,List!$1:$1,0),4)),"")</f>
        <v/>
      </c>
      <c r="G67" s="31" t="str" cm="1">
        <f t="array" aca="1" ref="G67" ca="1">IFERROR(INDIRECT("Data"&amp;"!"&amp;ADDRESS(MATCH($G$1,Data!$A$1:$A$20,0),MATCH($A67,Data!$2:$2,0)+3,4)),"")</f>
        <v/>
      </c>
      <c r="H67" s="31" t="str" cm="1">
        <f t="array" aca="1" ref="H67" ca="1">IFERROR(INDIRECT("Data"&amp;"!"&amp;ADDRESS(MATCH($G$1,Data!$A$1:$A$20,0),MATCH($A67,Data!$2:$2,0),4)),"")</f>
        <v/>
      </c>
      <c r="I67" s="31" t="str" cm="1">
        <f t="array" aca="1" ref="I67" ca="1">IFERROR(INDIRECT("Data"&amp;"!"&amp;ADDRESS(MATCH($G$1,Data!$A$1:$A$20,0),MATCH($A67,Data!$2:$2,0)+1,4)),"")</f>
        <v/>
      </c>
      <c r="J67" s="31" t="str" cm="1">
        <f t="array" aca="1" ref="J67" ca="1">IFERROR(INDIRECT("Data"&amp;"!"&amp;ADDRESS(MATCH($G$1,Data!$A$1:$A$20,0),MATCH($A67,Data!$2:$2,0)+2,4)),"")</f>
        <v/>
      </c>
      <c r="K67" s="34" t="str" cm="1">
        <f t="array" aca="1" ref="K67" ca="1">IFERROR(INDIRECT("Data"&amp;"!"&amp;ADDRESS(MATCH($K$1,Data!$A$1:$A$20,0),MATCH($A67,Data!$2:$2,0)+2,4)),"")</f>
        <v/>
      </c>
      <c r="U67" s="7">
        <v>64</v>
      </c>
      <c r="V67" s="7">
        <v>0</v>
      </c>
      <c r="W67" s="5">
        <v>-40</v>
      </c>
      <c r="X67" s="7" t="str" cm="1">
        <f t="array" aca="1" ref="X67" ca="1">IFERROR(INDIRECT("Data"&amp;"!"&amp;ADDRESS(MATCH($V$1,Data!$A:$A,0)+3+$U67,MATCH(X$1,Data!$2:$2,0)+3,4)),"")</f>
        <v/>
      </c>
      <c r="Y67" s="5" t="str" cm="1">
        <f t="array" aca="1" ref="Y67" ca="1">IFERROR(INDIRECT("Data"&amp;"!"&amp;ADDRESS(MATCH($V$1,Data!$A:$A,0)+3+$U67,MATCH(Y$1,Data!$2:$2,0)+3,4)),"")</f>
        <v/>
      </c>
      <c r="Z67" s="5" t="str" cm="1">
        <f t="array" aca="1" ref="Z67" ca="1">IFERROR(INDIRECT("Data"&amp;"!"&amp;ADDRESS(MATCH($V$1,Data!$A:$A,0)+3+$U67,MATCH(Z$1,Data!$2:$2,0)+3,4)),"")</f>
        <v/>
      </c>
      <c r="AA67" s="5" t="str" cm="1">
        <f t="array" aca="1" ref="AA67" ca="1">IFERROR(INDIRECT("Data"&amp;"!"&amp;ADDRESS(MATCH($V$1,Data!$A:$A,0)+3+$U67,MATCH(AA$1,Data!$2:$2,0)+3,4)),"")</f>
        <v/>
      </c>
      <c r="AB67" s="5" t="str" cm="1">
        <f t="array" aca="1" ref="AB67" ca="1">IFERROR(INDIRECT("Data"&amp;"!"&amp;ADDRESS(MATCH($V$1,Data!$A:$A,0)+3+$U67,MATCH(AB$1,Data!$2:$2,0)+3,4)),"")</f>
        <v/>
      </c>
      <c r="AC67" s="5" t="str" cm="1">
        <f t="array" aca="1" ref="AC67" ca="1">IFERROR(INDIRECT("Data"&amp;"!"&amp;ADDRESS(MATCH($V$1,Data!$A:$A,0)+3+$U67,MATCH(AC$1,Data!$2:$2,0)+3,4)),"")</f>
        <v/>
      </c>
      <c r="AD67" s="5" t="str" cm="1">
        <f t="array" aca="1" ref="AD67" ca="1">IFERROR(INDIRECT("Data"&amp;"!"&amp;ADDRESS(MATCH($V$1,Data!$A:$A,0)+3+$U67,MATCH(AD$1,Data!$2:$2,0)+3,4)),"")</f>
        <v/>
      </c>
      <c r="AE67" s="5" t="str" cm="1">
        <f t="array" aca="1" ref="AE67" ca="1">IFERROR(INDIRECT("Data"&amp;"!"&amp;ADDRESS(MATCH($V$1,Data!$A:$A,0)+3+$U67,MATCH(AE$1,Data!$2:$2,0)+3,4)),"")</f>
        <v/>
      </c>
      <c r="AF67" s="5" t="str" cm="1">
        <f t="array" aca="1" ref="AF67" ca="1">IFERROR(INDIRECT("Data"&amp;"!"&amp;ADDRESS(MATCH($V$1,Data!$A:$A,0)+3+$U67,MATCH(AF$1,Data!$2:$2,0)+3,4)),"")</f>
        <v/>
      </c>
      <c r="AG67" s="5" t="str" cm="1">
        <f t="array" aca="1" ref="AG67" ca="1">IFERROR(INDIRECT("Data"&amp;"!"&amp;ADDRESS(MATCH($V$1,Data!$A:$A,0)+3+$U67,MATCH(AG$1,Data!$2:$2,0)+3,4)),"")</f>
        <v/>
      </c>
    </row>
    <row r="68" spans="2:33" x14ac:dyDescent="0.25">
      <c r="B68" s="22" t="str" cm="1">
        <f t="array" aca="1" ref="B68" ca="1">IFERROR(INDIRECT("List"&amp;"!"&amp;ADDRESS(MATCH($A68,List!$B:$B,0),MATCH($B$1,List!$1:$1,0),4)),"")</f>
        <v/>
      </c>
      <c r="C68" s="22" t="str" cm="1">
        <f t="array" aca="1" ref="C68" ca="1">IFERROR(INDIRECT("List"&amp;"!"&amp;ADDRESS(MATCH($A68,List!$B:$B,0),MATCH($C$1,List!$1:$1,0),4)),"")</f>
        <v/>
      </c>
      <c r="D68" s="22" t="str" cm="1">
        <f t="array" aca="1" ref="D68" ca="1">IFERROR(INDIRECT("List"&amp;"!"&amp;ADDRESS(MATCH($A68,List!$B:$B,0),MATCH($D$1,List!$1:$1,0),4)),"")</f>
        <v/>
      </c>
      <c r="E68" s="22" t="str" cm="1">
        <f t="array" aca="1" ref="E68" ca="1">IFERROR(INDIRECT("List"&amp;"!"&amp;ADDRESS(MATCH($A68,List!$B:$B,0),MATCH($E$1,List!$1:$1,0),4)),"")</f>
        <v/>
      </c>
      <c r="F68" s="27" t="str" cm="1">
        <f t="array" aca="1" ref="F68" ca="1">IFERROR(INDIRECT("List"&amp;"!"&amp;ADDRESS(MATCH($A68,List!$B:$B,0),MATCH($F$1,List!$1:$1,0),4)),"")</f>
        <v/>
      </c>
      <c r="G68" s="31" t="str" cm="1">
        <f t="array" aca="1" ref="G68" ca="1">IFERROR(INDIRECT("Data"&amp;"!"&amp;ADDRESS(MATCH($G$1,Data!$A$1:$A$20,0),MATCH($A68,Data!$2:$2,0)+3,4)),"")</f>
        <v/>
      </c>
      <c r="H68" s="31" t="str" cm="1">
        <f t="array" aca="1" ref="H68" ca="1">IFERROR(INDIRECT("Data"&amp;"!"&amp;ADDRESS(MATCH($G$1,Data!$A$1:$A$20,0),MATCH($A68,Data!$2:$2,0),4)),"")</f>
        <v/>
      </c>
      <c r="I68" s="31" t="str" cm="1">
        <f t="array" aca="1" ref="I68" ca="1">IFERROR(INDIRECT("Data"&amp;"!"&amp;ADDRESS(MATCH($G$1,Data!$A$1:$A$20,0),MATCH($A68,Data!$2:$2,0)+1,4)),"")</f>
        <v/>
      </c>
      <c r="J68" s="31" t="str" cm="1">
        <f t="array" aca="1" ref="J68" ca="1">IFERROR(INDIRECT("Data"&amp;"!"&amp;ADDRESS(MATCH($G$1,Data!$A$1:$A$20,0),MATCH($A68,Data!$2:$2,0)+2,4)),"")</f>
        <v/>
      </c>
      <c r="K68" s="34" t="str" cm="1">
        <f t="array" aca="1" ref="K68" ca="1">IFERROR(INDIRECT("Data"&amp;"!"&amp;ADDRESS(MATCH($K$1,Data!$A$1:$A$20,0),MATCH($A68,Data!$2:$2,0)+2,4)),"")</f>
        <v/>
      </c>
      <c r="U68" s="7">
        <v>65</v>
      </c>
      <c r="V68" s="7">
        <v>0</v>
      </c>
      <c r="W68" s="5">
        <v>-35</v>
      </c>
      <c r="X68" s="7" t="str" cm="1">
        <f t="array" aca="1" ref="X68" ca="1">IFERROR(INDIRECT("Data"&amp;"!"&amp;ADDRESS(MATCH($V$1,Data!$A:$A,0)+3+$U68,MATCH(X$1,Data!$2:$2,0)+3,4)),"")</f>
        <v/>
      </c>
      <c r="Y68" s="5" t="str" cm="1">
        <f t="array" aca="1" ref="Y68" ca="1">IFERROR(INDIRECT("Data"&amp;"!"&amp;ADDRESS(MATCH($V$1,Data!$A:$A,0)+3+$U68,MATCH(Y$1,Data!$2:$2,0)+3,4)),"")</f>
        <v/>
      </c>
      <c r="Z68" s="5" t="str" cm="1">
        <f t="array" aca="1" ref="Z68" ca="1">IFERROR(INDIRECT("Data"&amp;"!"&amp;ADDRESS(MATCH($V$1,Data!$A:$A,0)+3+$U68,MATCH(Z$1,Data!$2:$2,0)+3,4)),"")</f>
        <v/>
      </c>
      <c r="AA68" s="5" t="str" cm="1">
        <f t="array" aca="1" ref="AA68" ca="1">IFERROR(INDIRECT("Data"&amp;"!"&amp;ADDRESS(MATCH($V$1,Data!$A:$A,0)+3+$U68,MATCH(AA$1,Data!$2:$2,0)+3,4)),"")</f>
        <v/>
      </c>
      <c r="AB68" s="5" t="str" cm="1">
        <f t="array" aca="1" ref="AB68" ca="1">IFERROR(INDIRECT("Data"&amp;"!"&amp;ADDRESS(MATCH($V$1,Data!$A:$A,0)+3+$U68,MATCH(AB$1,Data!$2:$2,0)+3,4)),"")</f>
        <v/>
      </c>
      <c r="AC68" s="5" t="str" cm="1">
        <f t="array" aca="1" ref="AC68" ca="1">IFERROR(INDIRECT("Data"&amp;"!"&amp;ADDRESS(MATCH($V$1,Data!$A:$A,0)+3+$U68,MATCH(AC$1,Data!$2:$2,0)+3,4)),"")</f>
        <v/>
      </c>
      <c r="AD68" s="5" t="str" cm="1">
        <f t="array" aca="1" ref="AD68" ca="1">IFERROR(INDIRECT("Data"&amp;"!"&amp;ADDRESS(MATCH($V$1,Data!$A:$A,0)+3+$U68,MATCH(AD$1,Data!$2:$2,0)+3,4)),"")</f>
        <v/>
      </c>
      <c r="AE68" s="5" t="str" cm="1">
        <f t="array" aca="1" ref="AE68" ca="1">IFERROR(INDIRECT("Data"&amp;"!"&amp;ADDRESS(MATCH($V$1,Data!$A:$A,0)+3+$U68,MATCH(AE$1,Data!$2:$2,0)+3,4)),"")</f>
        <v/>
      </c>
      <c r="AF68" s="5" t="str" cm="1">
        <f t="array" aca="1" ref="AF68" ca="1">IFERROR(INDIRECT("Data"&amp;"!"&amp;ADDRESS(MATCH($V$1,Data!$A:$A,0)+3+$U68,MATCH(AF$1,Data!$2:$2,0)+3,4)),"")</f>
        <v/>
      </c>
      <c r="AG68" s="5" t="str" cm="1">
        <f t="array" aca="1" ref="AG68" ca="1">IFERROR(INDIRECT("Data"&amp;"!"&amp;ADDRESS(MATCH($V$1,Data!$A:$A,0)+3+$U68,MATCH(AG$1,Data!$2:$2,0)+3,4)),"")</f>
        <v/>
      </c>
    </row>
    <row r="69" spans="2:33" x14ac:dyDescent="0.25">
      <c r="B69" s="22" t="str" cm="1">
        <f t="array" aca="1" ref="B69" ca="1">IFERROR(INDIRECT("List"&amp;"!"&amp;ADDRESS(MATCH($A69,List!$B:$B,0),MATCH($B$1,List!$1:$1,0),4)),"")</f>
        <v/>
      </c>
      <c r="C69" s="22" t="str" cm="1">
        <f t="array" aca="1" ref="C69" ca="1">IFERROR(INDIRECT("List"&amp;"!"&amp;ADDRESS(MATCH($A69,List!$B:$B,0),MATCH($C$1,List!$1:$1,0),4)),"")</f>
        <v/>
      </c>
      <c r="D69" s="22" t="str" cm="1">
        <f t="array" aca="1" ref="D69" ca="1">IFERROR(INDIRECT("List"&amp;"!"&amp;ADDRESS(MATCH($A69,List!$B:$B,0),MATCH($D$1,List!$1:$1,0),4)),"")</f>
        <v/>
      </c>
      <c r="E69" s="22" t="str" cm="1">
        <f t="array" aca="1" ref="E69" ca="1">IFERROR(INDIRECT("List"&amp;"!"&amp;ADDRESS(MATCH($A69,List!$B:$B,0),MATCH($E$1,List!$1:$1,0),4)),"")</f>
        <v/>
      </c>
      <c r="F69" s="27" t="str" cm="1">
        <f t="array" aca="1" ref="F69" ca="1">IFERROR(INDIRECT("List"&amp;"!"&amp;ADDRESS(MATCH($A69,List!$B:$B,0),MATCH($F$1,List!$1:$1,0),4)),"")</f>
        <v/>
      </c>
      <c r="G69" s="31" t="str" cm="1">
        <f t="array" aca="1" ref="G69" ca="1">IFERROR(INDIRECT("Data"&amp;"!"&amp;ADDRESS(MATCH($G$1,Data!$A$1:$A$20,0),MATCH($A69,Data!$2:$2,0)+3,4)),"")</f>
        <v/>
      </c>
      <c r="H69" s="31" t="str" cm="1">
        <f t="array" aca="1" ref="H69" ca="1">IFERROR(INDIRECT("Data"&amp;"!"&amp;ADDRESS(MATCH($G$1,Data!$A$1:$A$20,0),MATCH($A69,Data!$2:$2,0),4)),"")</f>
        <v/>
      </c>
      <c r="I69" s="31" t="str" cm="1">
        <f t="array" aca="1" ref="I69" ca="1">IFERROR(INDIRECT("Data"&amp;"!"&amp;ADDRESS(MATCH($G$1,Data!$A$1:$A$20,0),MATCH($A69,Data!$2:$2,0)+1,4)),"")</f>
        <v/>
      </c>
      <c r="J69" s="31" t="str" cm="1">
        <f t="array" aca="1" ref="J69" ca="1">IFERROR(INDIRECT("Data"&amp;"!"&amp;ADDRESS(MATCH($G$1,Data!$A$1:$A$20,0),MATCH($A69,Data!$2:$2,0)+2,4)),"")</f>
        <v/>
      </c>
      <c r="K69" s="34" t="str" cm="1">
        <f t="array" aca="1" ref="K69" ca="1">IFERROR(INDIRECT("Data"&amp;"!"&amp;ADDRESS(MATCH($K$1,Data!$A$1:$A$20,0),MATCH($A69,Data!$2:$2,0)+2,4)),"")</f>
        <v/>
      </c>
      <c r="U69" s="7">
        <v>66</v>
      </c>
      <c r="V69" s="7">
        <v>0</v>
      </c>
      <c r="W69" s="5">
        <v>-30</v>
      </c>
      <c r="X69" s="7" t="str" cm="1">
        <f t="array" aca="1" ref="X69" ca="1">IFERROR(INDIRECT("Data"&amp;"!"&amp;ADDRESS(MATCH($V$1,Data!$A:$A,0)+3+$U69,MATCH(X$1,Data!$2:$2,0)+3,4)),"")</f>
        <v/>
      </c>
      <c r="Y69" s="5" t="str" cm="1">
        <f t="array" aca="1" ref="Y69" ca="1">IFERROR(INDIRECT("Data"&amp;"!"&amp;ADDRESS(MATCH($V$1,Data!$A:$A,0)+3+$U69,MATCH(Y$1,Data!$2:$2,0)+3,4)),"")</f>
        <v/>
      </c>
      <c r="Z69" s="5" t="str" cm="1">
        <f t="array" aca="1" ref="Z69" ca="1">IFERROR(INDIRECT("Data"&amp;"!"&amp;ADDRESS(MATCH($V$1,Data!$A:$A,0)+3+$U69,MATCH(Z$1,Data!$2:$2,0)+3,4)),"")</f>
        <v/>
      </c>
      <c r="AA69" s="5" t="str" cm="1">
        <f t="array" aca="1" ref="AA69" ca="1">IFERROR(INDIRECT("Data"&amp;"!"&amp;ADDRESS(MATCH($V$1,Data!$A:$A,0)+3+$U69,MATCH(AA$1,Data!$2:$2,0)+3,4)),"")</f>
        <v/>
      </c>
      <c r="AB69" s="5" t="str" cm="1">
        <f t="array" aca="1" ref="AB69" ca="1">IFERROR(INDIRECT("Data"&amp;"!"&amp;ADDRESS(MATCH($V$1,Data!$A:$A,0)+3+$U69,MATCH(AB$1,Data!$2:$2,0)+3,4)),"")</f>
        <v/>
      </c>
      <c r="AC69" s="5" t="str" cm="1">
        <f t="array" aca="1" ref="AC69" ca="1">IFERROR(INDIRECT("Data"&amp;"!"&amp;ADDRESS(MATCH($V$1,Data!$A:$A,0)+3+$U69,MATCH(AC$1,Data!$2:$2,0)+3,4)),"")</f>
        <v/>
      </c>
      <c r="AD69" s="5" t="str" cm="1">
        <f t="array" aca="1" ref="AD69" ca="1">IFERROR(INDIRECT("Data"&amp;"!"&amp;ADDRESS(MATCH($V$1,Data!$A:$A,0)+3+$U69,MATCH(AD$1,Data!$2:$2,0)+3,4)),"")</f>
        <v/>
      </c>
      <c r="AE69" s="5" t="str" cm="1">
        <f t="array" aca="1" ref="AE69" ca="1">IFERROR(INDIRECT("Data"&amp;"!"&amp;ADDRESS(MATCH($V$1,Data!$A:$A,0)+3+$U69,MATCH(AE$1,Data!$2:$2,0)+3,4)),"")</f>
        <v/>
      </c>
      <c r="AF69" s="5" t="str" cm="1">
        <f t="array" aca="1" ref="AF69" ca="1">IFERROR(INDIRECT("Data"&amp;"!"&amp;ADDRESS(MATCH($V$1,Data!$A:$A,0)+3+$U69,MATCH(AF$1,Data!$2:$2,0)+3,4)),"")</f>
        <v/>
      </c>
      <c r="AG69" s="5" t="str" cm="1">
        <f t="array" aca="1" ref="AG69" ca="1">IFERROR(INDIRECT("Data"&amp;"!"&amp;ADDRESS(MATCH($V$1,Data!$A:$A,0)+3+$U69,MATCH(AG$1,Data!$2:$2,0)+3,4)),"")</f>
        <v/>
      </c>
    </row>
    <row r="70" spans="2:33" x14ac:dyDescent="0.25">
      <c r="B70" s="22" t="str" cm="1">
        <f t="array" aca="1" ref="B70" ca="1">IFERROR(INDIRECT("List"&amp;"!"&amp;ADDRESS(MATCH($A70,List!$B:$B,0),MATCH($B$1,List!$1:$1,0),4)),"")</f>
        <v/>
      </c>
      <c r="C70" s="22" t="str" cm="1">
        <f t="array" aca="1" ref="C70" ca="1">IFERROR(INDIRECT("List"&amp;"!"&amp;ADDRESS(MATCH($A70,List!$B:$B,0),MATCH($C$1,List!$1:$1,0),4)),"")</f>
        <v/>
      </c>
      <c r="D70" s="22" t="str" cm="1">
        <f t="array" aca="1" ref="D70" ca="1">IFERROR(INDIRECT("List"&amp;"!"&amp;ADDRESS(MATCH($A70,List!$B:$B,0),MATCH($D$1,List!$1:$1,0),4)),"")</f>
        <v/>
      </c>
      <c r="E70" s="22" t="str" cm="1">
        <f t="array" aca="1" ref="E70" ca="1">IFERROR(INDIRECT("List"&amp;"!"&amp;ADDRESS(MATCH($A70,List!$B:$B,0),MATCH($E$1,List!$1:$1,0),4)),"")</f>
        <v/>
      </c>
      <c r="F70" s="27" t="str" cm="1">
        <f t="array" aca="1" ref="F70" ca="1">IFERROR(INDIRECT("List"&amp;"!"&amp;ADDRESS(MATCH($A70,List!$B:$B,0),MATCH($F$1,List!$1:$1,0),4)),"")</f>
        <v/>
      </c>
      <c r="G70" s="31" t="str" cm="1">
        <f t="array" aca="1" ref="G70" ca="1">IFERROR(INDIRECT("Data"&amp;"!"&amp;ADDRESS(MATCH($G$1,Data!$A$1:$A$20,0),MATCH($A70,Data!$2:$2,0)+3,4)),"")</f>
        <v/>
      </c>
      <c r="H70" s="31" t="str" cm="1">
        <f t="array" aca="1" ref="H70" ca="1">IFERROR(INDIRECT("Data"&amp;"!"&amp;ADDRESS(MATCH($G$1,Data!$A$1:$A$20,0),MATCH($A70,Data!$2:$2,0),4)),"")</f>
        <v/>
      </c>
      <c r="I70" s="31" t="str" cm="1">
        <f t="array" aca="1" ref="I70" ca="1">IFERROR(INDIRECT("Data"&amp;"!"&amp;ADDRESS(MATCH($G$1,Data!$A$1:$A$20,0),MATCH($A70,Data!$2:$2,0)+1,4)),"")</f>
        <v/>
      </c>
      <c r="J70" s="31" t="str" cm="1">
        <f t="array" aca="1" ref="J70" ca="1">IFERROR(INDIRECT("Data"&amp;"!"&amp;ADDRESS(MATCH($G$1,Data!$A$1:$A$20,0),MATCH($A70,Data!$2:$2,0)+2,4)),"")</f>
        <v/>
      </c>
      <c r="K70" s="34" t="str" cm="1">
        <f t="array" aca="1" ref="K70" ca="1">IFERROR(INDIRECT("Data"&amp;"!"&amp;ADDRESS(MATCH($K$1,Data!$A$1:$A$20,0),MATCH($A70,Data!$2:$2,0)+2,4)),"")</f>
        <v/>
      </c>
      <c r="U70" s="7">
        <v>67</v>
      </c>
      <c r="V70" s="7">
        <v>0</v>
      </c>
      <c r="W70" s="5">
        <v>-25</v>
      </c>
      <c r="X70" s="7" t="str" cm="1">
        <f t="array" aca="1" ref="X70" ca="1">IFERROR(INDIRECT("Data"&amp;"!"&amp;ADDRESS(MATCH($V$1,Data!$A:$A,0)+3+$U70,MATCH(X$1,Data!$2:$2,0)+3,4)),"")</f>
        <v/>
      </c>
      <c r="Y70" s="5" t="str" cm="1">
        <f t="array" aca="1" ref="Y70" ca="1">IFERROR(INDIRECT("Data"&amp;"!"&amp;ADDRESS(MATCH($V$1,Data!$A:$A,0)+3+$U70,MATCH(Y$1,Data!$2:$2,0)+3,4)),"")</f>
        <v/>
      </c>
      <c r="Z70" s="5" t="str" cm="1">
        <f t="array" aca="1" ref="Z70" ca="1">IFERROR(INDIRECT("Data"&amp;"!"&amp;ADDRESS(MATCH($V$1,Data!$A:$A,0)+3+$U70,MATCH(Z$1,Data!$2:$2,0)+3,4)),"")</f>
        <v/>
      </c>
      <c r="AA70" s="5" t="str" cm="1">
        <f t="array" aca="1" ref="AA70" ca="1">IFERROR(INDIRECT("Data"&amp;"!"&amp;ADDRESS(MATCH($V$1,Data!$A:$A,0)+3+$U70,MATCH(AA$1,Data!$2:$2,0)+3,4)),"")</f>
        <v/>
      </c>
      <c r="AB70" s="5" t="str" cm="1">
        <f t="array" aca="1" ref="AB70" ca="1">IFERROR(INDIRECT("Data"&amp;"!"&amp;ADDRESS(MATCH($V$1,Data!$A:$A,0)+3+$U70,MATCH(AB$1,Data!$2:$2,0)+3,4)),"")</f>
        <v/>
      </c>
      <c r="AC70" s="5" t="str" cm="1">
        <f t="array" aca="1" ref="AC70" ca="1">IFERROR(INDIRECT("Data"&amp;"!"&amp;ADDRESS(MATCH($V$1,Data!$A:$A,0)+3+$U70,MATCH(AC$1,Data!$2:$2,0)+3,4)),"")</f>
        <v/>
      </c>
      <c r="AD70" s="5" t="str" cm="1">
        <f t="array" aca="1" ref="AD70" ca="1">IFERROR(INDIRECT("Data"&amp;"!"&amp;ADDRESS(MATCH($V$1,Data!$A:$A,0)+3+$U70,MATCH(AD$1,Data!$2:$2,0)+3,4)),"")</f>
        <v/>
      </c>
      <c r="AE70" s="5" t="str" cm="1">
        <f t="array" aca="1" ref="AE70" ca="1">IFERROR(INDIRECT("Data"&amp;"!"&amp;ADDRESS(MATCH($V$1,Data!$A:$A,0)+3+$U70,MATCH(AE$1,Data!$2:$2,0)+3,4)),"")</f>
        <v/>
      </c>
      <c r="AF70" s="5" t="str" cm="1">
        <f t="array" aca="1" ref="AF70" ca="1">IFERROR(INDIRECT("Data"&amp;"!"&amp;ADDRESS(MATCH($V$1,Data!$A:$A,0)+3+$U70,MATCH(AF$1,Data!$2:$2,0)+3,4)),"")</f>
        <v/>
      </c>
      <c r="AG70" s="5" t="str" cm="1">
        <f t="array" aca="1" ref="AG70" ca="1">IFERROR(INDIRECT("Data"&amp;"!"&amp;ADDRESS(MATCH($V$1,Data!$A:$A,0)+3+$U70,MATCH(AG$1,Data!$2:$2,0)+3,4)),"")</f>
        <v/>
      </c>
    </row>
    <row r="71" spans="2:33" x14ac:dyDescent="0.25">
      <c r="B71" s="22" t="str" cm="1">
        <f t="array" aca="1" ref="B71" ca="1">IFERROR(INDIRECT("List"&amp;"!"&amp;ADDRESS(MATCH($A71,List!$B:$B,0),MATCH($B$1,List!$1:$1,0),4)),"")</f>
        <v/>
      </c>
      <c r="C71" s="22" t="str" cm="1">
        <f t="array" aca="1" ref="C71" ca="1">IFERROR(INDIRECT("List"&amp;"!"&amp;ADDRESS(MATCH($A71,List!$B:$B,0),MATCH($C$1,List!$1:$1,0),4)),"")</f>
        <v/>
      </c>
      <c r="D71" s="22" t="str" cm="1">
        <f t="array" aca="1" ref="D71" ca="1">IFERROR(INDIRECT("List"&amp;"!"&amp;ADDRESS(MATCH($A71,List!$B:$B,0),MATCH($D$1,List!$1:$1,0),4)),"")</f>
        <v/>
      </c>
      <c r="E71" s="22" t="str" cm="1">
        <f t="array" aca="1" ref="E71" ca="1">IFERROR(INDIRECT("List"&amp;"!"&amp;ADDRESS(MATCH($A71,List!$B:$B,0),MATCH($E$1,List!$1:$1,0),4)),"")</f>
        <v/>
      </c>
      <c r="F71" s="27" t="str" cm="1">
        <f t="array" aca="1" ref="F71" ca="1">IFERROR(INDIRECT("List"&amp;"!"&amp;ADDRESS(MATCH($A71,List!$B:$B,0),MATCH($F$1,List!$1:$1,0),4)),"")</f>
        <v/>
      </c>
      <c r="G71" s="31" t="str" cm="1">
        <f t="array" aca="1" ref="G71" ca="1">IFERROR(INDIRECT("Data"&amp;"!"&amp;ADDRESS(MATCH($G$1,Data!$A$1:$A$20,0),MATCH($A71,Data!$2:$2,0)+3,4)),"")</f>
        <v/>
      </c>
      <c r="H71" s="31" t="str" cm="1">
        <f t="array" aca="1" ref="H71" ca="1">IFERROR(INDIRECT("Data"&amp;"!"&amp;ADDRESS(MATCH($G$1,Data!$A$1:$A$20,0),MATCH($A71,Data!$2:$2,0),4)),"")</f>
        <v/>
      </c>
      <c r="I71" s="31" t="str" cm="1">
        <f t="array" aca="1" ref="I71" ca="1">IFERROR(INDIRECT("Data"&amp;"!"&amp;ADDRESS(MATCH($G$1,Data!$A$1:$A$20,0),MATCH($A71,Data!$2:$2,0)+1,4)),"")</f>
        <v/>
      </c>
      <c r="J71" s="31" t="str" cm="1">
        <f t="array" aca="1" ref="J71" ca="1">IFERROR(INDIRECT("Data"&amp;"!"&amp;ADDRESS(MATCH($G$1,Data!$A$1:$A$20,0),MATCH($A71,Data!$2:$2,0)+2,4)),"")</f>
        <v/>
      </c>
      <c r="K71" s="34" t="str" cm="1">
        <f t="array" aca="1" ref="K71" ca="1">IFERROR(INDIRECT("Data"&amp;"!"&amp;ADDRESS(MATCH($K$1,Data!$A$1:$A$20,0),MATCH($A71,Data!$2:$2,0)+2,4)),"")</f>
        <v/>
      </c>
      <c r="U71" s="7">
        <v>68</v>
      </c>
      <c r="V71" s="7">
        <v>0</v>
      </c>
      <c r="W71" s="5">
        <v>-20</v>
      </c>
      <c r="X71" s="7" t="str" cm="1">
        <f t="array" aca="1" ref="X71" ca="1">IFERROR(INDIRECT("Data"&amp;"!"&amp;ADDRESS(MATCH($V$1,Data!$A:$A,0)+3+$U71,MATCH(X$1,Data!$2:$2,0)+3,4)),"")</f>
        <v/>
      </c>
      <c r="Y71" s="5" t="str" cm="1">
        <f t="array" aca="1" ref="Y71" ca="1">IFERROR(INDIRECT("Data"&amp;"!"&amp;ADDRESS(MATCH($V$1,Data!$A:$A,0)+3+$U71,MATCH(Y$1,Data!$2:$2,0)+3,4)),"")</f>
        <v/>
      </c>
      <c r="Z71" s="5" t="str" cm="1">
        <f t="array" aca="1" ref="Z71" ca="1">IFERROR(INDIRECT("Data"&amp;"!"&amp;ADDRESS(MATCH($V$1,Data!$A:$A,0)+3+$U71,MATCH(Z$1,Data!$2:$2,0)+3,4)),"")</f>
        <v/>
      </c>
      <c r="AA71" s="5" t="str" cm="1">
        <f t="array" aca="1" ref="AA71" ca="1">IFERROR(INDIRECT("Data"&amp;"!"&amp;ADDRESS(MATCH($V$1,Data!$A:$A,0)+3+$U71,MATCH(AA$1,Data!$2:$2,0)+3,4)),"")</f>
        <v/>
      </c>
      <c r="AB71" s="5" t="str" cm="1">
        <f t="array" aca="1" ref="AB71" ca="1">IFERROR(INDIRECT("Data"&amp;"!"&amp;ADDRESS(MATCH($V$1,Data!$A:$A,0)+3+$U71,MATCH(AB$1,Data!$2:$2,0)+3,4)),"")</f>
        <v/>
      </c>
      <c r="AC71" s="5" t="str" cm="1">
        <f t="array" aca="1" ref="AC71" ca="1">IFERROR(INDIRECT("Data"&amp;"!"&amp;ADDRESS(MATCH($V$1,Data!$A:$A,0)+3+$U71,MATCH(AC$1,Data!$2:$2,0)+3,4)),"")</f>
        <v/>
      </c>
      <c r="AD71" s="5" t="str" cm="1">
        <f t="array" aca="1" ref="AD71" ca="1">IFERROR(INDIRECT("Data"&amp;"!"&amp;ADDRESS(MATCH($V$1,Data!$A:$A,0)+3+$U71,MATCH(AD$1,Data!$2:$2,0)+3,4)),"")</f>
        <v/>
      </c>
      <c r="AE71" s="5" t="str" cm="1">
        <f t="array" aca="1" ref="AE71" ca="1">IFERROR(INDIRECT("Data"&amp;"!"&amp;ADDRESS(MATCH($V$1,Data!$A:$A,0)+3+$U71,MATCH(AE$1,Data!$2:$2,0)+3,4)),"")</f>
        <v/>
      </c>
      <c r="AF71" s="5" t="str" cm="1">
        <f t="array" aca="1" ref="AF71" ca="1">IFERROR(INDIRECT("Data"&amp;"!"&amp;ADDRESS(MATCH($V$1,Data!$A:$A,0)+3+$U71,MATCH(AF$1,Data!$2:$2,0)+3,4)),"")</f>
        <v/>
      </c>
      <c r="AG71" s="5" t="str" cm="1">
        <f t="array" aca="1" ref="AG71" ca="1">IFERROR(INDIRECT("Data"&amp;"!"&amp;ADDRESS(MATCH($V$1,Data!$A:$A,0)+3+$U71,MATCH(AG$1,Data!$2:$2,0)+3,4)),"")</f>
        <v/>
      </c>
    </row>
    <row r="72" spans="2:33" x14ac:dyDescent="0.25">
      <c r="B72" s="22" t="str" cm="1">
        <f t="array" aca="1" ref="B72" ca="1">IFERROR(INDIRECT("List"&amp;"!"&amp;ADDRESS(MATCH($A72,List!$B:$B,0),MATCH($B$1,List!$1:$1,0),4)),"")</f>
        <v/>
      </c>
      <c r="C72" s="22" t="str" cm="1">
        <f t="array" aca="1" ref="C72" ca="1">IFERROR(INDIRECT("List"&amp;"!"&amp;ADDRESS(MATCH($A72,List!$B:$B,0),MATCH($C$1,List!$1:$1,0),4)),"")</f>
        <v/>
      </c>
      <c r="D72" s="22" t="str" cm="1">
        <f t="array" aca="1" ref="D72" ca="1">IFERROR(INDIRECT("List"&amp;"!"&amp;ADDRESS(MATCH($A72,List!$B:$B,0),MATCH($D$1,List!$1:$1,0),4)),"")</f>
        <v/>
      </c>
      <c r="E72" s="22" t="str" cm="1">
        <f t="array" aca="1" ref="E72" ca="1">IFERROR(INDIRECT("List"&amp;"!"&amp;ADDRESS(MATCH($A72,List!$B:$B,0),MATCH($E$1,List!$1:$1,0),4)),"")</f>
        <v/>
      </c>
      <c r="F72" s="27" t="str" cm="1">
        <f t="array" aca="1" ref="F72" ca="1">IFERROR(INDIRECT("List"&amp;"!"&amp;ADDRESS(MATCH($A72,List!$B:$B,0),MATCH($F$1,List!$1:$1,0),4)),"")</f>
        <v/>
      </c>
      <c r="G72" s="31" t="str" cm="1">
        <f t="array" aca="1" ref="G72" ca="1">IFERROR(INDIRECT("Data"&amp;"!"&amp;ADDRESS(MATCH($G$1,Data!$A$1:$A$20,0),MATCH($A72,Data!$2:$2,0)+3,4)),"")</f>
        <v/>
      </c>
      <c r="H72" s="31" t="str" cm="1">
        <f t="array" aca="1" ref="H72" ca="1">IFERROR(INDIRECT("Data"&amp;"!"&amp;ADDRESS(MATCH($G$1,Data!$A$1:$A$20,0),MATCH($A72,Data!$2:$2,0),4)),"")</f>
        <v/>
      </c>
      <c r="I72" s="31" t="str" cm="1">
        <f t="array" aca="1" ref="I72" ca="1">IFERROR(INDIRECT("Data"&amp;"!"&amp;ADDRESS(MATCH($G$1,Data!$A$1:$A$20,0),MATCH($A72,Data!$2:$2,0)+1,4)),"")</f>
        <v/>
      </c>
      <c r="J72" s="31" t="str" cm="1">
        <f t="array" aca="1" ref="J72" ca="1">IFERROR(INDIRECT("Data"&amp;"!"&amp;ADDRESS(MATCH($G$1,Data!$A$1:$A$20,0),MATCH($A72,Data!$2:$2,0)+2,4)),"")</f>
        <v/>
      </c>
      <c r="K72" s="34" t="str" cm="1">
        <f t="array" aca="1" ref="K72" ca="1">IFERROR(INDIRECT("Data"&amp;"!"&amp;ADDRESS(MATCH($K$1,Data!$A$1:$A$20,0),MATCH($A72,Data!$2:$2,0)+2,4)),"")</f>
        <v/>
      </c>
      <c r="U72" s="7">
        <v>69</v>
      </c>
      <c r="V72" s="7">
        <v>0</v>
      </c>
      <c r="W72" s="5">
        <v>-15</v>
      </c>
      <c r="X72" s="7" t="str" cm="1">
        <f t="array" aca="1" ref="X72" ca="1">IFERROR(INDIRECT("Data"&amp;"!"&amp;ADDRESS(MATCH($V$1,Data!$A:$A,0)+3+$U72,MATCH(X$1,Data!$2:$2,0)+3,4)),"")</f>
        <v/>
      </c>
      <c r="Y72" s="5" t="str" cm="1">
        <f t="array" aca="1" ref="Y72" ca="1">IFERROR(INDIRECT("Data"&amp;"!"&amp;ADDRESS(MATCH($V$1,Data!$A:$A,0)+3+$U72,MATCH(Y$1,Data!$2:$2,0)+3,4)),"")</f>
        <v/>
      </c>
      <c r="Z72" s="5" t="str" cm="1">
        <f t="array" aca="1" ref="Z72" ca="1">IFERROR(INDIRECT("Data"&amp;"!"&amp;ADDRESS(MATCH($V$1,Data!$A:$A,0)+3+$U72,MATCH(Z$1,Data!$2:$2,0)+3,4)),"")</f>
        <v/>
      </c>
      <c r="AA72" s="5" t="str" cm="1">
        <f t="array" aca="1" ref="AA72" ca="1">IFERROR(INDIRECT("Data"&amp;"!"&amp;ADDRESS(MATCH($V$1,Data!$A:$A,0)+3+$U72,MATCH(AA$1,Data!$2:$2,0)+3,4)),"")</f>
        <v/>
      </c>
      <c r="AB72" s="5" t="str" cm="1">
        <f t="array" aca="1" ref="AB72" ca="1">IFERROR(INDIRECT("Data"&amp;"!"&amp;ADDRESS(MATCH($V$1,Data!$A:$A,0)+3+$U72,MATCH(AB$1,Data!$2:$2,0)+3,4)),"")</f>
        <v/>
      </c>
      <c r="AC72" s="5" t="str" cm="1">
        <f t="array" aca="1" ref="AC72" ca="1">IFERROR(INDIRECT("Data"&amp;"!"&amp;ADDRESS(MATCH($V$1,Data!$A:$A,0)+3+$U72,MATCH(AC$1,Data!$2:$2,0)+3,4)),"")</f>
        <v/>
      </c>
      <c r="AD72" s="5" t="str" cm="1">
        <f t="array" aca="1" ref="AD72" ca="1">IFERROR(INDIRECT("Data"&amp;"!"&amp;ADDRESS(MATCH($V$1,Data!$A:$A,0)+3+$U72,MATCH(AD$1,Data!$2:$2,0)+3,4)),"")</f>
        <v/>
      </c>
      <c r="AE72" s="5" t="str" cm="1">
        <f t="array" aca="1" ref="AE72" ca="1">IFERROR(INDIRECT("Data"&amp;"!"&amp;ADDRESS(MATCH($V$1,Data!$A:$A,0)+3+$U72,MATCH(AE$1,Data!$2:$2,0)+3,4)),"")</f>
        <v/>
      </c>
      <c r="AF72" s="5" t="str" cm="1">
        <f t="array" aca="1" ref="AF72" ca="1">IFERROR(INDIRECT("Data"&amp;"!"&amp;ADDRESS(MATCH($V$1,Data!$A:$A,0)+3+$U72,MATCH(AF$1,Data!$2:$2,0)+3,4)),"")</f>
        <v/>
      </c>
      <c r="AG72" s="5" t="str" cm="1">
        <f t="array" aca="1" ref="AG72" ca="1">IFERROR(INDIRECT("Data"&amp;"!"&amp;ADDRESS(MATCH($V$1,Data!$A:$A,0)+3+$U72,MATCH(AG$1,Data!$2:$2,0)+3,4)),"")</f>
        <v/>
      </c>
    </row>
    <row r="73" spans="2:33" x14ac:dyDescent="0.25">
      <c r="B73" s="22" t="str" cm="1">
        <f t="array" aca="1" ref="B73" ca="1">IFERROR(INDIRECT("List"&amp;"!"&amp;ADDRESS(MATCH($A73,List!$B:$B,0),MATCH($B$1,List!$1:$1,0),4)),"")</f>
        <v/>
      </c>
      <c r="C73" s="22" t="str" cm="1">
        <f t="array" aca="1" ref="C73" ca="1">IFERROR(INDIRECT("List"&amp;"!"&amp;ADDRESS(MATCH($A73,List!$B:$B,0),MATCH($C$1,List!$1:$1,0),4)),"")</f>
        <v/>
      </c>
      <c r="D73" s="22" t="str" cm="1">
        <f t="array" aca="1" ref="D73" ca="1">IFERROR(INDIRECT("List"&amp;"!"&amp;ADDRESS(MATCH($A73,List!$B:$B,0),MATCH($D$1,List!$1:$1,0),4)),"")</f>
        <v/>
      </c>
      <c r="E73" s="22" t="str" cm="1">
        <f t="array" aca="1" ref="E73" ca="1">IFERROR(INDIRECT("List"&amp;"!"&amp;ADDRESS(MATCH($A73,List!$B:$B,0),MATCH($E$1,List!$1:$1,0),4)),"")</f>
        <v/>
      </c>
      <c r="F73" s="27" t="str" cm="1">
        <f t="array" aca="1" ref="F73" ca="1">IFERROR(INDIRECT("List"&amp;"!"&amp;ADDRESS(MATCH($A73,List!$B:$B,0),MATCH($F$1,List!$1:$1,0),4)),"")</f>
        <v/>
      </c>
      <c r="G73" s="31" t="str" cm="1">
        <f t="array" aca="1" ref="G73" ca="1">IFERROR(INDIRECT("Data"&amp;"!"&amp;ADDRESS(MATCH($G$1,Data!$A$1:$A$20,0),MATCH($A73,Data!$2:$2,0)+3,4)),"")</f>
        <v/>
      </c>
      <c r="H73" s="31" t="str" cm="1">
        <f t="array" aca="1" ref="H73" ca="1">IFERROR(INDIRECT("Data"&amp;"!"&amp;ADDRESS(MATCH($G$1,Data!$A$1:$A$20,0),MATCH($A73,Data!$2:$2,0),4)),"")</f>
        <v/>
      </c>
      <c r="I73" s="31" t="str" cm="1">
        <f t="array" aca="1" ref="I73" ca="1">IFERROR(INDIRECT("Data"&amp;"!"&amp;ADDRESS(MATCH($G$1,Data!$A$1:$A$20,0),MATCH($A73,Data!$2:$2,0)+1,4)),"")</f>
        <v/>
      </c>
      <c r="J73" s="31" t="str" cm="1">
        <f t="array" aca="1" ref="J73" ca="1">IFERROR(INDIRECT("Data"&amp;"!"&amp;ADDRESS(MATCH($G$1,Data!$A$1:$A$20,0),MATCH($A73,Data!$2:$2,0)+2,4)),"")</f>
        <v/>
      </c>
      <c r="K73" s="34" t="str" cm="1">
        <f t="array" aca="1" ref="K73" ca="1">IFERROR(INDIRECT("Data"&amp;"!"&amp;ADDRESS(MATCH($K$1,Data!$A$1:$A$20,0),MATCH($A73,Data!$2:$2,0)+2,4)),"")</f>
        <v/>
      </c>
      <c r="U73" s="7">
        <v>70</v>
      </c>
      <c r="V73" s="7">
        <v>0</v>
      </c>
      <c r="W73" s="5">
        <v>-10</v>
      </c>
      <c r="X73" s="7" t="str" cm="1">
        <f t="array" aca="1" ref="X73" ca="1">IFERROR(INDIRECT("Data"&amp;"!"&amp;ADDRESS(MATCH($V$1,Data!$A:$A,0)+3+$U73,MATCH(X$1,Data!$2:$2,0)+3,4)),"")</f>
        <v/>
      </c>
      <c r="Y73" s="5" t="str" cm="1">
        <f t="array" aca="1" ref="Y73" ca="1">IFERROR(INDIRECT("Data"&amp;"!"&amp;ADDRESS(MATCH($V$1,Data!$A:$A,0)+3+$U73,MATCH(Y$1,Data!$2:$2,0)+3,4)),"")</f>
        <v/>
      </c>
      <c r="Z73" s="5" t="str" cm="1">
        <f t="array" aca="1" ref="Z73" ca="1">IFERROR(INDIRECT("Data"&amp;"!"&amp;ADDRESS(MATCH($V$1,Data!$A:$A,0)+3+$U73,MATCH(Z$1,Data!$2:$2,0)+3,4)),"")</f>
        <v/>
      </c>
      <c r="AA73" s="5" t="str" cm="1">
        <f t="array" aca="1" ref="AA73" ca="1">IFERROR(INDIRECT("Data"&amp;"!"&amp;ADDRESS(MATCH($V$1,Data!$A:$A,0)+3+$U73,MATCH(AA$1,Data!$2:$2,0)+3,4)),"")</f>
        <v/>
      </c>
      <c r="AB73" s="5" t="str" cm="1">
        <f t="array" aca="1" ref="AB73" ca="1">IFERROR(INDIRECT("Data"&amp;"!"&amp;ADDRESS(MATCH($V$1,Data!$A:$A,0)+3+$U73,MATCH(AB$1,Data!$2:$2,0)+3,4)),"")</f>
        <v/>
      </c>
      <c r="AC73" s="5" t="str" cm="1">
        <f t="array" aca="1" ref="AC73" ca="1">IFERROR(INDIRECT("Data"&amp;"!"&amp;ADDRESS(MATCH($V$1,Data!$A:$A,0)+3+$U73,MATCH(AC$1,Data!$2:$2,0)+3,4)),"")</f>
        <v/>
      </c>
      <c r="AD73" s="5" t="str" cm="1">
        <f t="array" aca="1" ref="AD73" ca="1">IFERROR(INDIRECT("Data"&amp;"!"&amp;ADDRESS(MATCH($V$1,Data!$A:$A,0)+3+$U73,MATCH(AD$1,Data!$2:$2,0)+3,4)),"")</f>
        <v/>
      </c>
      <c r="AE73" s="5" t="str" cm="1">
        <f t="array" aca="1" ref="AE73" ca="1">IFERROR(INDIRECT("Data"&amp;"!"&amp;ADDRESS(MATCH($V$1,Data!$A:$A,0)+3+$U73,MATCH(AE$1,Data!$2:$2,0)+3,4)),"")</f>
        <v/>
      </c>
      <c r="AF73" s="5" t="str" cm="1">
        <f t="array" aca="1" ref="AF73" ca="1">IFERROR(INDIRECT("Data"&amp;"!"&amp;ADDRESS(MATCH($V$1,Data!$A:$A,0)+3+$U73,MATCH(AF$1,Data!$2:$2,0)+3,4)),"")</f>
        <v/>
      </c>
      <c r="AG73" s="5" t="str" cm="1">
        <f t="array" aca="1" ref="AG73" ca="1">IFERROR(INDIRECT("Data"&amp;"!"&amp;ADDRESS(MATCH($V$1,Data!$A:$A,0)+3+$U73,MATCH(AG$1,Data!$2:$2,0)+3,4)),"")</f>
        <v/>
      </c>
    </row>
    <row r="74" spans="2:33" x14ac:dyDescent="0.25">
      <c r="B74" s="22" t="str" cm="1">
        <f t="array" aca="1" ref="B74" ca="1">IFERROR(INDIRECT("List"&amp;"!"&amp;ADDRESS(MATCH($A74,List!$B:$B,0),MATCH($B$1,List!$1:$1,0),4)),"")</f>
        <v/>
      </c>
      <c r="C74" s="22" t="str" cm="1">
        <f t="array" aca="1" ref="C74" ca="1">IFERROR(INDIRECT("List"&amp;"!"&amp;ADDRESS(MATCH($A74,List!$B:$B,0),MATCH($C$1,List!$1:$1,0),4)),"")</f>
        <v/>
      </c>
      <c r="D74" s="22" t="str" cm="1">
        <f t="array" aca="1" ref="D74" ca="1">IFERROR(INDIRECT("List"&amp;"!"&amp;ADDRESS(MATCH($A74,List!$B:$B,0),MATCH($D$1,List!$1:$1,0),4)),"")</f>
        <v/>
      </c>
      <c r="E74" s="22" t="str" cm="1">
        <f t="array" aca="1" ref="E74" ca="1">IFERROR(INDIRECT("List"&amp;"!"&amp;ADDRESS(MATCH($A74,List!$B:$B,0),MATCH($E$1,List!$1:$1,0),4)),"")</f>
        <v/>
      </c>
      <c r="F74" s="27" t="str" cm="1">
        <f t="array" aca="1" ref="F74" ca="1">IFERROR(INDIRECT("List"&amp;"!"&amp;ADDRESS(MATCH($A74,List!$B:$B,0),MATCH($F$1,List!$1:$1,0),4)),"")</f>
        <v/>
      </c>
      <c r="G74" s="31" t="str" cm="1">
        <f t="array" aca="1" ref="G74" ca="1">IFERROR(INDIRECT("Data"&amp;"!"&amp;ADDRESS(MATCH($G$1,Data!$A$1:$A$20,0),MATCH($A74,Data!$2:$2,0)+3,4)),"")</f>
        <v/>
      </c>
      <c r="H74" s="31" t="str" cm="1">
        <f t="array" aca="1" ref="H74" ca="1">IFERROR(INDIRECT("Data"&amp;"!"&amp;ADDRESS(MATCH($G$1,Data!$A$1:$A$20,0),MATCH($A74,Data!$2:$2,0),4)),"")</f>
        <v/>
      </c>
      <c r="I74" s="31" t="str" cm="1">
        <f t="array" aca="1" ref="I74" ca="1">IFERROR(INDIRECT("Data"&amp;"!"&amp;ADDRESS(MATCH($G$1,Data!$A$1:$A$20,0),MATCH($A74,Data!$2:$2,0)+1,4)),"")</f>
        <v/>
      </c>
      <c r="J74" s="31" t="str" cm="1">
        <f t="array" aca="1" ref="J74" ca="1">IFERROR(INDIRECT("Data"&amp;"!"&amp;ADDRESS(MATCH($G$1,Data!$A$1:$A$20,0),MATCH($A74,Data!$2:$2,0)+2,4)),"")</f>
        <v/>
      </c>
      <c r="K74" s="34" t="str" cm="1">
        <f t="array" aca="1" ref="K74" ca="1">IFERROR(INDIRECT("Data"&amp;"!"&amp;ADDRESS(MATCH($K$1,Data!$A$1:$A$20,0),MATCH($A74,Data!$2:$2,0)+2,4)),"")</f>
        <v/>
      </c>
      <c r="U74" s="7">
        <v>71</v>
      </c>
      <c r="V74" s="7">
        <v>0</v>
      </c>
      <c r="W74" s="5">
        <v>-5</v>
      </c>
      <c r="X74" s="7" t="str" cm="1">
        <f t="array" aca="1" ref="X74" ca="1">IFERROR(INDIRECT("Data"&amp;"!"&amp;ADDRESS(MATCH($V$1,Data!$A:$A,0)+3+$U74,MATCH(X$1,Data!$2:$2,0)+3,4)),"")</f>
        <v/>
      </c>
      <c r="Y74" s="5" t="str" cm="1">
        <f t="array" aca="1" ref="Y74" ca="1">IFERROR(INDIRECT("Data"&amp;"!"&amp;ADDRESS(MATCH($V$1,Data!$A:$A,0)+3+$U74,MATCH(Y$1,Data!$2:$2,0)+3,4)),"")</f>
        <v/>
      </c>
      <c r="Z74" s="5" t="str" cm="1">
        <f t="array" aca="1" ref="Z74" ca="1">IFERROR(INDIRECT("Data"&amp;"!"&amp;ADDRESS(MATCH($V$1,Data!$A:$A,0)+3+$U74,MATCH(Z$1,Data!$2:$2,0)+3,4)),"")</f>
        <v/>
      </c>
      <c r="AA74" s="5" t="str" cm="1">
        <f t="array" aca="1" ref="AA74" ca="1">IFERROR(INDIRECT("Data"&amp;"!"&amp;ADDRESS(MATCH($V$1,Data!$A:$A,0)+3+$U74,MATCH(AA$1,Data!$2:$2,0)+3,4)),"")</f>
        <v/>
      </c>
      <c r="AB74" s="5" t="str" cm="1">
        <f t="array" aca="1" ref="AB74" ca="1">IFERROR(INDIRECT("Data"&amp;"!"&amp;ADDRESS(MATCH($V$1,Data!$A:$A,0)+3+$U74,MATCH(AB$1,Data!$2:$2,0)+3,4)),"")</f>
        <v/>
      </c>
      <c r="AC74" s="5" t="str" cm="1">
        <f t="array" aca="1" ref="AC74" ca="1">IFERROR(INDIRECT("Data"&amp;"!"&amp;ADDRESS(MATCH($V$1,Data!$A:$A,0)+3+$U74,MATCH(AC$1,Data!$2:$2,0)+3,4)),"")</f>
        <v/>
      </c>
      <c r="AD74" s="5" t="str" cm="1">
        <f t="array" aca="1" ref="AD74" ca="1">IFERROR(INDIRECT("Data"&amp;"!"&amp;ADDRESS(MATCH($V$1,Data!$A:$A,0)+3+$U74,MATCH(AD$1,Data!$2:$2,0)+3,4)),"")</f>
        <v/>
      </c>
      <c r="AE74" s="5" t="str" cm="1">
        <f t="array" aca="1" ref="AE74" ca="1">IFERROR(INDIRECT("Data"&amp;"!"&amp;ADDRESS(MATCH($V$1,Data!$A:$A,0)+3+$U74,MATCH(AE$1,Data!$2:$2,0)+3,4)),"")</f>
        <v/>
      </c>
      <c r="AF74" s="5" t="str" cm="1">
        <f t="array" aca="1" ref="AF74" ca="1">IFERROR(INDIRECT("Data"&amp;"!"&amp;ADDRESS(MATCH($V$1,Data!$A:$A,0)+3+$U74,MATCH(AF$1,Data!$2:$2,0)+3,4)),"")</f>
        <v/>
      </c>
      <c r="AG74" s="5" t="str" cm="1">
        <f t="array" aca="1" ref="AG74" ca="1">IFERROR(INDIRECT("Data"&amp;"!"&amp;ADDRESS(MATCH($V$1,Data!$A:$A,0)+3+$U74,MATCH(AG$1,Data!$2:$2,0)+3,4)),"")</f>
        <v/>
      </c>
    </row>
    <row r="75" spans="2:33" x14ac:dyDescent="0.25">
      <c r="B75" s="22" t="str" cm="1">
        <f t="array" aca="1" ref="B75" ca="1">IFERROR(INDIRECT("List"&amp;"!"&amp;ADDRESS(MATCH($A75,List!$B:$B,0),MATCH($B$1,List!$1:$1,0),4)),"")</f>
        <v/>
      </c>
      <c r="C75" s="22" t="str" cm="1">
        <f t="array" aca="1" ref="C75" ca="1">IFERROR(INDIRECT("List"&amp;"!"&amp;ADDRESS(MATCH($A75,List!$B:$B,0),MATCH($C$1,List!$1:$1,0),4)),"")</f>
        <v/>
      </c>
      <c r="D75" s="22" t="str" cm="1">
        <f t="array" aca="1" ref="D75" ca="1">IFERROR(INDIRECT("List"&amp;"!"&amp;ADDRESS(MATCH($A75,List!$B:$B,0),MATCH($D$1,List!$1:$1,0),4)),"")</f>
        <v/>
      </c>
      <c r="E75" s="22" t="str" cm="1">
        <f t="array" aca="1" ref="E75" ca="1">IFERROR(INDIRECT("List"&amp;"!"&amp;ADDRESS(MATCH($A75,List!$B:$B,0),MATCH($E$1,List!$1:$1,0),4)),"")</f>
        <v/>
      </c>
      <c r="F75" s="27" t="str" cm="1">
        <f t="array" aca="1" ref="F75" ca="1">IFERROR(INDIRECT("List"&amp;"!"&amp;ADDRESS(MATCH($A75,List!$B:$B,0),MATCH($F$1,List!$1:$1,0),4)),"")</f>
        <v/>
      </c>
      <c r="G75" s="31" t="str" cm="1">
        <f t="array" aca="1" ref="G75" ca="1">IFERROR(INDIRECT("Data"&amp;"!"&amp;ADDRESS(MATCH($G$1,Data!$A$1:$A$20,0),MATCH($A75,Data!$2:$2,0)+3,4)),"")</f>
        <v/>
      </c>
      <c r="H75" s="31" t="str" cm="1">
        <f t="array" aca="1" ref="H75" ca="1">IFERROR(INDIRECT("Data"&amp;"!"&amp;ADDRESS(MATCH($G$1,Data!$A$1:$A$20,0),MATCH($A75,Data!$2:$2,0),4)),"")</f>
        <v/>
      </c>
      <c r="I75" s="31" t="str" cm="1">
        <f t="array" aca="1" ref="I75" ca="1">IFERROR(INDIRECT("Data"&amp;"!"&amp;ADDRESS(MATCH($G$1,Data!$A$1:$A$20,0),MATCH($A75,Data!$2:$2,0)+1,4)),"")</f>
        <v/>
      </c>
      <c r="J75" s="31" t="str" cm="1">
        <f t="array" aca="1" ref="J75" ca="1">IFERROR(INDIRECT("Data"&amp;"!"&amp;ADDRESS(MATCH($G$1,Data!$A$1:$A$20,0),MATCH($A75,Data!$2:$2,0)+2,4)),"")</f>
        <v/>
      </c>
      <c r="K75" s="34" t="str" cm="1">
        <f t="array" aca="1" ref="K75" ca="1">IFERROR(INDIRECT("Data"&amp;"!"&amp;ADDRESS(MATCH($K$1,Data!$A$1:$A$20,0),MATCH($A75,Data!$2:$2,0)+2,4)),"")</f>
        <v/>
      </c>
      <c r="U75" s="7">
        <v>72</v>
      </c>
      <c r="V75" s="7">
        <v>0</v>
      </c>
      <c r="W75" s="5">
        <v>0</v>
      </c>
      <c r="X75" s="7" t="str" cm="1">
        <f t="array" aca="1" ref="X75" ca="1">IFERROR(INDIRECT("Data"&amp;"!"&amp;ADDRESS(MATCH($V$1,Data!$A:$A,0)+3+$U75,MATCH(X$1,Data!$2:$2,0)+3,4)),"")</f>
        <v/>
      </c>
      <c r="Y75" s="5" t="str" cm="1">
        <f t="array" aca="1" ref="Y75" ca="1">IFERROR(INDIRECT("Data"&amp;"!"&amp;ADDRESS(MATCH($V$1,Data!$A:$A,0)+3+$U75,MATCH(Y$1,Data!$2:$2,0)+3,4)),"")</f>
        <v/>
      </c>
      <c r="Z75" s="5" t="str" cm="1">
        <f t="array" aca="1" ref="Z75" ca="1">IFERROR(INDIRECT("Data"&amp;"!"&amp;ADDRESS(MATCH($V$1,Data!$A:$A,0)+3+$U75,MATCH(Z$1,Data!$2:$2,0)+3,4)),"")</f>
        <v/>
      </c>
      <c r="AA75" s="5" t="str" cm="1">
        <f t="array" aca="1" ref="AA75" ca="1">IFERROR(INDIRECT("Data"&amp;"!"&amp;ADDRESS(MATCH($V$1,Data!$A:$A,0)+3+$U75,MATCH(AA$1,Data!$2:$2,0)+3,4)),"")</f>
        <v/>
      </c>
      <c r="AB75" s="5" t="str" cm="1">
        <f t="array" aca="1" ref="AB75" ca="1">IFERROR(INDIRECT("Data"&amp;"!"&amp;ADDRESS(MATCH($V$1,Data!$A:$A,0)+3+$U75,MATCH(AB$1,Data!$2:$2,0)+3,4)),"")</f>
        <v/>
      </c>
      <c r="AC75" s="5" t="str" cm="1">
        <f t="array" aca="1" ref="AC75" ca="1">IFERROR(INDIRECT("Data"&amp;"!"&amp;ADDRESS(MATCH($V$1,Data!$A:$A,0)+3+$U75,MATCH(AC$1,Data!$2:$2,0)+3,4)),"")</f>
        <v/>
      </c>
      <c r="AD75" s="5" t="str" cm="1">
        <f t="array" aca="1" ref="AD75" ca="1">IFERROR(INDIRECT("Data"&amp;"!"&amp;ADDRESS(MATCH($V$1,Data!$A:$A,0)+3+$U75,MATCH(AD$1,Data!$2:$2,0)+3,4)),"")</f>
        <v/>
      </c>
      <c r="AE75" s="5" t="str" cm="1">
        <f t="array" aca="1" ref="AE75" ca="1">IFERROR(INDIRECT("Data"&amp;"!"&amp;ADDRESS(MATCH($V$1,Data!$A:$A,0)+3+$U75,MATCH(AE$1,Data!$2:$2,0)+3,4)),"")</f>
        <v/>
      </c>
      <c r="AF75" s="5" t="str" cm="1">
        <f t="array" aca="1" ref="AF75" ca="1">IFERROR(INDIRECT("Data"&amp;"!"&amp;ADDRESS(MATCH($V$1,Data!$A:$A,0)+3+$U75,MATCH(AF$1,Data!$2:$2,0)+3,4)),"")</f>
        <v/>
      </c>
      <c r="AG75" s="5" t="str" cm="1">
        <f t="array" aca="1" ref="AG75" ca="1">IFERROR(INDIRECT("Data"&amp;"!"&amp;ADDRESS(MATCH($V$1,Data!$A:$A,0)+3+$U75,MATCH(AG$1,Data!$2:$2,0)+3,4)),"")</f>
        <v/>
      </c>
    </row>
    <row r="76" spans="2:33" x14ac:dyDescent="0.25">
      <c r="B76" s="22" t="str" cm="1">
        <f t="array" aca="1" ref="B76" ca="1">IFERROR(INDIRECT("List"&amp;"!"&amp;ADDRESS(MATCH($A76,List!$B:$B,0),MATCH($B$1,List!$1:$1,0),4)),"")</f>
        <v/>
      </c>
      <c r="C76" s="22" t="str" cm="1">
        <f t="array" aca="1" ref="C76" ca="1">IFERROR(INDIRECT("List"&amp;"!"&amp;ADDRESS(MATCH($A76,List!$B:$B,0),MATCH($C$1,List!$1:$1,0),4)),"")</f>
        <v/>
      </c>
      <c r="D76" s="22" t="str" cm="1">
        <f t="array" aca="1" ref="D76" ca="1">IFERROR(INDIRECT("List"&amp;"!"&amp;ADDRESS(MATCH($A76,List!$B:$B,0),MATCH($D$1,List!$1:$1,0),4)),"")</f>
        <v/>
      </c>
      <c r="E76" s="22" t="str" cm="1">
        <f t="array" aca="1" ref="E76" ca="1">IFERROR(INDIRECT("List"&amp;"!"&amp;ADDRESS(MATCH($A76,List!$B:$B,0),MATCH($E$1,List!$1:$1,0),4)),"")</f>
        <v/>
      </c>
      <c r="F76" s="27" t="str" cm="1">
        <f t="array" aca="1" ref="F76" ca="1">IFERROR(INDIRECT("List"&amp;"!"&amp;ADDRESS(MATCH($A76,List!$B:$B,0),MATCH($F$1,List!$1:$1,0),4)),"")</f>
        <v/>
      </c>
      <c r="G76" s="31" t="str" cm="1">
        <f t="array" aca="1" ref="G76" ca="1">IFERROR(INDIRECT("Data"&amp;"!"&amp;ADDRESS(MATCH($G$1,Data!$A$1:$A$20,0),MATCH($A76,Data!$2:$2,0)+3,4)),"")</f>
        <v/>
      </c>
      <c r="H76" s="31" t="str" cm="1">
        <f t="array" aca="1" ref="H76" ca="1">IFERROR(INDIRECT("Data"&amp;"!"&amp;ADDRESS(MATCH($G$1,Data!$A$1:$A$20,0),MATCH($A76,Data!$2:$2,0),4)),"")</f>
        <v/>
      </c>
      <c r="I76" s="31" t="str" cm="1">
        <f t="array" aca="1" ref="I76" ca="1">IFERROR(INDIRECT("Data"&amp;"!"&amp;ADDRESS(MATCH($G$1,Data!$A$1:$A$20,0),MATCH($A76,Data!$2:$2,0)+1,4)),"")</f>
        <v/>
      </c>
      <c r="J76" s="31" t="str" cm="1">
        <f t="array" aca="1" ref="J76" ca="1">IFERROR(INDIRECT("Data"&amp;"!"&amp;ADDRESS(MATCH($G$1,Data!$A$1:$A$20,0),MATCH($A76,Data!$2:$2,0)+2,4)),"")</f>
        <v/>
      </c>
      <c r="K76" s="34" t="str" cm="1">
        <f t="array" aca="1" ref="K76" ca="1">IFERROR(INDIRECT("Data"&amp;"!"&amp;ADDRESS(MATCH($K$1,Data!$A$1:$A$20,0),MATCH($A76,Data!$2:$2,0)+2,4)),"")</f>
        <v/>
      </c>
      <c r="U76" s="7">
        <v>73</v>
      </c>
      <c r="V76" s="7">
        <v>0</v>
      </c>
      <c r="W76" s="5">
        <v>5</v>
      </c>
      <c r="X76" s="7" t="str" cm="1">
        <f t="array" aca="1" ref="X76" ca="1">IFERROR(INDIRECT("Data"&amp;"!"&amp;ADDRESS(MATCH($V$1,Data!$A:$A,0)+3+$U76,MATCH(X$1,Data!$2:$2,0)+3,4)),"")</f>
        <v/>
      </c>
      <c r="Y76" s="5" t="str" cm="1">
        <f t="array" aca="1" ref="Y76" ca="1">IFERROR(INDIRECT("Data"&amp;"!"&amp;ADDRESS(MATCH($V$1,Data!$A:$A,0)+3+$U76,MATCH(Y$1,Data!$2:$2,0)+3,4)),"")</f>
        <v/>
      </c>
      <c r="Z76" s="5" t="str" cm="1">
        <f t="array" aca="1" ref="Z76" ca="1">IFERROR(INDIRECT("Data"&amp;"!"&amp;ADDRESS(MATCH($V$1,Data!$A:$A,0)+3+$U76,MATCH(Z$1,Data!$2:$2,0)+3,4)),"")</f>
        <v/>
      </c>
      <c r="AA76" s="5" t="str" cm="1">
        <f t="array" aca="1" ref="AA76" ca="1">IFERROR(INDIRECT("Data"&amp;"!"&amp;ADDRESS(MATCH($V$1,Data!$A:$A,0)+3+$U76,MATCH(AA$1,Data!$2:$2,0)+3,4)),"")</f>
        <v/>
      </c>
      <c r="AB76" s="5" t="str" cm="1">
        <f t="array" aca="1" ref="AB76" ca="1">IFERROR(INDIRECT("Data"&amp;"!"&amp;ADDRESS(MATCH($V$1,Data!$A:$A,0)+3+$U76,MATCH(AB$1,Data!$2:$2,0)+3,4)),"")</f>
        <v/>
      </c>
      <c r="AC76" s="5" t="str" cm="1">
        <f t="array" aca="1" ref="AC76" ca="1">IFERROR(INDIRECT("Data"&amp;"!"&amp;ADDRESS(MATCH($V$1,Data!$A:$A,0)+3+$U76,MATCH(AC$1,Data!$2:$2,0)+3,4)),"")</f>
        <v/>
      </c>
      <c r="AD76" s="5" t="str" cm="1">
        <f t="array" aca="1" ref="AD76" ca="1">IFERROR(INDIRECT("Data"&amp;"!"&amp;ADDRESS(MATCH($V$1,Data!$A:$A,0)+3+$U76,MATCH(AD$1,Data!$2:$2,0)+3,4)),"")</f>
        <v/>
      </c>
      <c r="AE76" s="5" t="str" cm="1">
        <f t="array" aca="1" ref="AE76" ca="1">IFERROR(INDIRECT("Data"&amp;"!"&amp;ADDRESS(MATCH($V$1,Data!$A:$A,0)+3+$U76,MATCH(AE$1,Data!$2:$2,0)+3,4)),"")</f>
        <v/>
      </c>
      <c r="AF76" s="5" t="str" cm="1">
        <f t="array" aca="1" ref="AF76" ca="1">IFERROR(INDIRECT("Data"&amp;"!"&amp;ADDRESS(MATCH($V$1,Data!$A:$A,0)+3+$U76,MATCH(AF$1,Data!$2:$2,0)+3,4)),"")</f>
        <v/>
      </c>
      <c r="AG76" s="5" t="str" cm="1">
        <f t="array" aca="1" ref="AG76" ca="1">IFERROR(INDIRECT("Data"&amp;"!"&amp;ADDRESS(MATCH($V$1,Data!$A:$A,0)+3+$U76,MATCH(AG$1,Data!$2:$2,0)+3,4)),"")</f>
        <v/>
      </c>
    </row>
    <row r="77" spans="2:33" x14ac:dyDescent="0.25">
      <c r="B77" s="22" t="str" cm="1">
        <f t="array" aca="1" ref="B77" ca="1">IFERROR(INDIRECT("List"&amp;"!"&amp;ADDRESS(MATCH($A77,List!$B:$B,0),MATCH($B$1,List!$1:$1,0),4)),"")</f>
        <v/>
      </c>
      <c r="C77" s="22" t="str" cm="1">
        <f t="array" aca="1" ref="C77" ca="1">IFERROR(INDIRECT("List"&amp;"!"&amp;ADDRESS(MATCH($A77,List!$B:$B,0),MATCH($C$1,List!$1:$1,0),4)),"")</f>
        <v/>
      </c>
      <c r="D77" s="22" t="str" cm="1">
        <f t="array" aca="1" ref="D77" ca="1">IFERROR(INDIRECT("List"&amp;"!"&amp;ADDRESS(MATCH($A77,List!$B:$B,0),MATCH($D$1,List!$1:$1,0),4)),"")</f>
        <v/>
      </c>
      <c r="E77" s="22" t="str" cm="1">
        <f t="array" aca="1" ref="E77" ca="1">IFERROR(INDIRECT("List"&amp;"!"&amp;ADDRESS(MATCH($A77,List!$B:$B,0),MATCH($E$1,List!$1:$1,0),4)),"")</f>
        <v/>
      </c>
      <c r="F77" s="27" t="str" cm="1">
        <f t="array" aca="1" ref="F77" ca="1">IFERROR(INDIRECT("List"&amp;"!"&amp;ADDRESS(MATCH($A77,List!$B:$B,0),MATCH($F$1,List!$1:$1,0),4)),"")</f>
        <v/>
      </c>
      <c r="G77" s="31" t="str" cm="1">
        <f t="array" aca="1" ref="G77" ca="1">IFERROR(INDIRECT("Data"&amp;"!"&amp;ADDRESS(MATCH($G$1,Data!$A$1:$A$20,0),MATCH($A77,Data!$2:$2,0)+3,4)),"")</f>
        <v/>
      </c>
      <c r="H77" s="31" t="str" cm="1">
        <f t="array" aca="1" ref="H77" ca="1">IFERROR(INDIRECT("Data"&amp;"!"&amp;ADDRESS(MATCH($G$1,Data!$A$1:$A$20,0),MATCH($A77,Data!$2:$2,0),4)),"")</f>
        <v/>
      </c>
      <c r="I77" s="31" t="str" cm="1">
        <f t="array" aca="1" ref="I77" ca="1">IFERROR(INDIRECT("Data"&amp;"!"&amp;ADDRESS(MATCH($G$1,Data!$A$1:$A$20,0),MATCH($A77,Data!$2:$2,0)+1,4)),"")</f>
        <v/>
      </c>
      <c r="J77" s="31" t="str" cm="1">
        <f t="array" aca="1" ref="J77" ca="1">IFERROR(INDIRECT("Data"&amp;"!"&amp;ADDRESS(MATCH($G$1,Data!$A$1:$A$20,0),MATCH($A77,Data!$2:$2,0)+2,4)),"")</f>
        <v/>
      </c>
      <c r="K77" s="34" t="str" cm="1">
        <f t="array" aca="1" ref="K77" ca="1">IFERROR(INDIRECT("Data"&amp;"!"&amp;ADDRESS(MATCH($K$1,Data!$A$1:$A$20,0),MATCH($A77,Data!$2:$2,0)+2,4)),"")</f>
        <v/>
      </c>
      <c r="U77" s="7">
        <v>74</v>
      </c>
      <c r="V77" s="7">
        <v>0</v>
      </c>
      <c r="W77" s="5">
        <v>10</v>
      </c>
      <c r="X77" s="7" t="str" cm="1">
        <f t="array" aca="1" ref="X77" ca="1">IFERROR(INDIRECT("Data"&amp;"!"&amp;ADDRESS(MATCH($V$1,Data!$A:$A,0)+3+$U77,MATCH(X$1,Data!$2:$2,0)+3,4)),"")</f>
        <v/>
      </c>
      <c r="Y77" s="5" t="str" cm="1">
        <f t="array" aca="1" ref="Y77" ca="1">IFERROR(INDIRECT("Data"&amp;"!"&amp;ADDRESS(MATCH($V$1,Data!$A:$A,0)+3+$U77,MATCH(Y$1,Data!$2:$2,0)+3,4)),"")</f>
        <v/>
      </c>
      <c r="Z77" s="5" t="str" cm="1">
        <f t="array" aca="1" ref="Z77" ca="1">IFERROR(INDIRECT("Data"&amp;"!"&amp;ADDRESS(MATCH($V$1,Data!$A:$A,0)+3+$U77,MATCH(Z$1,Data!$2:$2,0)+3,4)),"")</f>
        <v/>
      </c>
      <c r="AA77" s="5" t="str" cm="1">
        <f t="array" aca="1" ref="AA77" ca="1">IFERROR(INDIRECT("Data"&amp;"!"&amp;ADDRESS(MATCH($V$1,Data!$A:$A,0)+3+$U77,MATCH(AA$1,Data!$2:$2,0)+3,4)),"")</f>
        <v/>
      </c>
      <c r="AB77" s="5" t="str" cm="1">
        <f t="array" aca="1" ref="AB77" ca="1">IFERROR(INDIRECT("Data"&amp;"!"&amp;ADDRESS(MATCH($V$1,Data!$A:$A,0)+3+$U77,MATCH(AB$1,Data!$2:$2,0)+3,4)),"")</f>
        <v/>
      </c>
      <c r="AC77" s="5" t="str" cm="1">
        <f t="array" aca="1" ref="AC77" ca="1">IFERROR(INDIRECT("Data"&amp;"!"&amp;ADDRESS(MATCH($V$1,Data!$A:$A,0)+3+$U77,MATCH(AC$1,Data!$2:$2,0)+3,4)),"")</f>
        <v/>
      </c>
      <c r="AD77" s="5" t="str" cm="1">
        <f t="array" aca="1" ref="AD77" ca="1">IFERROR(INDIRECT("Data"&amp;"!"&amp;ADDRESS(MATCH($V$1,Data!$A:$A,0)+3+$U77,MATCH(AD$1,Data!$2:$2,0)+3,4)),"")</f>
        <v/>
      </c>
      <c r="AE77" s="5" t="str" cm="1">
        <f t="array" aca="1" ref="AE77" ca="1">IFERROR(INDIRECT("Data"&amp;"!"&amp;ADDRESS(MATCH($V$1,Data!$A:$A,0)+3+$U77,MATCH(AE$1,Data!$2:$2,0)+3,4)),"")</f>
        <v/>
      </c>
      <c r="AF77" s="5" t="str" cm="1">
        <f t="array" aca="1" ref="AF77" ca="1">IFERROR(INDIRECT("Data"&amp;"!"&amp;ADDRESS(MATCH($V$1,Data!$A:$A,0)+3+$U77,MATCH(AF$1,Data!$2:$2,0)+3,4)),"")</f>
        <v/>
      </c>
      <c r="AG77" s="5" t="str" cm="1">
        <f t="array" aca="1" ref="AG77" ca="1">IFERROR(INDIRECT("Data"&amp;"!"&amp;ADDRESS(MATCH($V$1,Data!$A:$A,0)+3+$U77,MATCH(AG$1,Data!$2:$2,0)+3,4)),"")</f>
        <v/>
      </c>
    </row>
    <row r="78" spans="2:33" x14ac:dyDescent="0.25">
      <c r="B78" s="22" t="str" cm="1">
        <f t="array" aca="1" ref="B78" ca="1">IFERROR(INDIRECT("List"&amp;"!"&amp;ADDRESS(MATCH($A78,List!$B:$B,0),MATCH($B$1,List!$1:$1,0),4)),"")</f>
        <v/>
      </c>
      <c r="C78" s="22" t="str" cm="1">
        <f t="array" aca="1" ref="C78" ca="1">IFERROR(INDIRECT("List"&amp;"!"&amp;ADDRESS(MATCH($A78,List!$B:$B,0),MATCH($C$1,List!$1:$1,0),4)),"")</f>
        <v/>
      </c>
      <c r="D78" s="22" t="str" cm="1">
        <f t="array" aca="1" ref="D78" ca="1">IFERROR(INDIRECT("List"&amp;"!"&amp;ADDRESS(MATCH($A78,List!$B:$B,0),MATCH($D$1,List!$1:$1,0),4)),"")</f>
        <v/>
      </c>
      <c r="E78" s="22" t="str" cm="1">
        <f t="array" aca="1" ref="E78" ca="1">IFERROR(INDIRECT("List"&amp;"!"&amp;ADDRESS(MATCH($A78,List!$B:$B,0),MATCH($E$1,List!$1:$1,0),4)),"")</f>
        <v/>
      </c>
      <c r="F78" s="27" t="str" cm="1">
        <f t="array" aca="1" ref="F78" ca="1">IFERROR(INDIRECT("List"&amp;"!"&amp;ADDRESS(MATCH($A78,List!$B:$B,0),MATCH($F$1,List!$1:$1,0),4)),"")</f>
        <v/>
      </c>
      <c r="G78" s="31" t="str" cm="1">
        <f t="array" aca="1" ref="G78" ca="1">IFERROR(INDIRECT("Data"&amp;"!"&amp;ADDRESS(MATCH($G$1,Data!$A$1:$A$20,0),MATCH($A78,Data!$2:$2,0)+3,4)),"")</f>
        <v/>
      </c>
      <c r="H78" s="31" t="str" cm="1">
        <f t="array" aca="1" ref="H78" ca="1">IFERROR(INDIRECT("Data"&amp;"!"&amp;ADDRESS(MATCH($G$1,Data!$A$1:$A$20,0),MATCH($A78,Data!$2:$2,0),4)),"")</f>
        <v/>
      </c>
      <c r="I78" s="31" t="str" cm="1">
        <f t="array" aca="1" ref="I78" ca="1">IFERROR(INDIRECT("Data"&amp;"!"&amp;ADDRESS(MATCH($G$1,Data!$A$1:$A$20,0),MATCH($A78,Data!$2:$2,0)+1,4)),"")</f>
        <v/>
      </c>
      <c r="J78" s="31" t="str" cm="1">
        <f t="array" aca="1" ref="J78" ca="1">IFERROR(INDIRECT("Data"&amp;"!"&amp;ADDRESS(MATCH($G$1,Data!$A$1:$A$20,0),MATCH($A78,Data!$2:$2,0)+2,4)),"")</f>
        <v/>
      </c>
      <c r="K78" s="34" t="str" cm="1">
        <f t="array" aca="1" ref="K78" ca="1">IFERROR(INDIRECT("Data"&amp;"!"&amp;ADDRESS(MATCH($K$1,Data!$A$1:$A$20,0),MATCH($A78,Data!$2:$2,0)+2,4)),"")</f>
        <v/>
      </c>
      <c r="U78" s="7">
        <v>75</v>
      </c>
      <c r="V78" s="7">
        <v>0</v>
      </c>
      <c r="W78" s="5">
        <v>15</v>
      </c>
      <c r="X78" s="7" t="str" cm="1">
        <f t="array" aca="1" ref="X78" ca="1">IFERROR(INDIRECT("Data"&amp;"!"&amp;ADDRESS(MATCH($V$1,Data!$A:$A,0)+3+$U78,MATCH(X$1,Data!$2:$2,0)+3,4)),"")</f>
        <v/>
      </c>
      <c r="Y78" s="5" t="str" cm="1">
        <f t="array" aca="1" ref="Y78" ca="1">IFERROR(INDIRECT("Data"&amp;"!"&amp;ADDRESS(MATCH($V$1,Data!$A:$A,0)+3+$U78,MATCH(Y$1,Data!$2:$2,0)+3,4)),"")</f>
        <v/>
      </c>
      <c r="Z78" s="5" t="str" cm="1">
        <f t="array" aca="1" ref="Z78" ca="1">IFERROR(INDIRECT("Data"&amp;"!"&amp;ADDRESS(MATCH($V$1,Data!$A:$A,0)+3+$U78,MATCH(Z$1,Data!$2:$2,0)+3,4)),"")</f>
        <v/>
      </c>
      <c r="AA78" s="5" t="str" cm="1">
        <f t="array" aca="1" ref="AA78" ca="1">IFERROR(INDIRECT("Data"&amp;"!"&amp;ADDRESS(MATCH($V$1,Data!$A:$A,0)+3+$U78,MATCH(AA$1,Data!$2:$2,0)+3,4)),"")</f>
        <v/>
      </c>
      <c r="AB78" s="5" t="str" cm="1">
        <f t="array" aca="1" ref="AB78" ca="1">IFERROR(INDIRECT("Data"&amp;"!"&amp;ADDRESS(MATCH($V$1,Data!$A:$A,0)+3+$U78,MATCH(AB$1,Data!$2:$2,0)+3,4)),"")</f>
        <v/>
      </c>
      <c r="AC78" s="5" t="str" cm="1">
        <f t="array" aca="1" ref="AC78" ca="1">IFERROR(INDIRECT("Data"&amp;"!"&amp;ADDRESS(MATCH($V$1,Data!$A:$A,0)+3+$U78,MATCH(AC$1,Data!$2:$2,0)+3,4)),"")</f>
        <v/>
      </c>
      <c r="AD78" s="5" t="str" cm="1">
        <f t="array" aca="1" ref="AD78" ca="1">IFERROR(INDIRECT("Data"&amp;"!"&amp;ADDRESS(MATCH($V$1,Data!$A:$A,0)+3+$U78,MATCH(AD$1,Data!$2:$2,0)+3,4)),"")</f>
        <v/>
      </c>
      <c r="AE78" s="5" t="str" cm="1">
        <f t="array" aca="1" ref="AE78" ca="1">IFERROR(INDIRECT("Data"&amp;"!"&amp;ADDRESS(MATCH($V$1,Data!$A:$A,0)+3+$U78,MATCH(AE$1,Data!$2:$2,0)+3,4)),"")</f>
        <v/>
      </c>
      <c r="AF78" s="5" t="str" cm="1">
        <f t="array" aca="1" ref="AF78" ca="1">IFERROR(INDIRECT("Data"&amp;"!"&amp;ADDRESS(MATCH($V$1,Data!$A:$A,0)+3+$U78,MATCH(AF$1,Data!$2:$2,0)+3,4)),"")</f>
        <v/>
      </c>
      <c r="AG78" s="5" t="str" cm="1">
        <f t="array" aca="1" ref="AG78" ca="1">IFERROR(INDIRECT("Data"&amp;"!"&amp;ADDRESS(MATCH($V$1,Data!$A:$A,0)+3+$U78,MATCH(AG$1,Data!$2:$2,0)+3,4)),"")</f>
        <v/>
      </c>
    </row>
    <row r="79" spans="2:33" x14ac:dyDescent="0.25">
      <c r="B79" s="22" t="str" cm="1">
        <f t="array" aca="1" ref="B79" ca="1">IFERROR(INDIRECT("List"&amp;"!"&amp;ADDRESS(MATCH($A79,List!$B:$B,0),MATCH($B$1,List!$1:$1,0),4)),"")</f>
        <v/>
      </c>
      <c r="C79" s="22" t="str" cm="1">
        <f t="array" aca="1" ref="C79" ca="1">IFERROR(INDIRECT("List"&amp;"!"&amp;ADDRESS(MATCH($A79,List!$B:$B,0),MATCH($C$1,List!$1:$1,0),4)),"")</f>
        <v/>
      </c>
      <c r="D79" s="22" t="str" cm="1">
        <f t="array" aca="1" ref="D79" ca="1">IFERROR(INDIRECT("List"&amp;"!"&amp;ADDRESS(MATCH($A79,List!$B:$B,0),MATCH($D$1,List!$1:$1,0),4)),"")</f>
        <v/>
      </c>
      <c r="E79" s="22" t="str" cm="1">
        <f t="array" aca="1" ref="E79" ca="1">IFERROR(INDIRECT("List"&amp;"!"&amp;ADDRESS(MATCH($A79,List!$B:$B,0),MATCH($E$1,List!$1:$1,0),4)),"")</f>
        <v/>
      </c>
      <c r="F79" s="27" t="str" cm="1">
        <f t="array" aca="1" ref="F79" ca="1">IFERROR(INDIRECT("List"&amp;"!"&amp;ADDRESS(MATCH($A79,List!$B:$B,0),MATCH($F$1,List!$1:$1,0),4)),"")</f>
        <v/>
      </c>
      <c r="G79" s="31" t="str" cm="1">
        <f t="array" aca="1" ref="G79" ca="1">IFERROR(INDIRECT("Data"&amp;"!"&amp;ADDRESS(MATCH($G$1,Data!$A$1:$A$20,0),MATCH($A79,Data!$2:$2,0)+3,4)),"")</f>
        <v/>
      </c>
      <c r="H79" s="31" t="str" cm="1">
        <f t="array" aca="1" ref="H79" ca="1">IFERROR(INDIRECT("Data"&amp;"!"&amp;ADDRESS(MATCH($G$1,Data!$A$1:$A$20,0),MATCH($A79,Data!$2:$2,0),4)),"")</f>
        <v/>
      </c>
      <c r="I79" s="31" t="str" cm="1">
        <f t="array" aca="1" ref="I79" ca="1">IFERROR(INDIRECT("Data"&amp;"!"&amp;ADDRESS(MATCH($G$1,Data!$A$1:$A$20,0),MATCH($A79,Data!$2:$2,0)+1,4)),"")</f>
        <v/>
      </c>
      <c r="J79" s="31" t="str" cm="1">
        <f t="array" aca="1" ref="J79" ca="1">IFERROR(INDIRECT("Data"&amp;"!"&amp;ADDRESS(MATCH($G$1,Data!$A$1:$A$20,0),MATCH($A79,Data!$2:$2,0)+2,4)),"")</f>
        <v/>
      </c>
      <c r="K79" s="34" t="str" cm="1">
        <f t="array" aca="1" ref="K79" ca="1">IFERROR(INDIRECT("Data"&amp;"!"&amp;ADDRESS(MATCH($K$1,Data!$A$1:$A$20,0),MATCH($A79,Data!$2:$2,0)+2,4)),"")</f>
        <v/>
      </c>
      <c r="U79" s="7">
        <v>76</v>
      </c>
      <c r="V79" s="7">
        <v>0</v>
      </c>
      <c r="W79" s="5">
        <v>20</v>
      </c>
      <c r="X79" s="7" t="str" cm="1">
        <f t="array" aca="1" ref="X79" ca="1">IFERROR(INDIRECT("Data"&amp;"!"&amp;ADDRESS(MATCH($V$1,Data!$A:$A,0)+3+$U79,MATCH(X$1,Data!$2:$2,0)+3,4)),"")</f>
        <v/>
      </c>
      <c r="Y79" s="5" t="str" cm="1">
        <f t="array" aca="1" ref="Y79" ca="1">IFERROR(INDIRECT("Data"&amp;"!"&amp;ADDRESS(MATCH($V$1,Data!$A:$A,0)+3+$U79,MATCH(Y$1,Data!$2:$2,0)+3,4)),"")</f>
        <v/>
      </c>
      <c r="Z79" s="5" t="str" cm="1">
        <f t="array" aca="1" ref="Z79" ca="1">IFERROR(INDIRECT("Data"&amp;"!"&amp;ADDRESS(MATCH($V$1,Data!$A:$A,0)+3+$U79,MATCH(Z$1,Data!$2:$2,0)+3,4)),"")</f>
        <v/>
      </c>
      <c r="AA79" s="5" t="str" cm="1">
        <f t="array" aca="1" ref="AA79" ca="1">IFERROR(INDIRECT("Data"&amp;"!"&amp;ADDRESS(MATCH($V$1,Data!$A:$A,0)+3+$U79,MATCH(AA$1,Data!$2:$2,0)+3,4)),"")</f>
        <v/>
      </c>
      <c r="AB79" s="5" t="str" cm="1">
        <f t="array" aca="1" ref="AB79" ca="1">IFERROR(INDIRECT("Data"&amp;"!"&amp;ADDRESS(MATCH($V$1,Data!$A:$A,0)+3+$U79,MATCH(AB$1,Data!$2:$2,0)+3,4)),"")</f>
        <v/>
      </c>
      <c r="AC79" s="5" t="str" cm="1">
        <f t="array" aca="1" ref="AC79" ca="1">IFERROR(INDIRECT("Data"&amp;"!"&amp;ADDRESS(MATCH($V$1,Data!$A:$A,0)+3+$U79,MATCH(AC$1,Data!$2:$2,0)+3,4)),"")</f>
        <v/>
      </c>
      <c r="AD79" s="5" t="str" cm="1">
        <f t="array" aca="1" ref="AD79" ca="1">IFERROR(INDIRECT("Data"&amp;"!"&amp;ADDRESS(MATCH($V$1,Data!$A:$A,0)+3+$U79,MATCH(AD$1,Data!$2:$2,0)+3,4)),"")</f>
        <v/>
      </c>
      <c r="AE79" s="5" t="str" cm="1">
        <f t="array" aca="1" ref="AE79" ca="1">IFERROR(INDIRECT("Data"&amp;"!"&amp;ADDRESS(MATCH($V$1,Data!$A:$A,0)+3+$U79,MATCH(AE$1,Data!$2:$2,0)+3,4)),"")</f>
        <v/>
      </c>
      <c r="AF79" s="5" t="str" cm="1">
        <f t="array" aca="1" ref="AF79" ca="1">IFERROR(INDIRECT("Data"&amp;"!"&amp;ADDRESS(MATCH($V$1,Data!$A:$A,0)+3+$U79,MATCH(AF$1,Data!$2:$2,0)+3,4)),"")</f>
        <v/>
      </c>
      <c r="AG79" s="5" t="str" cm="1">
        <f t="array" aca="1" ref="AG79" ca="1">IFERROR(INDIRECT("Data"&amp;"!"&amp;ADDRESS(MATCH($V$1,Data!$A:$A,0)+3+$U79,MATCH(AG$1,Data!$2:$2,0)+3,4)),"")</f>
        <v/>
      </c>
    </row>
    <row r="80" spans="2:33" x14ac:dyDescent="0.25">
      <c r="B80" s="22" t="str" cm="1">
        <f t="array" aca="1" ref="B80" ca="1">IFERROR(INDIRECT("List"&amp;"!"&amp;ADDRESS(MATCH($A80,List!$B:$B,0),MATCH($B$1,List!$1:$1,0),4)),"")</f>
        <v/>
      </c>
      <c r="C80" s="22" t="str" cm="1">
        <f t="array" aca="1" ref="C80" ca="1">IFERROR(INDIRECT("List"&amp;"!"&amp;ADDRESS(MATCH($A80,List!$B:$B,0),MATCH($C$1,List!$1:$1,0),4)),"")</f>
        <v/>
      </c>
      <c r="D80" s="22" t="str" cm="1">
        <f t="array" aca="1" ref="D80" ca="1">IFERROR(INDIRECT("List"&amp;"!"&amp;ADDRESS(MATCH($A80,List!$B:$B,0),MATCH($D$1,List!$1:$1,0),4)),"")</f>
        <v/>
      </c>
      <c r="E80" s="22" t="str" cm="1">
        <f t="array" aca="1" ref="E80" ca="1">IFERROR(INDIRECT("List"&amp;"!"&amp;ADDRESS(MATCH($A80,List!$B:$B,0),MATCH($E$1,List!$1:$1,0),4)),"")</f>
        <v/>
      </c>
      <c r="F80" s="27" t="str" cm="1">
        <f t="array" aca="1" ref="F80" ca="1">IFERROR(INDIRECT("List"&amp;"!"&amp;ADDRESS(MATCH($A80,List!$B:$B,0),MATCH($F$1,List!$1:$1,0),4)),"")</f>
        <v/>
      </c>
      <c r="G80" s="31" t="str" cm="1">
        <f t="array" aca="1" ref="G80" ca="1">IFERROR(INDIRECT("Data"&amp;"!"&amp;ADDRESS(MATCH($G$1,Data!$A$1:$A$20,0),MATCH($A80,Data!$2:$2,0)+3,4)),"")</f>
        <v/>
      </c>
      <c r="H80" s="31" t="str" cm="1">
        <f t="array" aca="1" ref="H80" ca="1">IFERROR(INDIRECT("Data"&amp;"!"&amp;ADDRESS(MATCH($G$1,Data!$A$1:$A$20,0),MATCH($A80,Data!$2:$2,0),4)),"")</f>
        <v/>
      </c>
      <c r="I80" s="31" t="str" cm="1">
        <f t="array" aca="1" ref="I80" ca="1">IFERROR(INDIRECT("Data"&amp;"!"&amp;ADDRESS(MATCH($G$1,Data!$A$1:$A$20,0),MATCH($A80,Data!$2:$2,0)+1,4)),"")</f>
        <v/>
      </c>
      <c r="J80" s="31" t="str" cm="1">
        <f t="array" aca="1" ref="J80" ca="1">IFERROR(INDIRECT("Data"&amp;"!"&amp;ADDRESS(MATCH($G$1,Data!$A$1:$A$20,0),MATCH($A80,Data!$2:$2,0)+2,4)),"")</f>
        <v/>
      </c>
      <c r="K80" s="34" t="str" cm="1">
        <f t="array" aca="1" ref="K80" ca="1">IFERROR(INDIRECT("Data"&amp;"!"&amp;ADDRESS(MATCH($K$1,Data!$A$1:$A$20,0),MATCH($A80,Data!$2:$2,0)+2,4)),"")</f>
        <v/>
      </c>
      <c r="U80" s="7">
        <v>77</v>
      </c>
      <c r="V80" s="7">
        <v>0</v>
      </c>
      <c r="W80" s="5">
        <v>25</v>
      </c>
      <c r="X80" s="7" t="str" cm="1">
        <f t="array" aca="1" ref="X80" ca="1">IFERROR(INDIRECT("Data"&amp;"!"&amp;ADDRESS(MATCH($V$1,Data!$A:$A,0)+3+$U80,MATCH(X$1,Data!$2:$2,0)+3,4)),"")</f>
        <v/>
      </c>
      <c r="Y80" s="5" t="str" cm="1">
        <f t="array" aca="1" ref="Y80" ca="1">IFERROR(INDIRECT("Data"&amp;"!"&amp;ADDRESS(MATCH($V$1,Data!$A:$A,0)+3+$U80,MATCH(Y$1,Data!$2:$2,0)+3,4)),"")</f>
        <v/>
      </c>
      <c r="Z80" s="5" t="str" cm="1">
        <f t="array" aca="1" ref="Z80" ca="1">IFERROR(INDIRECT("Data"&amp;"!"&amp;ADDRESS(MATCH($V$1,Data!$A:$A,0)+3+$U80,MATCH(Z$1,Data!$2:$2,0)+3,4)),"")</f>
        <v/>
      </c>
      <c r="AA80" s="5" t="str" cm="1">
        <f t="array" aca="1" ref="AA80" ca="1">IFERROR(INDIRECT("Data"&amp;"!"&amp;ADDRESS(MATCH($V$1,Data!$A:$A,0)+3+$U80,MATCH(AA$1,Data!$2:$2,0)+3,4)),"")</f>
        <v/>
      </c>
      <c r="AB80" s="5" t="str" cm="1">
        <f t="array" aca="1" ref="AB80" ca="1">IFERROR(INDIRECT("Data"&amp;"!"&amp;ADDRESS(MATCH($V$1,Data!$A:$A,0)+3+$U80,MATCH(AB$1,Data!$2:$2,0)+3,4)),"")</f>
        <v/>
      </c>
      <c r="AC80" s="5" t="str" cm="1">
        <f t="array" aca="1" ref="AC80" ca="1">IFERROR(INDIRECT("Data"&amp;"!"&amp;ADDRESS(MATCH($V$1,Data!$A:$A,0)+3+$U80,MATCH(AC$1,Data!$2:$2,0)+3,4)),"")</f>
        <v/>
      </c>
      <c r="AD80" s="5" t="str" cm="1">
        <f t="array" aca="1" ref="AD80" ca="1">IFERROR(INDIRECT("Data"&amp;"!"&amp;ADDRESS(MATCH($V$1,Data!$A:$A,0)+3+$U80,MATCH(AD$1,Data!$2:$2,0)+3,4)),"")</f>
        <v/>
      </c>
      <c r="AE80" s="5" t="str" cm="1">
        <f t="array" aca="1" ref="AE80" ca="1">IFERROR(INDIRECT("Data"&amp;"!"&amp;ADDRESS(MATCH($V$1,Data!$A:$A,0)+3+$U80,MATCH(AE$1,Data!$2:$2,0)+3,4)),"")</f>
        <v/>
      </c>
      <c r="AF80" s="5" t="str" cm="1">
        <f t="array" aca="1" ref="AF80" ca="1">IFERROR(INDIRECT("Data"&amp;"!"&amp;ADDRESS(MATCH($V$1,Data!$A:$A,0)+3+$U80,MATCH(AF$1,Data!$2:$2,0)+3,4)),"")</f>
        <v/>
      </c>
      <c r="AG80" s="5" t="str" cm="1">
        <f t="array" aca="1" ref="AG80" ca="1">IFERROR(INDIRECT("Data"&amp;"!"&amp;ADDRESS(MATCH($V$1,Data!$A:$A,0)+3+$U80,MATCH(AG$1,Data!$2:$2,0)+3,4)),"")</f>
        <v/>
      </c>
    </row>
    <row r="81" spans="2:33" x14ac:dyDescent="0.25">
      <c r="B81" s="22" t="str" cm="1">
        <f t="array" aca="1" ref="B81" ca="1">IFERROR(INDIRECT("List"&amp;"!"&amp;ADDRESS(MATCH($A81,List!$B:$B,0),MATCH($B$1,List!$1:$1,0),4)),"")</f>
        <v/>
      </c>
      <c r="C81" s="22" t="str" cm="1">
        <f t="array" aca="1" ref="C81" ca="1">IFERROR(INDIRECT("List"&amp;"!"&amp;ADDRESS(MATCH($A81,List!$B:$B,0),MATCH($C$1,List!$1:$1,0),4)),"")</f>
        <v/>
      </c>
      <c r="D81" s="22" t="str" cm="1">
        <f t="array" aca="1" ref="D81" ca="1">IFERROR(INDIRECT("List"&amp;"!"&amp;ADDRESS(MATCH($A81,List!$B:$B,0),MATCH($D$1,List!$1:$1,0),4)),"")</f>
        <v/>
      </c>
      <c r="E81" s="22" t="str" cm="1">
        <f t="array" aca="1" ref="E81" ca="1">IFERROR(INDIRECT("List"&amp;"!"&amp;ADDRESS(MATCH($A81,List!$B:$B,0),MATCH($E$1,List!$1:$1,0),4)),"")</f>
        <v/>
      </c>
      <c r="F81" s="27" t="str" cm="1">
        <f t="array" aca="1" ref="F81" ca="1">IFERROR(INDIRECT("List"&amp;"!"&amp;ADDRESS(MATCH($A81,List!$B:$B,0),MATCH($F$1,List!$1:$1,0),4)),"")</f>
        <v/>
      </c>
      <c r="G81" s="31" t="str" cm="1">
        <f t="array" aca="1" ref="G81" ca="1">IFERROR(INDIRECT("Data"&amp;"!"&amp;ADDRESS(MATCH($G$1,Data!$A$1:$A$20,0),MATCH($A81,Data!$2:$2,0)+3,4)),"")</f>
        <v/>
      </c>
      <c r="H81" s="31" t="str" cm="1">
        <f t="array" aca="1" ref="H81" ca="1">IFERROR(INDIRECT("Data"&amp;"!"&amp;ADDRESS(MATCH($G$1,Data!$A$1:$A$20,0),MATCH($A81,Data!$2:$2,0),4)),"")</f>
        <v/>
      </c>
      <c r="I81" s="31" t="str" cm="1">
        <f t="array" aca="1" ref="I81" ca="1">IFERROR(INDIRECT("Data"&amp;"!"&amp;ADDRESS(MATCH($G$1,Data!$A$1:$A$20,0),MATCH($A81,Data!$2:$2,0)+1,4)),"")</f>
        <v/>
      </c>
      <c r="J81" s="31" t="str" cm="1">
        <f t="array" aca="1" ref="J81" ca="1">IFERROR(INDIRECT("Data"&amp;"!"&amp;ADDRESS(MATCH($G$1,Data!$A$1:$A$20,0),MATCH($A81,Data!$2:$2,0)+2,4)),"")</f>
        <v/>
      </c>
      <c r="K81" s="34" t="str" cm="1">
        <f t="array" aca="1" ref="K81" ca="1">IFERROR(INDIRECT("Data"&amp;"!"&amp;ADDRESS(MATCH($K$1,Data!$A$1:$A$20,0),MATCH($A81,Data!$2:$2,0)+2,4)),"")</f>
        <v/>
      </c>
      <c r="U81" s="7">
        <v>78</v>
      </c>
      <c r="V81" s="7">
        <v>0</v>
      </c>
      <c r="W81" s="5">
        <v>30</v>
      </c>
      <c r="X81" s="7" t="str" cm="1">
        <f t="array" aca="1" ref="X81" ca="1">IFERROR(INDIRECT("Data"&amp;"!"&amp;ADDRESS(MATCH($V$1,Data!$A:$A,0)+3+$U81,MATCH(X$1,Data!$2:$2,0)+3,4)),"")</f>
        <v/>
      </c>
      <c r="Y81" s="5" t="str" cm="1">
        <f t="array" aca="1" ref="Y81" ca="1">IFERROR(INDIRECT("Data"&amp;"!"&amp;ADDRESS(MATCH($V$1,Data!$A:$A,0)+3+$U81,MATCH(Y$1,Data!$2:$2,0)+3,4)),"")</f>
        <v/>
      </c>
      <c r="Z81" s="5" t="str" cm="1">
        <f t="array" aca="1" ref="Z81" ca="1">IFERROR(INDIRECT("Data"&amp;"!"&amp;ADDRESS(MATCH($V$1,Data!$A:$A,0)+3+$U81,MATCH(Z$1,Data!$2:$2,0)+3,4)),"")</f>
        <v/>
      </c>
      <c r="AA81" s="5" t="str" cm="1">
        <f t="array" aca="1" ref="AA81" ca="1">IFERROR(INDIRECT("Data"&amp;"!"&amp;ADDRESS(MATCH($V$1,Data!$A:$A,0)+3+$U81,MATCH(AA$1,Data!$2:$2,0)+3,4)),"")</f>
        <v/>
      </c>
      <c r="AB81" s="5" t="str" cm="1">
        <f t="array" aca="1" ref="AB81" ca="1">IFERROR(INDIRECT("Data"&amp;"!"&amp;ADDRESS(MATCH($V$1,Data!$A:$A,0)+3+$U81,MATCH(AB$1,Data!$2:$2,0)+3,4)),"")</f>
        <v/>
      </c>
      <c r="AC81" s="5" t="str" cm="1">
        <f t="array" aca="1" ref="AC81" ca="1">IFERROR(INDIRECT("Data"&amp;"!"&amp;ADDRESS(MATCH($V$1,Data!$A:$A,0)+3+$U81,MATCH(AC$1,Data!$2:$2,0)+3,4)),"")</f>
        <v/>
      </c>
      <c r="AD81" s="5" t="str" cm="1">
        <f t="array" aca="1" ref="AD81" ca="1">IFERROR(INDIRECT("Data"&amp;"!"&amp;ADDRESS(MATCH($V$1,Data!$A:$A,0)+3+$U81,MATCH(AD$1,Data!$2:$2,0)+3,4)),"")</f>
        <v/>
      </c>
      <c r="AE81" s="5" t="str" cm="1">
        <f t="array" aca="1" ref="AE81" ca="1">IFERROR(INDIRECT("Data"&amp;"!"&amp;ADDRESS(MATCH($V$1,Data!$A:$A,0)+3+$U81,MATCH(AE$1,Data!$2:$2,0)+3,4)),"")</f>
        <v/>
      </c>
      <c r="AF81" s="5" t="str" cm="1">
        <f t="array" aca="1" ref="AF81" ca="1">IFERROR(INDIRECT("Data"&amp;"!"&amp;ADDRESS(MATCH($V$1,Data!$A:$A,0)+3+$U81,MATCH(AF$1,Data!$2:$2,0)+3,4)),"")</f>
        <v/>
      </c>
      <c r="AG81" s="5" t="str" cm="1">
        <f t="array" aca="1" ref="AG81" ca="1">IFERROR(INDIRECT("Data"&amp;"!"&amp;ADDRESS(MATCH($V$1,Data!$A:$A,0)+3+$U81,MATCH(AG$1,Data!$2:$2,0)+3,4)),"")</f>
        <v/>
      </c>
    </row>
    <row r="82" spans="2:33" x14ac:dyDescent="0.25">
      <c r="B82" s="22" t="str" cm="1">
        <f t="array" aca="1" ref="B82" ca="1">IFERROR(INDIRECT("List"&amp;"!"&amp;ADDRESS(MATCH($A82,List!$B:$B,0),MATCH($B$1,List!$1:$1,0),4)),"")</f>
        <v/>
      </c>
      <c r="C82" s="22" t="str" cm="1">
        <f t="array" aca="1" ref="C82" ca="1">IFERROR(INDIRECT("List"&amp;"!"&amp;ADDRESS(MATCH($A82,List!$B:$B,0),MATCH($C$1,List!$1:$1,0),4)),"")</f>
        <v/>
      </c>
      <c r="D82" s="22" t="str" cm="1">
        <f t="array" aca="1" ref="D82" ca="1">IFERROR(INDIRECT("List"&amp;"!"&amp;ADDRESS(MATCH($A82,List!$B:$B,0),MATCH($D$1,List!$1:$1,0),4)),"")</f>
        <v/>
      </c>
      <c r="E82" s="22" t="str" cm="1">
        <f t="array" aca="1" ref="E82" ca="1">IFERROR(INDIRECT("List"&amp;"!"&amp;ADDRESS(MATCH($A82,List!$B:$B,0),MATCH($E$1,List!$1:$1,0),4)),"")</f>
        <v/>
      </c>
      <c r="F82" s="27" t="str" cm="1">
        <f t="array" aca="1" ref="F82" ca="1">IFERROR(INDIRECT("List"&amp;"!"&amp;ADDRESS(MATCH($A82,List!$B:$B,0),MATCH($F$1,List!$1:$1,0),4)),"")</f>
        <v/>
      </c>
      <c r="G82" s="31" t="str" cm="1">
        <f t="array" aca="1" ref="G82" ca="1">IFERROR(INDIRECT("Data"&amp;"!"&amp;ADDRESS(MATCH($G$1,Data!$A$1:$A$20,0),MATCH($A82,Data!$2:$2,0)+3,4)),"")</f>
        <v/>
      </c>
      <c r="H82" s="31" t="str" cm="1">
        <f t="array" aca="1" ref="H82" ca="1">IFERROR(INDIRECT("Data"&amp;"!"&amp;ADDRESS(MATCH($G$1,Data!$A$1:$A$20,0),MATCH($A82,Data!$2:$2,0),4)),"")</f>
        <v/>
      </c>
      <c r="I82" s="31" t="str" cm="1">
        <f t="array" aca="1" ref="I82" ca="1">IFERROR(INDIRECT("Data"&amp;"!"&amp;ADDRESS(MATCH($G$1,Data!$A$1:$A$20,0),MATCH($A82,Data!$2:$2,0)+1,4)),"")</f>
        <v/>
      </c>
      <c r="J82" s="31" t="str" cm="1">
        <f t="array" aca="1" ref="J82" ca="1">IFERROR(INDIRECT("Data"&amp;"!"&amp;ADDRESS(MATCH($G$1,Data!$A$1:$A$20,0),MATCH($A82,Data!$2:$2,0)+2,4)),"")</f>
        <v/>
      </c>
      <c r="K82" s="34" t="str" cm="1">
        <f t="array" aca="1" ref="K82" ca="1">IFERROR(INDIRECT("Data"&amp;"!"&amp;ADDRESS(MATCH($K$1,Data!$A$1:$A$20,0),MATCH($A82,Data!$2:$2,0)+2,4)),"")</f>
        <v/>
      </c>
      <c r="U82" s="7">
        <v>79</v>
      </c>
      <c r="V82" s="7">
        <v>0</v>
      </c>
      <c r="W82" s="5">
        <v>35</v>
      </c>
      <c r="X82" s="7" t="str" cm="1">
        <f t="array" aca="1" ref="X82" ca="1">IFERROR(INDIRECT("Data"&amp;"!"&amp;ADDRESS(MATCH($V$1,Data!$A:$A,0)+3+$U82,MATCH(X$1,Data!$2:$2,0)+3,4)),"")</f>
        <v/>
      </c>
      <c r="Y82" s="5" t="str" cm="1">
        <f t="array" aca="1" ref="Y82" ca="1">IFERROR(INDIRECT("Data"&amp;"!"&amp;ADDRESS(MATCH($V$1,Data!$A:$A,0)+3+$U82,MATCH(Y$1,Data!$2:$2,0)+3,4)),"")</f>
        <v/>
      </c>
      <c r="Z82" s="5" t="str" cm="1">
        <f t="array" aca="1" ref="Z82" ca="1">IFERROR(INDIRECT("Data"&amp;"!"&amp;ADDRESS(MATCH($V$1,Data!$A:$A,0)+3+$U82,MATCH(Z$1,Data!$2:$2,0)+3,4)),"")</f>
        <v/>
      </c>
      <c r="AA82" s="5" t="str" cm="1">
        <f t="array" aca="1" ref="AA82" ca="1">IFERROR(INDIRECT("Data"&amp;"!"&amp;ADDRESS(MATCH($V$1,Data!$A:$A,0)+3+$U82,MATCH(AA$1,Data!$2:$2,0)+3,4)),"")</f>
        <v/>
      </c>
      <c r="AB82" s="5" t="str" cm="1">
        <f t="array" aca="1" ref="AB82" ca="1">IFERROR(INDIRECT("Data"&amp;"!"&amp;ADDRESS(MATCH($V$1,Data!$A:$A,0)+3+$U82,MATCH(AB$1,Data!$2:$2,0)+3,4)),"")</f>
        <v/>
      </c>
      <c r="AC82" s="5" t="str" cm="1">
        <f t="array" aca="1" ref="AC82" ca="1">IFERROR(INDIRECT("Data"&amp;"!"&amp;ADDRESS(MATCH($V$1,Data!$A:$A,0)+3+$U82,MATCH(AC$1,Data!$2:$2,0)+3,4)),"")</f>
        <v/>
      </c>
      <c r="AD82" s="5" t="str" cm="1">
        <f t="array" aca="1" ref="AD82" ca="1">IFERROR(INDIRECT("Data"&amp;"!"&amp;ADDRESS(MATCH($V$1,Data!$A:$A,0)+3+$U82,MATCH(AD$1,Data!$2:$2,0)+3,4)),"")</f>
        <v/>
      </c>
      <c r="AE82" s="5" t="str" cm="1">
        <f t="array" aca="1" ref="AE82" ca="1">IFERROR(INDIRECT("Data"&amp;"!"&amp;ADDRESS(MATCH($V$1,Data!$A:$A,0)+3+$U82,MATCH(AE$1,Data!$2:$2,0)+3,4)),"")</f>
        <v/>
      </c>
      <c r="AF82" s="5" t="str" cm="1">
        <f t="array" aca="1" ref="AF82" ca="1">IFERROR(INDIRECT("Data"&amp;"!"&amp;ADDRESS(MATCH($V$1,Data!$A:$A,0)+3+$U82,MATCH(AF$1,Data!$2:$2,0)+3,4)),"")</f>
        <v/>
      </c>
      <c r="AG82" s="5" t="str" cm="1">
        <f t="array" aca="1" ref="AG82" ca="1">IFERROR(INDIRECT("Data"&amp;"!"&amp;ADDRESS(MATCH($V$1,Data!$A:$A,0)+3+$U82,MATCH(AG$1,Data!$2:$2,0)+3,4)),"")</f>
        <v/>
      </c>
    </row>
    <row r="83" spans="2:33" x14ac:dyDescent="0.25">
      <c r="B83" s="22" t="str" cm="1">
        <f t="array" aca="1" ref="B83" ca="1">IFERROR(INDIRECT("List"&amp;"!"&amp;ADDRESS(MATCH($A83,List!$B:$B,0),MATCH($B$1,List!$1:$1,0),4)),"")</f>
        <v/>
      </c>
      <c r="C83" s="22" t="str" cm="1">
        <f t="array" aca="1" ref="C83" ca="1">IFERROR(INDIRECT("List"&amp;"!"&amp;ADDRESS(MATCH($A83,List!$B:$B,0),MATCH($C$1,List!$1:$1,0),4)),"")</f>
        <v/>
      </c>
      <c r="D83" s="22" t="str" cm="1">
        <f t="array" aca="1" ref="D83" ca="1">IFERROR(INDIRECT("List"&amp;"!"&amp;ADDRESS(MATCH($A83,List!$B:$B,0),MATCH($D$1,List!$1:$1,0),4)),"")</f>
        <v/>
      </c>
      <c r="E83" s="22" t="str" cm="1">
        <f t="array" aca="1" ref="E83" ca="1">IFERROR(INDIRECT("List"&amp;"!"&amp;ADDRESS(MATCH($A83,List!$B:$B,0),MATCH($E$1,List!$1:$1,0),4)),"")</f>
        <v/>
      </c>
      <c r="F83" s="27" t="str" cm="1">
        <f t="array" aca="1" ref="F83" ca="1">IFERROR(INDIRECT("List"&amp;"!"&amp;ADDRESS(MATCH($A83,List!$B:$B,0),MATCH($F$1,List!$1:$1,0),4)),"")</f>
        <v/>
      </c>
      <c r="G83" s="31" t="str" cm="1">
        <f t="array" aca="1" ref="G83" ca="1">IFERROR(INDIRECT("Data"&amp;"!"&amp;ADDRESS(MATCH($G$1,Data!$A$1:$A$20,0),MATCH($A83,Data!$2:$2,0)+3,4)),"")</f>
        <v/>
      </c>
      <c r="H83" s="31" t="str" cm="1">
        <f t="array" aca="1" ref="H83" ca="1">IFERROR(INDIRECT("Data"&amp;"!"&amp;ADDRESS(MATCH($G$1,Data!$A$1:$A$20,0),MATCH($A83,Data!$2:$2,0),4)),"")</f>
        <v/>
      </c>
      <c r="I83" s="31" t="str" cm="1">
        <f t="array" aca="1" ref="I83" ca="1">IFERROR(INDIRECT("Data"&amp;"!"&amp;ADDRESS(MATCH($G$1,Data!$A$1:$A$20,0),MATCH($A83,Data!$2:$2,0)+1,4)),"")</f>
        <v/>
      </c>
      <c r="J83" s="31" t="str" cm="1">
        <f t="array" aca="1" ref="J83" ca="1">IFERROR(INDIRECT("Data"&amp;"!"&amp;ADDRESS(MATCH($G$1,Data!$A$1:$A$20,0),MATCH($A83,Data!$2:$2,0)+2,4)),"")</f>
        <v/>
      </c>
      <c r="K83" s="34" t="str" cm="1">
        <f t="array" aca="1" ref="K83" ca="1">IFERROR(INDIRECT("Data"&amp;"!"&amp;ADDRESS(MATCH($K$1,Data!$A$1:$A$20,0),MATCH($A83,Data!$2:$2,0)+2,4)),"")</f>
        <v/>
      </c>
      <c r="U83" s="7">
        <v>80</v>
      </c>
      <c r="V83" s="7">
        <v>0</v>
      </c>
      <c r="W83" s="5">
        <v>40</v>
      </c>
      <c r="X83" s="7" t="str" cm="1">
        <f t="array" aca="1" ref="X83" ca="1">IFERROR(INDIRECT("Data"&amp;"!"&amp;ADDRESS(MATCH($V$1,Data!$A:$A,0)+3+$U83,MATCH(X$1,Data!$2:$2,0)+3,4)),"")</f>
        <v/>
      </c>
      <c r="Y83" s="5" t="str" cm="1">
        <f t="array" aca="1" ref="Y83" ca="1">IFERROR(INDIRECT("Data"&amp;"!"&amp;ADDRESS(MATCH($V$1,Data!$A:$A,0)+3+$U83,MATCH(Y$1,Data!$2:$2,0)+3,4)),"")</f>
        <v/>
      </c>
      <c r="Z83" s="5" t="str" cm="1">
        <f t="array" aca="1" ref="Z83" ca="1">IFERROR(INDIRECT("Data"&amp;"!"&amp;ADDRESS(MATCH($V$1,Data!$A:$A,0)+3+$U83,MATCH(Z$1,Data!$2:$2,0)+3,4)),"")</f>
        <v/>
      </c>
      <c r="AA83" s="5" t="str" cm="1">
        <f t="array" aca="1" ref="AA83" ca="1">IFERROR(INDIRECT("Data"&amp;"!"&amp;ADDRESS(MATCH($V$1,Data!$A:$A,0)+3+$U83,MATCH(AA$1,Data!$2:$2,0)+3,4)),"")</f>
        <v/>
      </c>
      <c r="AB83" s="5" t="str" cm="1">
        <f t="array" aca="1" ref="AB83" ca="1">IFERROR(INDIRECT("Data"&amp;"!"&amp;ADDRESS(MATCH($V$1,Data!$A:$A,0)+3+$U83,MATCH(AB$1,Data!$2:$2,0)+3,4)),"")</f>
        <v/>
      </c>
      <c r="AC83" s="5" t="str" cm="1">
        <f t="array" aca="1" ref="AC83" ca="1">IFERROR(INDIRECT("Data"&amp;"!"&amp;ADDRESS(MATCH($V$1,Data!$A:$A,0)+3+$U83,MATCH(AC$1,Data!$2:$2,0)+3,4)),"")</f>
        <v/>
      </c>
      <c r="AD83" s="5" t="str" cm="1">
        <f t="array" aca="1" ref="AD83" ca="1">IFERROR(INDIRECT("Data"&amp;"!"&amp;ADDRESS(MATCH($V$1,Data!$A:$A,0)+3+$U83,MATCH(AD$1,Data!$2:$2,0)+3,4)),"")</f>
        <v/>
      </c>
      <c r="AE83" s="5" t="str" cm="1">
        <f t="array" aca="1" ref="AE83" ca="1">IFERROR(INDIRECT("Data"&amp;"!"&amp;ADDRESS(MATCH($V$1,Data!$A:$A,0)+3+$U83,MATCH(AE$1,Data!$2:$2,0)+3,4)),"")</f>
        <v/>
      </c>
      <c r="AF83" s="5" t="str" cm="1">
        <f t="array" aca="1" ref="AF83" ca="1">IFERROR(INDIRECT("Data"&amp;"!"&amp;ADDRESS(MATCH($V$1,Data!$A:$A,0)+3+$U83,MATCH(AF$1,Data!$2:$2,0)+3,4)),"")</f>
        <v/>
      </c>
      <c r="AG83" s="5" t="str" cm="1">
        <f t="array" aca="1" ref="AG83" ca="1">IFERROR(INDIRECT("Data"&amp;"!"&amp;ADDRESS(MATCH($V$1,Data!$A:$A,0)+3+$U83,MATCH(AG$1,Data!$2:$2,0)+3,4)),"")</f>
        <v/>
      </c>
    </row>
    <row r="84" spans="2:33" x14ac:dyDescent="0.25">
      <c r="B84" s="22" t="str" cm="1">
        <f t="array" aca="1" ref="B84" ca="1">IFERROR(INDIRECT("List"&amp;"!"&amp;ADDRESS(MATCH($A84,List!$B:$B,0),MATCH($B$1,List!$1:$1,0),4)),"")</f>
        <v/>
      </c>
      <c r="C84" s="22" t="str" cm="1">
        <f t="array" aca="1" ref="C84" ca="1">IFERROR(INDIRECT("List"&amp;"!"&amp;ADDRESS(MATCH($A84,List!$B:$B,0),MATCH($C$1,List!$1:$1,0),4)),"")</f>
        <v/>
      </c>
      <c r="D84" s="22" t="str" cm="1">
        <f t="array" aca="1" ref="D84" ca="1">IFERROR(INDIRECT("List"&amp;"!"&amp;ADDRESS(MATCH($A84,List!$B:$B,0),MATCH($D$1,List!$1:$1,0),4)),"")</f>
        <v/>
      </c>
      <c r="E84" s="22" t="str" cm="1">
        <f t="array" aca="1" ref="E84" ca="1">IFERROR(INDIRECT("List"&amp;"!"&amp;ADDRESS(MATCH($A84,List!$B:$B,0),MATCH($E$1,List!$1:$1,0),4)),"")</f>
        <v/>
      </c>
      <c r="F84" s="27" t="str" cm="1">
        <f t="array" aca="1" ref="F84" ca="1">IFERROR(INDIRECT("List"&amp;"!"&amp;ADDRESS(MATCH($A84,List!$B:$B,0),MATCH($F$1,List!$1:$1,0),4)),"")</f>
        <v/>
      </c>
      <c r="G84" s="31" t="str" cm="1">
        <f t="array" aca="1" ref="G84" ca="1">IFERROR(INDIRECT("Data"&amp;"!"&amp;ADDRESS(MATCH($G$1,Data!$A$1:$A$20,0),MATCH($A84,Data!$2:$2,0)+3,4)),"")</f>
        <v/>
      </c>
      <c r="H84" s="31" t="str" cm="1">
        <f t="array" aca="1" ref="H84" ca="1">IFERROR(INDIRECT("Data"&amp;"!"&amp;ADDRESS(MATCH($G$1,Data!$A$1:$A$20,0),MATCH($A84,Data!$2:$2,0),4)),"")</f>
        <v/>
      </c>
      <c r="I84" s="31" t="str" cm="1">
        <f t="array" aca="1" ref="I84" ca="1">IFERROR(INDIRECT("Data"&amp;"!"&amp;ADDRESS(MATCH($G$1,Data!$A$1:$A$20,0),MATCH($A84,Data!$2:$2,0)+1,4)),"")</f>
        <v/>
      </c>
      <c r="J84" s="31" t="str" cm="1">
        <f t="array" aca="1" ref="J84" ca="1">IFERROR(INDIRECT("Data"&amp;"!"&amp;ADDRESS(MATCH($G$1,Data!$A$1:$A$20,0),MATCH($A84,Data!$2:$2,0)+2,4)),"")</f>
        <v/>
      </c>
      <c r="K84" s="34" t="str" cm="1">
        <f t="array" aca="1" ref="K84" ca="1">IFERROR(INDIRECT("Data"&amp;"!"&amp;ADDRESS(MATCH($K$1,Data!$A$1:$A$20,0),MATCH($A84,Data!$2:$2,0)+2,4)),"")</f>
        <v/>
      </c>
      <c r="U84" s="7">
        <v>81</v>
      </c>
      <c r="V84" s="7">
        <v>0</v>
      </c>
      <c r="W84" s="5">
        <v>45</v>
      </c>
      <c r="X84" s="7" t="str" cm="1">
        <f t="array" aca="1" ref="X84" ca="1">IFERROR(INDIRECT("Data"&amp;"!"&amp;ADDRESS(MATCH($V$1,Data!$A:$A,0)+3+$U84,MATCH(X$1,Data!$2:$2,0)+3,4)),"")</f>
        <v/>
      </c>
      <c r="Y84" s="5" t="str" cm="1">
        <f t="array" aca="1" ref="Y84" ca="1">IFERROR(INDIRECT("Data"&amp;"!"&amp;ADDRESS(MATCH($V$1,Data!$A:$A,0)+3+$U84,MATCH(Y$1,Data!$2:$2,0)+3,4)),"")</f>
        <v/>
      </c>
      <c r="Z84" s="5" t="str" cm="1">
        <f t="array" aca="1" ref="Z84" ca="1">IFERROR(INDIRECT("Data"&amp;"!"&amp;ADDRESS(MATCH($V$1,Data!$A:$A,0)+3+$U84,MATCH(Z$1,Data!$2:$2,0)+3,4)),"")</f>
        <v/>
      </c>
      <c r="AA84" s="5" t="str" cm="1">
        <f t="array" aca="1" ref="AA84" ca="1">IFERROR(INDIRECT("Data"&amp;"!"&amp;ADDRESS(MATCH($V$1,Data!$A:$A,0)+3+$U84,MATCH(AA$1,Data!$2:$2,0)+3,4)),"")</f>
        <v/>
      </c>
      <c r="AB84" s="5" t="str" cm="1">
        <f t="array" aca="1" ref="AB84" ca="1">IFERROR(INDIRECT("Data"&amp;"!"&amp;ADDRESS(MATCH($V$1,Data!$A:$A,0)+3+$U84,MATCH(AB$1,Data!$2:$2,0)+3,4)),"")</f>
        <v/>
      </c>
      <c r="AC84" s="5" t="str" cm="1">
        <f t="array" aca="1" ref="AC84" ca="1">IFERROR(INDIRECT("Data"&amp;"!"&amp;ADDRESS(MATCH($V$1,Data!$A:$A,0)+3+$U84,MATCH(AC$1,Data!$2:$2,0)+3,4)),"")</f>
        <v/>
      </c>
      <c r="AD84" s="5" t="str" cm="1">
        <f t="array" aca="1" ref="AD84" ca="1">IFERROR(INDIRECT("Data"&amp;"!"&amp;ADDRESS(MATCH($V$1,Data!$A:$A,0)+3+$U84,MATCH(AD$1,Data!$2:$2,0)+3,4)),"")</f>
        <v/>
      </c>
      <c r="AE84" s="5" t="str" cm="1">
        <f t="array" aca="1" ref="AE84" ca="1">IFERROR(INDIRECT("Data"&amp;"!"&amp;ADDRESS(MATCH($V$1,Data!$A:$A,0)+3+$U84,MATCH(AE$1,Data!$2:$2,0)+3,4)),"")</f>
        <v/>
      </c>
      <c r="AF84" s="5" t="str" cm="1">
        <f t="array" aca="1" ref="AF84" ca="1">IFERROR(INDIRECT("Data"&amp;"!"&amp;ADDRESS(MATCH($V$1,Data!$A:$A,0)+3+$U84,MATCH(AF$1,Data!$2:$2,0)+3,4)),"")</f>
        <v/>
      </c>
      <c r="AG84" s="5" t="str" cm="1">
        <f t="array" aca="1" ref="AG84" ca="1">IFERROR(INDIRECT("Data"&amp;"!"&amp;ADDRESS(MATCH($V$1,Data!$A:$A,0)+3+$U84,MATCH(AG$1,Data!$2:$2,0)+3,4)),"")</f>
        <v/>
      </c>
    </row>
    <row r="85" spans="2:33" x14ac:dyDescent="0.25">
      <c r="B85" s="22" t="str" cm="1">
        <f t="array" aca="1" ref="B85" ca="1">IFERROR(INDIRECT("List"&amp;"!"&amp;ADDRESS(MATCH($A85,List!$B:$B,0),MATCH($B$1,List!$1:$1,0),4)),"")</f>
        <v/>
      </c>
      <c r="C85" s="22" t="str" cm="1">
        <f t="array" aca="1" ref="C85" ca="1">IFERROR(INDIRECT("List"&amp;"!"&amp;ADDRESS(MATCH($A85,List!$B:$B,0),MATCH($C$1,List!$1:$1,0),4)),"")</f>
        <v/>
      </c>
      <c r="D85" s="22" t="str" cm="1">
        <f t="array" aca="1" ref="D85" ca="1">IFERROR(INDIRECT("List"&amp;"!"&amp;ADDRESS(MATCH($A85,List!$B:$B,0),MATCH($D$1,List!$1:$1,0),4)),"")</f>
        <v/>
      </c>
      <c r="E85" s="22" t="str" cm="1">
        <f t="array" aca="1" ref="E85" ca="1">IFERROR(INDIRECT("List"&amp;"!"&amp;ADDRESS(MATCH($A85,List!$B:$B,0),MATCH($E$1,List!$1:$1,0),4)),"")</f>
        <v/>
      </c>
      <c r="F85" s="27" t="str" cm="1">
        <f t="array" aca="1" ref="F85" ca="1">IFERROR(INDIRECT("List"&amp;"!"&amp;ADDRESS(MATCH($A85,List!$B:$B,0),MATCH($F$1,List!$1:$1,0),4)),"")</f>
        <v/>
      </c>
      <c r="G85" s="31" t="str" cm="1">
        <f t="array" aca="1" ref="G85" ca="1">IFERROR(INDIRECT("Data"&amp;"!"&amp;ADDRESS(MATCH($G$1,Data!$A$1:$A$20,0),MATCH($A85,Data!$2:$2,0)+3,4)),"")</f>
        <v/>
      </c>
      <c r="H85" s="31" t="str" cm="1">
        <f t="array" aca="1" ref="H85" ca="1">IFERROR(INDIRECT("Data"&amp;"!"&amp;ADDRESS(MATCH($G$1,Data!$A$1:$A$20,0),MATCH($A85,Data!$2:$2,0),4)),"")</f>
        <v/>
      </c>
      <c r="I85" s="31" t="str" cm="1">
        <f t="array" aca="1" ref="I85" ca="1">IFERROR(INDIRECT("Data"&amp;"!"&amp;ADDRESS(MATCH($G$1,Data!$A$1:$A$20,0),MATCH($A85,Data!$2:$2,0)+1,4)),"")</f>
        <v/>
      </c>
      <c r="J85" s="31" t="str" cm="1">
        <f t="array" aca="1" ref="J85" ca="1">IFERROR(INDIRECT("Data"&amp;"!"&amp;ADDRESS(MATCH($G$1,Data!$A$1:$A$20,0),MATCH($A85,Data!$2:$2,0)+2,4)),"")</f>
        <v/>
      </c>
      <c r="K85" s="34" t="str" cm="1">
        <f t="array" aca="1" ref="K85" ca="1">IFERROR(INDIRECT("Data"&amp;"!"&amp;ADDRESS(MATCH($K$1,Data!$A$1:$A$20,0),MATCH($A85,Data!$2:$2,0)+2,4)),"")</f>
        <v/>
      </c>
      <c r="U85" s="7">
        <v>82</v>
      </c>
      <c r="V85" s="7">
        <v>0</v>
      </c>
      <c r="W85" s="5">
        <v>50</v>
      </c>
      <c r="X85" s="7" t="str" cm="1">
        <f t="array" aca="1" ref="X85" ca="1">IFERROR(INDIRECT("Data"&amp;"!"&amp;ADDRESS(MATCH($V$1,Data!$A:$A,0)+3+$U85,MATCH(X$1,Data!$2:$2,0)+3,4)),"")</f>
        <v/>
      </c>
      <c r="Y85" s="5" t="str" cm="1">
        <f t="array" aca="1" ref="Y85" ca="1">IFERROR(INDIRECT("Data"&amp;"!"&amp;ADDRESS(MATCH($V$1,Data!$A:$A,0)+3+$U85,MATCH(Y$1,Data!$2:$2,0)+3,4)),"")</f>
        <v/>
      </c>
      <c r="Z85" s="5" t="str" cm="1">
        <f t="array" aca="1" ref="Z85" ca="1">IFERROR(INDIRECT("Data"&amp;"!"&amp;ADDRESS(MATCH($V$1,Data!$A:$A,0)+3+$U85,MATCH(Z$1,Data!$2:$2,0)+3,4)),"")</f>
        <v/>
      </c>
      <c r="AA85" s="5" t="str" cm="1">
        <f t="array" aca="1" ref="AA85" ca="1">IFERROR(INDIRECT("Data"&amp;"!"&amp;ADDRESS(MATCH($V$1,Data!$A:$A,0)+3+$U85,MATCH(AA$1,Data!$2:$2,0)+3,4)),"")</f>
        <v/>
      </c>
      <c r="AB85" s="5" t="str" cm="1">
        <f t="array" aca="1" ref="AB85" ca="1">IFERROR(INDIRECT("Data"&amp;"!"&amp;ADDRESS(MATCH($V$1,Data!$A:$A,0)+3+$U85,MATCH(AB$1,Data!$2:$2,0)+3,4)),"")</f>
        <v/>
      </c>
      <c r="AC85" s="5" t="str" cm="1">
        <f t="array" aca="1" ref="AC85" ca="1">IFERROR(INDIRECT("Data"&amp;"!"&amp;ADDRESS(MATCH($V$1,Data!$A:$A,0)+3+$U85,MATCH(AC$1,Data!$2:$2,0)+3,4)),"")</f>
        <v/>
      </c>
      <c r="AD85" s="5" t="str" cm="1">
        <f t="array" aca="1" ref="AD85" ca="1">IFERROR(INDIRECT("Data"&amp;"!"&amp;ADDRESS(MATCH($V$1,Data!$A:$A,0)+3+$U85,MATCH(AD$1,Data!$2:$2,0)+3,4)),"")</f>
        <v/>
      </c>
      <c r="AE85" s="5" t="str" cm="1">
        <f t="array" aca="1" ref="AE85" ca="1">IFERROR(INDIRECT("Data"&amp;"!"&amp;ADDRESS(MATCH($V$1,Data!$A:$A,0)+3+$U85,MATCH(AE$1,Data!$2:$2,0)+3,4)),"")</f>
        <v/>
      </c>
      <c r="AF85" s="5" t="str" cm="1">
        <f t="array" aca="1" ref="AF85" ca="1">IFERROR(INDIRECT("Data"&amp;"!"&amp;ADDRESS(MATCH($V$1,Data!$A:$A,0)+3+$U85,MATCH(AF$1,Data!$2:$2,0)+3,4)),"")</f>
        <v/>
      </c>
      <c r="AG85" s="5" t="str" cm="1">
        <f t="array" aca="1" ref="AG85" ca="1">IFERROR(INDIRECT("Data"&amp;"!"&amp;ADDRESS(MATCH($V$1,Data!$A:$A,0)+3+$U85,MATCH(AG$1,Data!$2:$2,0)+3,4)),"")</f>
        <v/>
      </c>
    </row>
    <row r="86" spans="2:33" x14ac:dyDescent="0.25">
      <c r="B86" s="22" t="str" cm="1">
        <f t="array" aca="1" ref="B86" ca="1">IFERROR(INDIRECT("List"&amp;"!"&amp;ADDRESS(MATCH($A86,List!$B:$B,0),MATCH($B$1,List!$1:$1,0),4)),"")</f>
        <v/>
      </c>
      <c r="C86" s="22" t="str" cm="1">
        <f t="array" aca="1" ref="C86" ca="1">IFERROR(INDIRECT("List"&amp;"!"&amp;ADDRESS(MATCH($A86,List!$B:$B,0),MATCH($C$1,List!$1:$1,0),4)),"")</f>
        <v/>
      </c>
      <c r="D86" s="22" t="str" cm="1">
        <f t="array" aca="1" ref="D86" ca="1">IFERROR(INDIRECT("List"&amp;"!"&amp;ADDRESS(MATCH($A86,List!$B:$B,0),MATCH($D$1,List!$1:$1,0),4)),"")</f>
        <v/>
      </c>
      <c r="E86" s="22" t="str" cm="1">
        <f t="array" aca="1" ref="E86" ca="1">IFERROR(INDIRECT("List"&amp;"!"&amp;ADDRESS(MATCH($A86,List!$B:$B,0),MATCH($E$1,List!$1:$1,0),4)),"")</f>
        <v/>
      </c>
      <c r="F86" s="27" t="str" cm="1">
        <f t="array" aca="1" ref="F86" ca="1">IFERROR(INDIRECT("List"&amp;"!"&amp;ADDRESS(MATCH($A86,List!$B:$B,0),MATCH($F$1,List!$1:$1,0),4)),"")</f>
        <v/>
      </c>
      <c r="G86" s="31" t="str" cm="1">
        <f t="array" aca="1" ref="G86" ca="1">IFERROR(INDIRECT("Data"&amp;"!"&amp;ADDRESS(MATCH($G$1,Data!$A$1:$A$20,0),MATCH($A86,Data!$2:$2,0)+3,4)),"")</f>
        <v/>
      </c>
      <c r="H86" s="31" t="str" cm="1">
        <f t="array" aca="1" ref="H86" ca="1">IFERROR(INDIRECT("Data"&amp;"!"&amp;ADDRESS(MATCH($G$1,Data!$A$1:$A$20,0),MATCH($A86,Data!$2:$2,0),4)),"")</f>
        <v/>
      </c>
      <c r="I86" s="31" t="str" cm="1">
        <f t="array" aca="1" ref="I86" ca="1">IFERROR(INDIRECT("Data"&amp;"!"&amp;ADDRESS(MATCH($G$1,Data!$A$1:$A$20,0),MATCH($A86,Data!$2:$2,0)+1,4)),"")</f>
        <v/>
      </c>
      <c r="J86" s="31" t="str" cm="1">
        <f t="array" aca="1" ref="J86" ca="1">IFERROR(INDIRECT("Data"&amp;"!"&amp;ADDRESS(MATCH($G$1,Data!$A$1:$A$20,0),MATCH($A86,Data!$2:$2,0)+2,4)),"")</f>
        <v/>
      </c>
      <c r="K86" s="34" t="str" cm="1">
        <f t="array" aca="1" ref="K86" ca="1">IFERROR(INDIRECT("Data"&amp;"!"&amp;ADDRESS(MATCH($K$1,Data!$A$1:$A$20,0),MATCH($A86,Data!$2:$2,0)+2,4)),"")</f>
        <v/>
      </c>
      <c r="U86" s="7">
        <v>83</v>
      </c>
      <c r="V86" s="7">
        <v>0</v>
      </c>
      <c r="W86" s="5">
        <v>55</v>
      </c>
      <c r="X86" s="7" t="str" cm="1">
        <f t="array" aca="1" ref="X86" ca="1">IFERROR(INDIRECT("Data"&amp;"!"&amp;ADDRESS(MATCH($V$1,Data!$A:$A,0)+3+$U86,MATCH(X$1,Data!$2:$2,0)+3,4)),"")</f>
        <v/>
      </c>
      <c r="Y86" s="5" t="str" cm="1">
        <f t="array" aca="1" ref="Y86" ca="1">IFERROR(INDIRECT("Data"&amp;"!"&amp;ADDRESS(MATCH($V$1,Data!$A:$A,0)+3+$U86,MATCH(Y$1,Data!$2:$2,0)+3,4)),"")</f>
        <v/>
      </c>
      <c r="Z86" s="5" t="str" cm="1">
        <f t="array" aca="1" ref="Z86" ca="1">IFERROR(INDIRECT("Data"&amp;"!"&amp;ADDRESS(MATCH($V$1,Data!$A:$A,0)+3+$U86,MATCH(Z$1,Data!$2:$2,0)+3,4)),"")</f>
        <v/>
      </c>
      <c r="AA86" s="5" t="str" cm="1">
        <f t="array" aca="1" ref="AA86" ca="1">IFERROR(INDIRECT("Data"&amp;"!"&amp;ADDRESS(MATCH($V$1,Data!$A:$A,0)+3+$U86,MATCH(AA$1,Data!$2:$2,0)+3,4)),"")</f>
        <v/>
      </c>
      <c r="AB86" s="5" t="str" cm="1">
        <f t="array" aca="1" ref="AB86" ca="1">IFERROR(INDIRECT("Data"&amp;"!"&amp;ADDRESS(MATCH($V$1,Data!$A:$A,0)+3+$U86,MATCH(AB$1,Data!$2:$2,0)+3,4)),"")</f>
        <v/>
      </c>
      <c r="AC86" s="5" t="str" cm="1">
        <f t="array" aca="1" ref="AC86" ca="1">IFERROR(INDIRECT("Data"&amp;"!"&amp;ADDRESS(MATCH($V$1,Data!$A:$A,0)+3+$U86,MATCH(AC$1,Data!$2:$2,0)+3,4)),"")</f>
        <v/>
      </c>
      <c r="AD86" s="5" t="str" cm="1">
        <f t="array" aca="1" ref="AD86" ca="1">IFERROR(INDIRECT("Data"&amp;"!"&amp;ADDRESS(MATCH($V$1,Data!$A:$A,0)+3+$U86,MATCH(AD$1,Data!$2:$2,0)+3,4)),"")</f>
        <v/>
      </c>
      <c r="AE86" s="5" t="str" cm="1">
        <f t="array" aca="1" ref="AE86" ca="1">IFERROR(INDIRECT("Data"&amp;"!"&amp;ADDRESS(MATCH($V$1,Data!$A:$A,0)+3+$U86,MATCH(AE$1,Data!$2:$2,0)+3,4)),"")</f>
        <v/>
      </c>
      <c r="AF86" s="5" t="str" cm="1">
        <f t="array" aca="1" ref="AF86" ca="1">IFERROR(INDIRECT("Data"&amp;"!"&amp;ADDRESS(MATCH($V$1,Data!$A:$A,0)+3+$U86,MATCH(AF$1,Data!$2:$2,0)+3,4)),"")</f>
        <v/>
      </c>
      <c r="AG86" s="5" t="str" cm="1">
        <f t="array" aca="1" ref="AG86" ca="1">IFERROR(INDIRECT("Data"&amp;"!"&amp;ADDRESS(MATCH($V$1,Data!$A:$A,0)+3+$U86,MATCH(AG$1,Data!$2:$2,0)+3,4)),"")</f>
        <v/>
      </c>
    </row>
    <row r="87" spans="2:33" x14ac:dyDescent="0.25">
      <c r="B87" s="22" t="str" cm="1">
        <f t="array" aca="1" ref="B87" ca="1">IFERROR(INDIRECT("List"&amp;"!"&amp;ADDRESS(MATCH($A87,List!$B:$B,0),MATCH($B$1,List!$1:$1,0),4)),"")</f>
        <v/>
      </c>
      <c r="C87" s="22" t="str" cm="1">
        <f t="array" aca="1" ref="C87" ca="1">IFERROR(INDIRECT("List"&amp;"!"&amp;ADDRESS(MATCH($A87,List!$B:$B,0),MATCH($C$1,List!$1:$1,0),4)),"")</f>
        <v/>
      </c>
      <c r="D87" s="22" t="str" cm="1">
        <f t="array" aca="1" ref="D87" ca="1">IFERROR(INDIRECT("List"&amp;"!"&amp;ADDRESS(MATCH($A87,List!$B:$B,0),MATCH($D$1,List!$1:$1,0),4)),"")</f>
        <v/>
      </c>
      <c r="E87" s="22" t="str" cm="1">
        <f t="array" aca="1" ref="E87" ca="1">IFERROR(INDIRECT("List"&amp;"!"&amp;ADDRESS(MATCH($A87,List!$B:$B,0),MATCH($E$1,List!$1:$1,0),4)),"")</f>
        <v/>
      </c>
      <c r="F87" s="27" t="str" cm="1">
        <f t="array" aca="1" ref="F87" ca="1">IFERROR(INDIRECT("List"&amp;"!"&amp;ADDRESS(MATCH($A87,List!$B:$B,0),MATCH($F$1,List!$1:$1,0),4)),"")</f>
        <v/>
      </c>
      <c r="G87" s="31" t="str" cm="1">
        <f t="array" aca="1" ref="G87" ca="1">IFERROR(INDIRECT("Data"&amp;"!"&amp;ADDRESS(MATCH($G$1,Data!$A$1:$A$20,0),MATCH($A87,Data!$2:$2,0)+3,4)),"")</f>
        <v/>
      </c>
      <c r="H87" s="31" t="str" cm="1">
        <f t="array" aca="1" ref="H87" ca="1">IFERROR(INDIRECT("Data"&amp;"!"&amp;ADDRESS(MATCH($G$1,Data!$A$1:$A$20,0),MATCH($A87,Data!$2:$2,0),4)),"")</f>
        <v/>
      </c>
      <c r="I87" s="31" t="str" cm="1">
        <f t="array" aca="1" ref="I87" ca="1">IFERROR(INDIRECT("Data"&amp;"!"&amp;ADDRESS(MATCH($G$1,Data!$A$1:$A$20,0),MATCH($A87,Data!$2:$2,0)+1,4)),"")</f>
        <v/>
      </c>
      <c r="J87" s="31" t="str" cm="1">
        <f t="array" aca="1" ref="J87" ca="1">IFERROR(INDIRECT("Data"&amp;"!"&amp;ADDRESS(MATCH($G$1,Data!$A$1:$A$20,0),MATCH($A87,Data!$2:$2,0)+2,4)),"")</f>
        <v/>
      </c>
      <c r="K87" s="34" t="str" cm="1">
        <f t="array" aca="1" ref="K87" ca="1">IFERROR(INDIRECT("Data"&amp;"!"&amp;ADDRESS(MATCH($K$1,Data!$A$1:$A$20,0),MATCH($A87,Data!$2:$2,0)+2,4)),"")</f>
        <v/>
      </c>
      <c r="U87" s="7">
        <v>84</v>
      </c>
      <c r="V87" s="7">
        <v>0</v>
      </c>
      <c r="W87" s="5">
        <v>60</v>
      </c>
      <c r="X87" s="7" t="str" cm="1">
        <f t="array" aca="1" ref="X87" ca="1">IFERROR(INDIRECT("Data"&amp;"!"&amp;ADDRESS(MATCH($V$1,Data!$A:$A,0)+3+$U87,MATCH(X$1,Data!$2:$2,0)+3,4)),"")</f>
        <v/>
      </c>
      <c r="Y87" s="5" t="str" cm="1">
        <f t="array" aca="1" ref="Y87" ca="1">IFERROR(INDIRECT("Data"&amp;"!"&amp;ADDRESS(MATCH($V$1,Data!$A:$A,0)+3+$U87,MATCH(Y$1,Data!$2:$2,0)+3,4)),"")</f>
        <v/>
      </c>
      <c r="Z87" s="5" t="str" cm="1">
        <f t="array" aca="1" ref="Z87" ca="1">IFERROR(INDIRECT("Data"&amp;"!"&amp;ADDRESS(MATCH($V$1,Data!$A:$A,0)+3+$U87,MATCH(Z$1,Data!$2:$2,0)+3,4)),"")</f>
        <v/>
      </c>
      <c r="AA87" s="5" t="str" cm="1">
        <f t="array" aca="1" ref="AA87" ca="1">IFERROR(INDIRECT("Data"&amp;"!"&amp;ADDRESS(MATCH($V$1,Data!$A:$A,0)+3+$U87,MATCH(AA$1,Data!$2:$2,0)+3,4)),"")</f>
        <v/>
      </c>
      <c r="AB87" s="5" t="str" cm="1">
        <f t="array" aca="1" ref="AB87" ca="1">IFERROR(INDIRECT("Data"&amp;"!"&amp;ADDRESS(MATCH($V$1,Data!$A:$A,0)+3+$U87,MATCH(AB$1,Data!$2:$2,0)+3,4)),"")</f>
        <v/>
      </c>
      <c r="AC87" s="5" t="str" cm="1">
        <f t="array" aca="1" ref="AC87" ca="1">IFERROR(INDIRECT("Data"&amp;"!"&amp;ADDRESS(MATCH($V$1,Data!$A:$A,0)+3+$U87,MATCH(AC$1,Data!$2:$2,0)+3,4)),"")</f>
        <v/>
      </c>
      <c r="AD87" s="5" t="str" cm="1">
        <f t="array" aca="1" ref="AD87" ca="1">IFERROR(INDIRECT("Data"&amp;"!"&amp;ADDRESS(MATCH($V$1,Data!$A:$A,0)+3+$U87,MATCH(AD$1,Data!$2:$2,0)+3,4)),"")</f>
        <v/>
      </c>
      <c r="AE87" s="5" t="str" cm="1">
        <f t="array" aca="1" ref="AE87" ca="1">IFERROR(INDIRECT("Data"&amp;"!"&amp;ADDRESS(MATCH($V$1,Data!$A:$A,0)+3+$U87,MATCH(AE$1,Data!$2:$2,0)+3,4)),"")</f>
        <v/>
      </c>
      <c r="AF87" s="5" t="str" cm="1">
        <f t="array" aca="1" ref="AF87" ca="1">IFERROR(INDIRECT("Data"&amp;"!"&amp;ADDRESS(MATCH($V$1,Data!$A:$A,0)+3+$U87,MATCH(AF$1,Data!$2:$2,0)+3,4)),"")</f>
        <v/>
      </c>
      <c r="AG87" s="5" t="str" cm="1">
        <f t="array" aca="1" ref="AG87" ca="1">IFERROR(INDIRECT("Data"&amp;"!"&amp;ADDRESS(MATCH($V$1,Data!$A:$A,0)+3+$U87,MATCH(AG$1,Data!$2:$2,0)+3,4)),"")</f>
        <v/>
      </c>
    </row>
    <row r="88" spans="2:33" x14ac:dyDescent="0.25">
      <c r="B88" s="22" t="str" cm="1">
        <f t="array" aca="1" ref="B88" ca="1">IFERROR(INDIRECT("List"&amp;"!"&amp;ADDRESS(MATCH($A88,List!$B:$B,0),MATCH($B$1,List!$1:$1,0),4)),"")</f>
        <v/>
      </c>
      <c r="C88" s="22" t="str" cm="1">
        <f t="array" aca="1" ref="C88" ca="1">IFERROR(INDIRECT("List"&amp;"!"&amp;ADDRESS(MATCH($A88,List!$B:$B,0),MATCH($C$1,List!$1:$1,0),4)),"")</f>
        <v/>
      </c>
      <c r="D88" s="22" t="str" cm="1">
        <f t="array" aca="1" ref="D88" ca="1">IFERROR(INDIRECT("List"&amp;"!"&amp;ADDRESS(MATCH($A88,List!$B:$B,0),MATCH($D$1,List!$1:$1,0),4)),"")</f>
        <v/>
      </c>
      <c r="E88" s="22" t="str" cm="1">
        <f t="array" aca="1" ref="E88" ca="1">IFERROR(INDIRECT("List"&amp;"!"&amp;ADDRESS(MATCH($A88,List!$B:$B,0),MATCH($E$1,List!$1:$1,0),4)),"")</f>
        <v/>
      </c>
      <c r="F88" s="27" t="str" cm="1">
        <f t="array" aca="1" ref="F88" ca="1">IFERROR(INDIRECT("List"&amp;"!"&amp;ADDRESS(MATCH($A88,List!$B:$B,0),MATCH($F$1,List!$1:$1,0),4)),"")</f>
        <v/>
      </c>
      <c r="G88" s="31" t="str" cm="1">
        <f t="array" aca="1" ref="G88" ca="1">IFERROR(INDIRECT("Data"&amp;"!"&amp;ADDRESS(MATCH($G$1,Data!$A$1:$A$20,0),MATCH($A88,Data!$2:$2,0)+3,4)),"")</f>
        <v/>
      </c>
      <c r="H88" s="31" t="str" cm="1">
        <f t="array" aca="1" ref="H88" ca="1">IFERROR(INDIRECT("Data"&amp;"!"&amp;ADDRESS(MATCH($G$1,Data!$A$1:$A$20,0),MATCH($A88,Data!$2:$2,0),4)),"")</f>
        <v/>
      </c>
      <c r="I88" s="31" t="str" cm="1">
        <f t="array" aca="1" ref="I88" ca="1">IFERROR(INDIRECT("Data"&amp;"!"&amp;ADDRESS(MATCH($G$1,Data!$A$1:$A$20,0),MATCH($A88,Data!$2:$2,0)+1,4)),"")</f>
        <v/>
      </c>
      <c r="J88" s="31" t="str" cm="1">
        <f t="array" aca="1" ref="J88" ca="1">IFERROR(INDIRECT("Data"&amp;"!"&amp;ADDRESS(MATCH($G$1,Data!$A$1:$A$20,0),MATCH($A88,Data!$2:$2,0)+2,4)),"")</f>
        <v/>
      </c>
      <c r="K88" s="34" t="str" cm="1">
        <f t="array" aca="1" ref="K88" ca="1">IFERROR(INDIRECT("Data"&amp;"!"&amp;ADDRESS(MATCH($K$1,Data!$A$1:$A$20,0),MATCH($A88,Data!$2:$2,0)+2,4)),"")</f>
        <v/>
      </c>
      <c r="U88" s="7">
        <v>85</v>
      </c>
      <c r="V88" s="7">
        <v>0</v>
      </c>
      <c r="W88" s="5">
        <v>65</v>
      </c>
      <c r="X88" s="7" t="str" cm="1">
        <f t="array" aca="1" ref="X88" ca="1">IFERROR(INDIRECT("Data"&amp;"!"&amp;ADDRESS(MATCH($V$1,Data!$A:$A,0)+3+$U88,MATCH(X$1,Data!$2:$2,0)+3,4)),"")</f>
        <v/>
      </c>
      <c r="Y88" s="5" t="str" cm="1">
        <f t="array" aca="1" ref="Y88" ca="1">IFERROR(INDIRECT("Data"&amp;"!"&amp;ADDRESS(MATCH($V$1,Data!$A:$A,0)+3+$U88,MATCH(Y$1,Data!$2:$2,0)+3,4)),"")</f>
        <v/>
      </c>
      <c r="Z88" s="5" t="str" cm="1">
        <f t="array" aca="1" ref="Z88" ca="1">IFERROR(INDIRECT("Data"&amp;"!"&amp;ADDRESS(MATCH($V$1,Data!$A:$A,0)+3+$U88,MATCH(Z$1,Data!$2:$2,0)+3,4)),"")</f>
        <v/>
      </c>
      <c r="AA88" s="5" t="str" cm="1">
        <f t="array" aca="1" ref="AA88" ca="1">IFERROR(INDIRECT("Data"&amp;"!"&amp;ADDRESS(MATCH($V$1,Data!$A:$A,0)+3+$U88,MATCH(AA$1,Data!$2:$2,0)+3,4)),"")</f>
        <v/>
      </c>
      <c r="AB88" s="5" t="str" cm="1">
        <f t="array" aca="1" ref="AB88" ca="1">IFERROR(INDIRECT("Data"&amp;"!"&amp;ADDRESS(MATCH($V$1,Data!$A:$A,0)+3+$U88,MATCH(AB$1,Data!$2:$2,0)+3,4)),"")</f>
        <v/>
      </c>
      <c r="AC88" s="5" t="str" cm="1">
        <f t="array" aca="1" ref="AC88" ca="1">IFERROR(INDIRECT("Data"&amp;"!"&amp;ADDRESS(MATCH($V$1,Data!$A:$A,0)+3+$U88,MATCH(AC$1,Data!$2:$2,0)+3,4)),"")</f>
        <v/>
      </c>
      <c r="AD88" s="5" t="str" cm="1">
        <f t="array" aca="1" ref="AD88" ca="1">IFERROR(INDIRECT("Data"&amp;"!"&amp;ADDRESS(MATCH($V$1,Data!$A:$A,0)+3+$U88,MATCH(AD$1,Data!$2:$2,0)+3,4)),"")</f>
        <v/>
      </c>
      <c r="AE88" s="5" t="str" cm="1">
        <f t="array" aca="1" ref="AE88" ca="1">IFERROR(INDIRECT("Data"&amp;"!"&amp;ADDRESS(MATCH($V$1,Data!$A:$A,0)+3+$U88,MATCH(AE$1,Data!$2:$2,0)+3,4)),"")</f>
        <v/>
      </c>
      <c r="AF88" s="5" t="str" cm="1">
        <f t="array" aca="1" ref="AF88" ca="1">IFERROR(INDIRECT("Data"&amp;"!"&amp;ADDRESS(MATCH($V$1,Data!$A:$A,0)+3+$U88,MATCH(AF$1,Data!$2:$2,0)+3,4)),"")</f>
        <v/>
      </c>
      <c r="AG88" s="5" t="str" cm="1">
        <f t="array" aca="1" ref="AG88" ca="1">IFERROR(INDIRECT("Data"&amp;"!"&amp;ADDRESS(MATCH($V$1,Data!$A:$A,0)+3+$U88,MATCH(AG$1,Data!$2:$2,0)+3,4)),"")</f>
        <v/>
      </c>
    </row>
    <row r="89" spans="2:33" x14ac:dyDescent="0.25">
      <c r="B89" s="22" t="str" cm="1">
        <f t="array" aca="1" ref="B89" ca="1">IFERROR(INDIRECT("List"&amp;"!"&amp;ADDRESS(MATCH($A89,List!$B:$B,0),MATCH($B$1,List!$1:$1,0),4)),"")</f>
        <v/>
      </c>
      <c r="C89" s="22" t="str" cm="1">
        <f t="array" aca="1" ref="C89" ca="1">IFERROR(INDIRECT("List"&amp;"!"&amp;ADDRESS(MATCH($A89,List!$B:$B,0),MATCH($C$1,List!$1:$1,0),4)),"")</f>
        <v/>
      </c>
      <c r="D89" s="22" t="str" cm="1">
        <f t="array" aca="1" ref="D89" ca="1">IFERROR(INDIRECT("List"&amp;"!"&amp;ADDRESS(MATCH($A89,List!$B:$B,0),MATCH($D$1,List!$1:$1,0),4)),"")</f>
        <v/>
      </c>
      <c r="E89" s="22" t="str" cm="1">
        <f t="array" aca="1" ref="E89" ca="1">IFERROR(INDIRECT("List"&amp;"!"&amp;ADDRESS(MATCH($A89,List!$B:$B,0),MATCH($E$1,List!$1:$1,0),4)),"")</f>
        <v/>
      </c>
      <c r="F89" s="27" t="str" cm="1">
        <f t="array" aca="1" ref="F89" ca="1">IFERROR(INDIRECT("List"&amp;"!"&amp;ADDRESS(MATCH($A89,List!$B:$B,0),MATCH($F$1,List!$1:$1,0),4)),"")</f>
        <v/>
      </c>
      <c r="G89" s="31" t="str" cm="1">
        <f t="array" aca="1" ref="G89" ca="1">IFERROR(INDIRECT("Data"&amp;"!"&amp;ADDRESS(MATCH($G$1,Data!$A$1:$A$20,0),MATCH($A89,Data!$2:$2,0)+3,4)),"")</f>
        <v/>
      </c>
      <c r="H89" s="31" t="str" cm="1">
        <f t="array" aca="1" ref="H89" ca="1">IFERROR(INDIRECT("Data"&amp;"!"&amp;ADDRESS(MATCH($G$1,Data!$A$1:$A$20,0),MATCH($A89,Data!$2:$2,0),4)),"")</f>
        <v/>
      </c>
      <c r="I89" s="31" t="str" cm="1">
        <f t="array" aca="1" ref="I89" ca="1">IFERROR(INDIRECT("Data"&amp;"!"&amp;ADDRESS(MATCH($G$1,Data!$A$1:$A$20,0),MATCH($A89,Data!$2:$2,0)+1,4)),"")</f>
        <v/>
      </c>
      <c r="J89" s="31" t="str" cm="1">
        <f t="array" aca="1" ref="J89" ca="1">IFERROR(INDIRECT("Data"&amp;"!"&amp;ADDRESS(MATCH($G$1,Data!$A$1:$A$20,0),MATCH($A89,Data!$2:$2,0)+2,4)),"")</f>
        <v/>
      </c>
      <c r="K89" s="34" t="str" cm="1">
        <f t="array" aca="1" ref="K89" ca="1">IFERROR(INDIRECT("Data"&amp;"!"&amp;ADDRESS(MATCH($K$1,Data!$A$1:$A$20,0),MATCH($A89,Data!$2:$2,0)+2,4)),"")</f>
        <v/>
      </c>
      <c r="U89" s="7">
        <v>86</v>
      </c>
      <c r="V89" s="7">
        <v>0</v>
      </c>
      <c r="W89" s="5">
        <v>70</v>
      </c>
      <c r="X89" s="7" t="str" cm="1">
        <f t="array" aca="1" ref="X89" ca="1">IFERROR(INDIRECT("Data"&amp;"!"&amp;ADDRESS(MATCH($V$1,Data!$A:$A,0)+3+$U89,MATCH(X$1,Data!$2:$2,0)+3,4)),"")</f>
        <v/>
      </c>
      <c r="Y89" s="5" t="str" cm="1">
        <f t="array" aca="1" ref="Y89" ca="1">IFERROR(INDIRECT("Data"&amp;"!"&amp;ADDRESS(MATCH($V$1,Data!$A:$A,0)+3+$U89,MATCH(Y$1,Data!$2:$2,0)+3,4)),"")</f>
        <v/>
      </c>
      <c r="Z89" s="5" t="str" cm="1">
        <f t="array" aca="1" ref="Z89" ca="1">IFERROR(INDIRECT("Data"&amp;"!"&amp;ADDRESS(MATCH($V$1,Data!$A:$A,0)+3+$U89,MATCH(Z$1,Data!$2:$2,0)+3,4)),"")</f>
        <v/>
      </c>
      <c r="AA89" s="5" t="str" cm="1">
        <f t="array" aca="1" ref="AA89" ca="1">IFERROR(INDIRECT("Data"&amp;"!"&amp;ADDRESS(MATCH($V$1,Data!$A:$A,0)+3+$U89,MATCH(AA$1,Data!$2:$2,0)+3,4)),"")</f>
        <v/>
      </c>
      <c r="AB89" s="5" t="str" cm="1">
        <f t="array" aca="1" ref="AB89" ca="1">IFERROR(INDIRECT("Data"&amp;"!"&amp;ADDRESS(MATCH($V$1,Data!$A:$A,0)+3+$U89,MATCH(AB$1,Data!$2:$2,0)+3,4)),"")</f>
        <v/>
      </c>
      <c r="AC89" s="5" t="str" cm="1">
        <f t="array" aca="1" ref="AC89" ca="1">IFERROR(INDIRECT("Data"&amp;"!"&amp;ADDRESS(MATCH($V$1,Data!$A:$A,0)+3+$U89,MATCH(AC$1,Data!$2:$2,0)+3,4)),"")</f>
        <v/>
      </c>
      <c r="AD89" s="5" t="str" cm="1">
        <f t="array" aca="1" ref="AD89" ca="1">IFERROR(INDIRECT("Data"&amp;"!"&amp;ADDRESS(MATCH($V$1,Data!$A:$A,0)+3+$U89,MATCH(AD$1,Data!$2:$2,0)+3,4)),"")</f>
        <v/>
      </c>
      <c r="AE89" s="5" t="str" cm="1">
        <f t="array" aca="1" ref="AE89" ca="1">IFERROR(INDIRECT("Data"&amp;"!"&amp;ADDRESS(MATCH($V$1,Data!$A:$A,0)+3+$U89,MATCH(AE$1,Data!$2:$2,0)+3,4)),"")</f>
        <v/>
      </c>
      <c r="AF89" s="5" t="str" cm="1">
        <f t="array" aca="1" ref="AF89" ca="1">IFERROR(INDIRECT("Data"&amp;"!"&amp;ADDRESS(MATCH($V$1,Data!$A:$A,0)+3+$U89,MATCH(AF$1,Data!$2:$2,0)+3,4)),"")</f>
        <v/>
      </c>
      <c r="AG89" s="5" t="str" cm="1">
        <f t="array" aca="1" ref="AG89" ca="1">IFERROR(INDIRECT("Data"&amp;"!"&amp;ADDRESS(MATCH($V$1,Data!$A:$A,0)+3+$U89,MATCH(AG$1,Data!$2:$2,0)+3,4)),"")</f>
        <v/>
      </c>
    </row>
    <row r="90" spans="2:33" x14ac:dyDescent="0.25">
      <c r="B90" s="22" t="str" cm="1">
        <f t="array" aca="1" ref="B90" ca="1">IFERROR(INDIRECT("List"&amp;"!"&amp;ADDRESS(MATCH($A90,List!$B:$B,0),MATCH($B$1,List!$1:$1,0),4)),"")</f>
        <v/>
      </c>
      <c r="C90" s="22" t="str" cm="1">
        <f t="array" aca="1" ref="C90" ca="1">IFERROR(INDIRECT("List"&amp;"!"&amp;ADDRESS(MATCH($A90,List!$B:$B,0),MATCH($C$1,List!$1:$1,0),4)),"")</f>
        <v/>
      </c>
      <c r="D90" s="22" t="str" cm="1">
        <f t="array" aca="1" ref="D90" ca="1">IFERROR(INDIRECT("List"&amp;"!"&amp;ADDRESS(MATCH($A90,List!$B:$B,0),MATCH($D$1,List!$1:$1,0),4)),"")</f>
        <v/>
      </c>
      <c r="E90" s="22" t="str" cm="1">
        <f t="array" aca="1" ref="E90" ca="1">IFERROR(INDIRECT("List"&amp;"!"&amp;ADDRESS(MATCH($A90,List!$B:$B,0),MATCH($E$1,List!$1:$1,0),4)),"")</f>
        <v/>
      </c>
      <c r="F90" s="27" t="str" cm="1">
        <f t="array" aca="1" ref="F90" ca="1">IFERROR(INDIRECT("List"&amp;"!"&amp;ADDRESS(MATCH($A90,List!$B:$B,0),MATCH($F$1,List!$1:$1,0),4)),"")</f>
        <v/>
      </c>
      <c r="G90" s="31" t="str" cm="1">
        <f t="array" aca="1" ref="G90" ca="1">IFERROR(INDIRECT("Data"&amp;"!"&amp;ADDRESS(MATCH($G$1,Data!$A$1:$A$20,0),MATCH($A90,Data!$2:$2,0)+3,4)),"")</f>
        <v/>
      </c>
      <c r="H90" s="31" t="str" cm="1">
        <f t="array" aca="1" ref="H90" ca="1">IFERROR(INDIRECT("Data"&amp;"!"&amp;ADDRESS(MATCH($G$1,Data!$A$1:$A$20,0),MATCH($A90,Data!$2:$2,0),4)),"")</f>
        <v/>
      </c>
      <c r="I90" s="31" t="str" cm="1">
        <f t="array" aca="1" ref="I90" ca="1">IFERROR(INDIRECT("Data"&amp;"!"&amp;ADDRESS(MATCH($G$1,Data!$A$1:$A$20,0),MATCH($A90,Data!$2:$2,0)+1,4)),"")</f>
        <v/>
      </c>
      <c r="J90" s="31" t="str" cm="1">
        <f t="array" aca="1" ref="J90" ca="1">IFERROR(INDIRECT("Data"&amp;"!"&amp;ADDRESS(MATCH($G$1,Data!$A$1:$A$20,0),MATCH($A90,Data!$2:$2,0)+2,4)),"")</f>
        <v/>
      </c>
      <c r="K90" s="34" t="str" cm="1">
        <f t="array" aca="1" ref="K90" ca="1">IFERROR(INDIRECT("Data"&amp;"!"&amp;ADDRESS(MATCH($K$1,Data!$A$1:$A$20,0),MATCH($A90,Data!$2:$2,0)+2,4)),"")</f>
        <v/>
      </c>
      <c r="U90" s="7">
        <v>87</v>
      </c>
      <c r="V90" s="7">
        <v>0</v>
      </c>
      <c r="W90" s="5">
        <v>75</v>
      </c>
      <c r="X90" s="7" t="str" cm="1">
        <f t="array" aca="1" ref="X90" ca="1">IFERROR(INDIRECT("Data"&amp;"!"&amp;ADDRESS(MATCH($V$1,Data!$A:$A,0)+3+$U90,MATCH(X$1,Data!$2:$2,0)+3,4)),"")</f>
        <v/>
      </c>
      <c r="Y90" s="5" t="str" cm="1">
        <f t="array" aca="1" ref="Y90" ca="1">IFERROR(INDIRECT("Data"&amp;"!"&amp;ADDRESS(MATCH($V$1,Data!$A:$A,0)+3+$U90,MATCH(Y$1,Data!$2:$2,0)+3,4)),"")</f>
        <v/>
      </c>
      <c r="Z90" s="5" t="str" cm="1">
        <f t="array" aca="1" ref="Z90" ca="1">IFERROR(INDIRECT("Data"&amp;"!"&amp;ADDRESS(MATCH($V$1,Data!$A:$A,0)+3+$U90,MATCH(Z$1,Data!$2:$2,0)+3,4)),"")</f>
        <v/>
      </c>
      <c r="AA90" s="5" t="str" cm="1">
        <f t="array" aca="1" ref="AA90" ca="1">IFERROR(INDIRECT("Data"&amp;"!"&amp;ADDRESS(MATCH($V$1,Data!$A:$A,0)+3+$U90,MATCH(AA$1,Data!$2:$2,0)+3,4)),"")</f>
        <v/>
      </c>
      <c r="AB90" s="5" t="str" cm="1">
        <f t="array" aca="1" ref="AB90" ca="1">IFERROR(INDIRECT("Data"&amp;"!"&amp;ADDRESS(MATCH($V$1,Data!$A:$A,0)+3+$U90,MATCH(AB$1,Data!$2:$2,0)+3,4)),"")</f>
        <v/>
      </c>
      <c r="AC90" s="5" t="str" cm="1">
        <f t="array" aca="1" ref="AC90" ca="1">IFERROR(INDIRECT("Data"&amp;"!"&amp;ADDRESS(MATCH($V$1,Data!$A:$A,0)+3+$U90,MATCH(AC$1,Data!$2:$2,0)+3,4)),"")</f>
        <v/>
      </c>
      <c r="AD90" s="5" t="str" cm="1">
        <f t="array" aca="1" ref="AD90" ca="1">IFERROR(INDIRECT("Data"&amp;"!"&amp;ADDRESS(MATCH($V$1,Data!$A:$A,0)+3+$U90,MATCH(AD$1,Data!$2:$2,0)+3,4)),"")</f>
        <v/>
      </c>
      <c r="AE90" s="5" t="str" cm="1">
        <f t="array" aca="1" ref="AE90" ca="1">IFERROR(INDIRECT("Data"&amp;"!"&amp;ADDRESS(MATCH($V$1,Data!$A:$A,0)+3+$U90,MATCH(AE$1,Data!$2:$2,0)+3,4)),"")</f>
        <v/>
      </c>
      <c r="AF90" s="5" t="str" cm="1">
        <f t="array" aca="1" ref="AF90" ca="1">IFERROR(INDIRECT("Data"&amp;"!"&amp;ADDRESS(MATCH($V$1,Data!$A:$A,0)+3+$U90,MATCH(AF$1,Data!$2:$2,0)+3,4)),"")</f>
        <v/>
      </c>
      <c r="AG90" s="5" t="str" cm="1">
        <f t="array" aca="1" ref="AG90" ca="1">IFERROR(INDIRECT("Data"&amp;"!"&amp;ADDRESS(MATCH($V$1,Data!$A:$A,0)+3+$U90,MATCH(AG$1,Data!$2:$2,0)+3,4)),"")</f>
        <v/>
      </c>
    </row>
    <row r="91" spans="2:33" x14ac:dyDescent="0.25">
      <c r="B91" s="22" t="str" cm="1">
        <f t="array" aca="1" ref="B91" ca="1">IFERROR(INDIRECT("List"&amp;"!"&amp;ADDRESS(MATCH($A91,List!$B:$B,0),MATCH($B$1,List!$1:$1,0),4)),"")</f>
        <v/>
      </c>
      <c r="C91" s="22" t="str" cm="1">
        <f t="array" aca="1" ref="C91" ca="1">IFERROR(INDIRECT("List"&amp;"!"&amp;ADDRESS(MATCH($A91,List!$B:$B,0),MATCH($C$1,List!$1:$1,0),4)),"")</f>
        <v/>
      </c>
      <c r="D91" s="22" t="str" cm="1">
        <f t="array" aca="1" ref="D91" ca="1">IFERROR(INDIRECT("List"&amp;"!"&amp;ADDRESS(MATCH($A91,List!$B:$B,0),MATCH($D$1,List!$1:$1,0),4)),"")</f>
        <v/>
      </c>
      <c r="E91" s="22" t="str" cm="1">
        <f t="array" aca="1" ref="E91" ca="1">IFERROR(INDIRECT("List"&amp;"!"&amp;ADDRESS(MATCH($A91,List!$B:$B,0),MATCH($E$1,List!$1:$1,0),4)),"")</f>
        <v/>
      </c>
      <c r="F91" s="27" t="str" cm="1">
        <f t="array" aca="1" ref="F91" ca="1">IFERROR(INDIRECT("List"&amp;"!"&amp;ADDRESS(MATCH($A91,List!$B:$B,0),MATCH($F$1,List!$1:$1,0),4)),"")</f>
        <v/>
      </c>
      <c r="G91" s="31" t="str" cm="1">
        <f t="array" aca="1" ref="G91" ca="1">IFERROR(INDIRECT("Data"&amp;"!"&amp;ADDRESS(MATCH($G$1,Data!$A$1:$A$20,0),MATCH($A91,Data!$2:$2,0)+3,4)),"")</f>
        <v/>
      </c>
      <c r="H91" s="31" t="str" cm="1">
        <f t="array" aca="1" ref="H91" ca="1">IFERROR(INDIRECT("Data"&amp;"!"&amp;ADDRESS(MATCH($G$1,Data!$A$1:$A$20,0),MATCH($A91,Data!$2:$2,0),4)),"")</f>
        <v/>
      </c>
      <c r="I91" s="31" t="str" cm="1">
        <f t="array" aca="1" ref="I91" ca="1">IFERROR(INDIRECT("Data"&amp;"!"&amp;ADDRESS(MATCH($G$1,Data!$A$1:$A$20,0),MATCH($A91,Data!$2:$2,0)+1,4)),"")</f>
        <v/>
      </c>
      <c r="J91" s="31" t="str" cm="1">
        <f t="array" aca="1" ref="J91" ca="1">IFERROR(INDIRECT("Data"&amp;"!"&amp;ADDRESS(MATCH($G$1,Data!$A$1:$A$20,0),MATCH($A91,Data!$2:$2,0)+2,4)),"")</f>
        <v/>
      </c>
      <c r="K91" s="34" t="str" cm="1">
        <f t="array" aca="1" ref="K91" ca="1">IFERROR(INDIRECT("Data"&amp;"!"&amp;ADDRESS(MATCH($K$1,Data!$A$1:$A$20,0),MATCH($A91,Data!$2:$2,0)+2,4)),"")</f>
        <v/>
      </c>
      <c r="U91" s="7">
        <v>88</v>
      </c>
      <c r="V91" s="7">
        <v>0</v>
      </c>
      <c r="W91" s="5">
        <v>80</v>
      </c>
      <c r="X91" s="7" t="str" cm="1">
        <f t="array" aca="1" ref="X91" ca="1">IFERROR(INDIRECT("Data"&amp;"!"&amp;ADDRESS(MATCH($V$1,Data!$A:$A,0)+3+$U91,MATCH(X$1,Data!$2:$2,0)+3,4)),"")</f>
        <v/>
      </c>
      <c r="Y91" s="5" t="str" cm="1">
        <f t="array" aca="1" ref="Y91" ca="1">IFERROR(INDIRECT("Data"&amp;"!"&amp;ADDRESS(MATCH($V$1,Data!$A:$A,0)+3+$U91,MATCH(Y$1,Data!$2:$2,0)+3,4)),"")</f>
        <v/>
      </c>
      <c r="Z91" s="5" t="str" cm="1">
        <f t="array" aca="1" ref="Z91" ca="1">IFERROR(INDIRECT("Data"&amp;"!"&amp;ADDRESS(MATCH($V$1,Data!$A:$A,0)+3+$U91,MATCH(Z$1,Data!$2:$2,0)+3,4)),"")</f>
        <v/>
      </c>
      <c r="AA91" s="5" t="str" cm="1">
        <f t="array" aca="1" ref="AA91" ca="1">IFERROR(INDIRECT("Data"&amp;"!"&amp;ADDRESS(MATCH($V$1,Data!$A:$A,0)+3+$U91,MATCH(AA$1,Data!$2:$2,0)+3,4)),"")</f>
        <v/>
      </c>
      <c r="AB91" s="5" t="str" cm="1">
        <f t="array" aca="1" ref="AB91" ca="1">IFERROR(INDIRECT("Data"&amp;"!"&amp;ADDRESS(MATCH($V$1,Data!$A:$A,0)+3+$U91,MATCH(AB$1,Data!$2:$2,0)+3,4)),"")</f>
        <v/>
      </c>
      <c r="AC91" s="5" t="str" cm="1">
        <f t="array" aca="1" ref="AC91" ca="1">IFERROR(INDIRECT("Data"&amp;"!"&amp;ADDRESS(MATCH($V$1,Data!$A:$A,0)+3+$U91,MATCH(AC$1,Data!$2:$2,0)+3,4)),"")</f>
        <v/>
      </c>
      <c r="AD91" s="5" t="str" cm="1">
        <f t="array" aca="1" ref="AD91" ca="1">IFERROR(INDIRECT("Data"&amp;"!"&amp;ADDRESS(MATCH($V$1,Data!$A:$A,0)+3+$U91,MATCH(AD$1,Data!$2:$2,0)+3,4)),"")</f>
        <v/>
      </c>
      <c r="AE91" s="5" t="str" cm="1">
        <f t="array" aca="1" ref="AE91" ca="1">IFERROR(INDIRECT("Data"&amp;"!"&amp;ADDRESS(MATCH($V$1,Data!$A:$A,0)+3+$U91,MATCH(AE$1,Data!$2:$2,0)+3,4)),"")</f>
        <v/>
      </c>
      <c r="AF91" s="5" t="str" cm="1">
        <f t="array" aca="1" ref="AF91" ca="1">IFERROR(INDIRECT("Data"&amp;"!"&amp;ADDRESS(MATCH($V$1,Data!$A:$A,0)+3+$U91,MATCH(AF$1,Data!$2:$2,0)+3,4)),"")</f>
        <v/>
      </c>
      <c r="AG91" s="5" t="str" cm="1">
        <f t="array" aca="1" ref="AG91" ca="1">IFERROR(INDIRECT("Data"&amp;"!"&amp;ADDRESS(MATCH($V$1,Data!$A:$A,0)+3+$U91,MATCH(AG$1,Data!$2:$2,0)+3,4)),"")</f>
        <v/>
      </c>
    </row>
    <row r="92" spans="2:33" x14ac:dyDescent="0.25">
      <c r="B92" s="22" t="str" cm="1">
        <f t="array" aca="1" ref="B92" ca="1">IFERROR(INDIRECT("List"&amp;"!"&amp;ADDRESS(MATCH($A92,List!$B:$B,0),MATCH($B$1,List!$1:$1,0),4)),"")</f>
        <v/>
      </c>
      <c r="C92" s="22" t="str" cm="1">
        <f t="array" aca="1" ref="C92" ca="1">IFERROR(INDIRECT("List"&amp;"!"&amp;ADDRESS(MATCH($A92,List!$B:$B,0),MATCH($C$1,List!$1:$1,0),4)),"")</f>
        <v/>
      </c>
      <c r="D92" s="22" t="str" cm="1">
        <f t="array" aca="1" ref="D92" ca="1">IFERROR(INDIRECT("List"&amp;"!"&amp;ADDRESS(MATCH($A92,List!$B:$B,0),MATCH($D$1,List!$1:$1,0),4)),"")</f>
        <v/>
      </c>
      <c r="E92" s="22" t="str" cm="1">
        <f t="array" aca="1" ref="E92" ca="1">IFERROR(INDIRECT("List"&amp;"!"&amp;ADDRESS(MATCH($A92,List!$B:$B,0),MATCH($E$1,List!$1:$1,0),4)),"")</f>
        <v/>
      </c>
      <c r="F92" s="27" t="str" cm="1">
        <f t="array" aca="1" ref="F92" ca="1">IFERROR(INDIRECT("List"&amp;"!"&amp;ADDRESS(MATCH($A92,List!$B:$B,0),MATCH($F$1,List!$1:$1,0),4)),"")</f>
        <v/>
      </c>
      <c r="G92" s="31" t="str" cm="1">
        <f t="array" aca="1" ref="G92" ca="1">IFERROR(INDIRECT("Data"&amp;"!"&amp;ADDRESS(MATCH($G$1,Data!$A$1:$A$20,0),MATCH($A92,Data!$2:$2,0)+3,4)),"")</f>
        <v/>
      </c>
      <c r="H92" s="31" t="str" cm="1">
        <f t="array" aca="1" ref="H92" ca="1">IFERROR(INDIRECT("Data"&amp;"!"&amp;ADDRESS(MATCH($G$1,Data!$A$1:$A$20,0),MATCH($A92,Data!$2:$2,0),4)),"")</f>
        <v/>
      </c>
      <c r="I92" s="31" t="str" cm="1">
        <f t="array" aca="1" ref="I92" ca="1">IFERROR(INDIRECT("Data"&amp;"!"&amp;ADDRESS(MATCH($G$1,Data!$A$1:$A$20,0),MATCH($A92,Data!$2:$2,0)+1,4)),"")</f>
        <v/>
      </c>
      <c r="J92" s="31" t="str" cm="1">
        <f t="array" aca="1" ref="J92" ca="1">IFERROR(INDIRECT("Data"&amp;"!"&amp;ADDRESS(MATCH($G$1,Data!$A$1:$A$20,0),MATCH($A92,Data!$2:$2,0)+2,4)),"")</f>
        <v/>
      </c>
      <c r="K92" s="34" t="str" cm="1">
        <f t="array" aca="1" ref="K92" ca="1">IFERROR(INDIRECT("Data"&amp;"!"&amp;ADDRESS(MATCH($K$1,Data!$A$1:$A$20,0),MATCH($A92,Data!$2:$2,0)+2,4)),"")</f>
        <v/>
      </c>
      <c r="U92" s="7">
        <v>89</v>
      </c>
      <c r="V92" s="7">
        <v>0</v>
      </c>
      <c r="W92" s="5">
        <v>85</v>
      </c>
      <c r="X92" s="7" t="str" cm="1">
        <f t="array" aca="1" ref="X92" ca="1">IFERROR(INDIRECT("Data"&amp;"!"&amp;ADDRESS(MATCH($V$1,Data!$A:$A,0)+3+$U92,MATCH(X$1,Data!$2:$2,0)+3,4)),"")</f>
        <v/>
      </c>
      <c r="Y92" s="5" t="str" cm="1">
        <f t="array" aca="1" ref="Y92" ca="1">IFERROR(INDIRECT("Data"&amp;"!"&amp;ADDRESS(MATCH($V$1,Data!$A:$A,0)+3+$U92,MATCH(Y$1,Data!$2:$2,0)+3,4)),"")</f>
        <v/>
      </c>
      <c r="Z92" s="5" t="str" cm="1">
        <f t="array" aca="1" ref="Z92" ca="1">IFERROR(INDIRECT("Data"&amp;"!"&amp;ADDRESS(MATCH($V$1,Data!$A:$A,0)+3+$U92,MATCH(Z$1,Data!$2:$2,0)+3,4)),"")</f>
        <v/>
      </c>
      <c r="AA92" s="5" t="str" cm="1">
        <f t="array" aca="1" ref="AA92" ca="1">IFERROR(INDIRECT("Data"&amp;"!"&amp;ADDRESS(MATCH($V$1,Data!$A:$A,0)+3+$U92,MATCH(AA$1,Data!$2:$2,0)+3,4)),"")</f>
        <v/>
      </c>
      <c r="AB92" s="5" t="str" cm="1">
        <f t="array" aca="1" ref="AB92" ca="1">IFERROR(INDIRECT("Data"&amp;"!"&amp;ADDRESS(MATCH($V$1,Data!$A:$A,0)+3+$U92,MATCH(AB$1,Data!$2:$2,0)+3,4)),"")</f>
        <v/>
      </c>
      <c r="AC92" s="5" t="str" cm="1">
        <f t="array" aca="1" ref="AC92" ca="1">IFERROR(INDIRECT("Data"&amp;"!"&amp;ADDRESS(MATCH($V$1,Data!$A:$A,0)+3+$U92,MATCH(AC$1,Data!$2:$2,0)+3,4)),"")</f>
        <v/>
      </c>
      <c r="AD92" s="5" t="str" cm="1">
        <f t="array" aca="1" ref="AD92" ca="1">IFERROR(INDIRECT("Data"&amp;"!"&amp;ADDRESS(MATCH($V$1,Data!$A:$A,0)+3+$U92,MATCH(AD$1,Data!$2:$2,0)+3,4)),"")</f>
        <v/>
      </c>
      <c r="AE92" s="5" t="str" cm="1">
        <f t="array" aca="1" ref="AE92" ca="1">IFERROR(INDIRECT("Data"&amp;"!"&amp;ADDRESS(MATCH($V$1,Data!$A:$A,0)+3+$U92,MATCH(AE$1,Data!$2:$2,0)+3,4)),"")</f>
        <v/>
      </c>
      <c r="AF92" s="5" t="str" cm="1">
        <f t="array" aca="1" ref="AF92" ca="1">IFERROR(INDIRECT("Data"&amp;"!"&amp;ADDRESS(MATCH($V$1,Data!$A:$A,0)+3+$U92,MATCH(AF$1,Data!$2:$2,0)+3,4)),"")</f>
        <v/>
      </c>
      <c r="AG92" s="5" t="str" cm="1">
        <f t="array" aca="1" ref="AG92" ca="1">IFERROR(INDIRECT("Data"&amp;"!"&amp;ADDRESS(MATCH($V$1,Data!$A:$A,0)+3+$U92,MATCH(AG$1,Data!$2:$2,0)+3,4)),"")</f>
        <v/>
      </c>
    </row>
    <row r="93" spans="2:33" x14ac:dyDescent="0.25">
      <c r="B93" s="22" t="str" cm="1">
        <f t="array" aca="1" ref="B93" ca="1">IFERROR(INDIRECT("List"&amp;"!"&amp;ADDRESS(MATCH($A93,List!$B:$B,0),MATCH($B$1,List!$1:$1,0),4)),"")</f>
        <v/>
      </c>
      <c r="C93" s="22" t="str" cm="1">
        <f t="array" aca="1" ref="C93" ca="1">IFERROR(INDIRECT("List"&amp;"!"&amp;ADDRESS(MATCH($A93,List!$B:$B,0),MATCH($C$1,List!$1:$1,0),4)),"")</f>
        <v/>
      </c>
      <c r="D93" s="22" t="str" cm="1">
        <f t="array" aca="1" ref="D93" ca="1">IFERROR(INDIRECT("List"&amp;"!"&amp;ADDRESS(MATCH($A93,List!$B:$B,0),MATCH($D$1,List!$1:$1,0),4)),"")</f>
        <v/>
      </c>
      <c r="E93" s="22" t="str" cm="1">
        <f t="array" aca="1" ref="E93" ca="1">IFERROR(INDIRECT("List"&amp;"!"&amp;ADDRESS(MATCH($A93,List!$B:$B,0),MATCH($E$1,List!$1:$1,0),4)),"")</f>
        <v/>
      </c>
      <c r="F93" s="27" t="str" cm="1">
        <f t="array" aca="1" ref="F93" ca="1">IFERROR(INDIRECT("List"&amp;"!"&amp;ADDRESS(MATCH($A93,List!$B:$B,0),MATCH($F$1,List!$1:$1,0),4)),"")</f>
        <v/>
      </c>
      <c r="G93" s="31" t="str" cm="1">
        <f t="array" aca="1" ref="G93" ca="1">IFERROR(INDIRECT("Data"&amp;"!"&amp;ADDRESS(MATCH($G$1,Data!$A$1:$A$20,0),MATCH($A93,Data!$2:$2,0)+3,4)),"")</f>
        <v/>
      </c>
      <c r="H93" s="31" t="str" cm="1">
        <f t="array" aca="1" ref="H93" ca="1">IFERROR(INDIRECT("Data"&amp;"!"&amp;ADDRESS(MATCH($G$1,Data!$A$1:$A$20,0),MATCH($A93,Data!$2:$2,0),4)),"")</f>
        <v/>
      </c>
      <c r="I93" s="31" t="str" cm="1">
        <f t="array" aca="1" ref="I93" ca="1">IFERROR(INDIRECT("Data"&amp;"!"&amp;ADDRESS(MATCH($G$1,Data!$A$1:$A$20,0),MATCH($A93,Data!$2:$2,0)+1,4)),"")</f>
        <v/>
      </c>
      <c r="J93" s="31" t="str" cm="1">
        <f t="array" aca="1" ref="J93" ca="1">IFERROR(INDIRECT("Data"&amp;"!"&amp;ADDRESS(MATCH($G$1,Data!$A$1:$A$20,0),MATCH($A93,Data!$2:$2,0)+2,4)),"")</f>
        <v/>
      </c>
      <c r="K93" s="34" t="str" cm="1">
        <f t="array" aca="1" ref="K93" ca="1">IFERROR(INDIRECT("Data"&amp;"!"&amp;ADDRESS(MATCH($K$1,Data!$A$1:$A$20,0),MATCH($A93,Data!$2:$2,0)+2,4)),"")</f>
        <v/>
      </c>
      <c r="U93" s="7">
        <v>90</v>
      </c>
      <c r="V93" s="7">
        <v>0</v>
      </c>
      <c r="W93" s="5">
        <v>90</v>
      </c>
      <c r="X93" s="7" t="str" cm="1">
        <f t="array" aca="1" ref="X93" ca="1">IFERROR(INDIRECT("Data"&amp;"!"&amp;ADDRESS(MATCH($V$1,Data!$A:$A,0)+3+$U93,MATCH(X$1,Data!$2:$2,0)+3,4)),"")</f>
        <v/>
      </c>
      <c r="Y93" s="5" t="str" cm="1">
        <f t="array" aca="1" ref="Y93" ca="1">IFERROR(INDIRECT("Data"&amp;"!"&amp;ADDRESS(MATCH($V$1,Data!$A:$A,0)+3+$U93,MATCH(Y$1,Data!$2:$2,0)+3,4)),"")</f>
        <v/>
      </c>
      <c r="Z93" s="5" t="str" cm="1">
        <f t="array" aca="1" ref="Z93" ca="1">IFERROR(INDIRECT("Data"&amp;"!"&amp;ADDRESS(MATCH($V$1,Data!$A:$A,0)+3+$U93,MATCH(Z$1,Data!$2:$2,0)+3,4)),"")</f>
        <v/>
      </c>
      <c r="AA93" s="5" t="str" cm="1">
        <f t="array" aca="1" ref="AA93" ca="1">IFERROR(INDIRECT("Data"&amp;"!"&amp;ADDRESS(MATCH($V$1,Data!$A:$A,0)+3+$U93,MATCH(AA$1,Data!$2:$2,0)+3,4)),"")</f>
        <v/>
      </c>
      <c r="AB93" s="5" t="str" cm="1">
        <f t="array" aca="1" ref="AB93" ca="1">IFERROR(INDIRECT("Data"&amp;"!"&amp;ADDRESS(MATCH($V$1,Data!$A:$A,0)+3+$U93,MATCH(AB$1,Data!$2:$2,0)+3,4)),"")</f>
        <v/>
      </c>
      <c r="AC93" s="5" t="str" cm="1">
        <f t="array" aca="1" ref="AC93" ca="1">IFERROR(INDIRECT("Data"&amp;"!"&amp;ADDRESS(MATCH($V$1,Data!$A:$A,0)+3+$U93,MATCH(AC$1,Data!$2:$2,0)+3,4)),"")</f>
        <v/>
      </c>
      <c r="AD93" s="5" t="str" cm="1">
        <f t="array" aca="1" ref="AD93" ca="1">IFERROR(INDIRECT("Data"&amp;"!"&amp;ADDRESS(MATCH($V$1,Data!$A:$A,0)+3+$U93,MATCH(AD$1,Data!$2:$2,0)+3,4)),"")</f>
        <v/>
      </c>
      <c r="AE93" s="5" t="str" cm="1">
        <f t="array" aca="1" ref="AE93" ca="1">IFERROR(INDIRECT("Data"&amp;"!"&amp;ADDRESS(MATCH($V$1,Data!$A:$A,0)+3+$U93,MATCH(AE$1,Data!$2:$2,0)+3,4)),"")</f>
        <v/>
      </c>
      <c r="AF93" s="5" t="str" cm="1">
        <f t="array" aca="1" ref="AF93" ca="1">IFERROR(INDIRECT("Data"&amp;"!"&amp;ADDRESS(MATCH($V$1,Data!$A:$A,0)+3+$U93,MATCH(AF$1,Data!$2:$2,0)+3,4)),"")</f>
        <v/>
      </c>
      <c r="AG93" s="5" t="str" cm="1">
        <f t="array" aca="1" ref="AG93" ca="1">IFERROR(INDIRECT("Data"&amp;"!"&amp;ADDRESS(MATCH($V$1,Data!$A:$A,0)+3+$U93,MATCH(AG$1,Data!$2:$2,0)+3,4)),"")</f>
        <v/>
      </c>
    </row>
    <row r="94" spans="2:33" x14ac:dyDescent="0.25">
      <c r="B94" s="22" t="str" cm="1">
        <f t="array" aca="1" ref="B94" ca="1">IFERROR(INDIRECT("List"&amp;"!"&amp;ADDRESS(MATCH($A94,List!$B:$B,0),MATCH($B$1,List!$1:$1,0),4)),"")</f>
        <v/>
      </c>
      <c r="C94" s="22" t="str" cm="1">
        <f t="array" aca="1" ref="C94" ca="1">IFERROR(INDIRECT("List"&amp;"!"&amp;ADDRESS(MATCH($A94,List!$B:$B,0),MATCH($C$1,List!$1:$1,0),4)),"")</f>
        <v/>
      </c>
      <c r="D94" s="22" t="str" cm="1">
        <f t="array" aca="1" ref="D94" ca="1">IFERROR(INDIRECT("List"&amp;"!"&amp;ADDRESS(MATCH($A94,List!$B:$B,0),MATCH($D$1,List!$1:$1,0),4)),"")</f>
        <v/>
      </c>
      <c r="E94" s="22" t="str" cm="1">
        <f t="array" aca="1" ref="E94" ca="1">IFERROR(INDIRECT("List"&amp;"!"&amp;ADDRESS(MATCH($A94,List!$B:$B,0),MATCH($E$1,List!$1:$1,0),4)),"")</f>
        <v/>
      </c>
      <c r="F94" s="27" t="str" cm="1">
        <f t="array" aca="1" ref="F94" ca="1">IFERROR(INDIRECT("List"&amp;"!"&amp;ADDRESS(MATCH($A94,List!$B:$B,0),MATCH($F$1,List!$1:$1,0),4)),"")</f>
        <v/>
      </c>
      <c r="G94" s="31" t="str" cm="1">
        <f t="array" aca="1" ref="G94" ca="1">IFERROR(INDIRECT("Data"&amp;"!"&amp;ADDRESS(MATCH($G$1,Data!$A$1:$A$20,0),MATCH($A94,Data!$2:$2,0)+3,4)),"")</f>
        <v/>
      </c>
      <c r="H94" s="31" t="str" cm="1">
        <f t="array" aca="1" ref="H94" ca="1">IFERROR(INDIRECT("Data"&amp;"!"&amp;ADDRESS(MATCH($G$1,Data!$A$1:$A$20,0),MATCH($A94,Data!$2:$2,0),4)),"")</f>
        <v/>
      </c>
      <c r="I94" s="31" t="str" cm="1">
        <f t="array" aca="1" ref="I94" ca="1">IFERROR(INDIRECT("Data"&amp;"!"&amp;ADDRESS(MATCH($G$1,Data!$A$1:$A$20,0),MATCH($A94,Data!$2:$2,0)+1,4)),"")</f>
        <v/>
      </c>
      <c r="J94" s="31" t="str" cm="1">
        <f t="array" aca="1" ref="J94" ca="1">IFERROR(INDIRECT("Data"&amp;"!"&amp;ADDRESS(MATCH($G$1,Data!$A$1:$A$20,0),MATCH($A94,Data!$2:$2,0)+2,4)),"")</f>
        <v/>
      </c>
      <c r="K94" s="34" t="str" cm="1">
        <f t="array" aca="1" ref="K94" ca="1">IFERROR(INDIRECT("Data"&amp;"!"&amp;ADDRESS(MATCH($K$1,Data!$A$1:$A$20,0),MATCH($A94,Data!$2:$2,0)+2,4)),"")</f>
        <v/>
      </c>
      <c r="U94" s="7">
        <v>91</v>
      </c>
      <c r="V94" s="7">
        <v>0</v>
      </c>
      <c r="W94" s="5">
        <v>92</v>
      </c>
      <c r="X94" s="7" t="str" cm="1">
        <f t="array" aca="1" ref="X94" ca="1">IFERROR(INDIRECT("Data"&amp;"!"&amp;ADDRESS(MATCH($V$1,Data!$A:$A,0)+3+$U94,MATCH(X$1,Data!$2:$2,0)+3,4)),"")</f>
        <v/>
      </c>
      <c r="Y94" s="5" t="str" cm="1">
        <f t="array" aca="1" ref="Y94" ca="1">IFERROR(INDIRECT("Data"&amp;"!"&amp;ADDRESS(MATCH($V$1,Data!$A:$A,0)+3+$U94,MATCH(Y$1,Data!$2:$2,0)+3,4)),"")</f>
        <v/>
      </c>
      <c r="Z94" s="5" t="str" cm="1">
        <f t="array" aca="1" ref="Z94" ca="1">IFERROR(INDIRECT("Data"&amp;"!"&amp;ADDRESS(MATCH($V$1,Data!$A:$A,0)+3+$U94,MATCH(Z$1,Data!$2:$2,0)+3,4)),"")</f>
        <v/>
      </c>
      <c r="AA94" s="5" t="str" cm="1">
        <f t="array" aca="1" ref="AA94" ca="1">IFERROR(INDIRECT("Data"&amp;"!"&amp;ADDRESS(MATCH($V$1,Data!$A:$A,0)+3+$U94,MATCH(AA$1,Data!$2:$2,0)+3,4)),"")</f>
        <v/>
      </c>
      <c r="AB94" s="5" t="str" cm="1">
        <f t="array" aca="1" ref="AB94" ca="1">IFERROR(INDIRECT("Data"&amp;"!"&amp;ADDRESS(MATCH($V$1,Data!$A:$A,0)+3+$U94,MATCH(AB$1,Data!$2:$2,0)+3,4)),"")</f>
        <v/>
      </c>
      <c r="AC94" s="5" t="str" cm="1">
        <f t="array" aca="1" ref="AC94" ca="1">IFERROR(INDIRECT("Data"&amp;"!"&amp;ADDRESS(MATCH($V$1,Data!$A:$A,0)+3+$U94,MATCH(AC$1,Data!$2:$2,0)+3,4)),"")</f>
        <v/>
      </c>
      <c r="AD94" s="5" t="str" cm="1">
        <f t="array" aca="1" ref="AD94" ca="1">IFERROR(INDIRECT("Data"&amp;"!"&amp;ADDRESS(MATCH($V$1,Data!$A:$A,0)+3+$U94,MATCH(AD$1,Data!$2:$2,0)+3,4)),"")</f>
        <v/>
      </c>
      <c r="AE94" s="5" t="str" cm="1">
        <f t="array" aca="1" ref="AE94" ca="1">IFERROR(INDIRECT("Data"&amp;"!"&amp;ADDRESS(MATCH($V$1,Data!$A:$A,0)+3+$U94,MATCH(AE$1,Data!$2:$2,0)+3,4)),"")</f>
        <v/>
      </c>
      <c r="AF94" s="5" t="str" cm="1">
        <f t="array" aca="1" ref="AF94" ca="1">IFERROR(INDIRECT("Data"&amp;"!"&amp;ADDRESS(MATCH($V$1,Data!$A:$A,0)+3+$U94,MATCH(AF$1,Data!$2:$2,0)+3,4)),"")</f>
        <v/>
      </c>
      <c r="AG94" s="5" t="str" cm="1">
        <f t="array" aca="1" ref="AG94" ca="1">IFERROR(INDIRECT("Data"&amp;"!"&amp;ADDRESS(MATCH($V$1,Data!$A:$A,0)+3+$U94,MATCH(AG$1,Data!$2:$2,0)+3,4)),"")</f>
        <v/>
      </c>
    </row>
    <row r="95" spans="2:33" x14ac:dyDescent="0.25">
      <c r="B95" s="22" t="str" cm="1">
        <f t="array" aca="1" ref="B95" ca="1">IFERROR(INDIRECT("List"&amp;"!"&amp;ADDRESS(MATCH($A95,List!$B:$B,0),MATCH($B$1,List!$1:$1,0),4)),"")</f>
        <v/>
      </c>
      <c r="C95" s="22" t="str" cm="1">
        <f t="array" aca="1" ref="C95" ca="1">IFERROR(INDIRECT("List"&amp;"!"&amp;ADDRESS(MATCH($A95,List!$B:$B,0),MATCH($C$1,List!$1:$1,0),4)),"")</f>
        <v/>
      </c>
      <c r="D95" s="22" t="str" cm="1">
        <f t="array" aca="1" ref="D95" ca="1">IFERROR(INDIRECT("List"&amp;"!"&amp;ADDRESS(MATCH($A95,List!$B:$B,0),MATCH($D$1,List!$1:$1,0),4)),"")</f>
        <v/>
      </c>
      <c r="E95" s="22" t="str" cm="1">
        <f t="array" aca="1" ref="E95" ca="1">IFERROR(INDIRECT("List"&amp;"!"&amp;ADDRESS(MATCH($A95,List!$B:$B,0),MATCH($E$1,List!$1:$1,0),4)),"")</f>
        <v/>
      </c>
      <c r="F95" s="27" t="str" cm="1">
        <f t="array" aca="1" ref="F95" ca="1">IFERROR(INDIRECT("List"&amp;"!"&amp;ADDRESS(MATCH($A95,List!$B:$B,0),MATCH($F$1,List!$1:$1,0),4)),"")</f>
        <v/>
      </c>
      <c r="G95" s="31" t="str" cm="1">
        <f t="array" aca="1" ref="G95" ca="1">IFERROR(INDIRECT("Data"&amp;"!"&amp;ADDRESS(MATCH($G$1,Data!$A$1:$A$20,0),MATCH($A95,Data!$2:$2,0)+3,4)),"")</f>
        <v/>
      </c>
      <c r="H95" s="31" t="str" cm="1">
        <f t="array" aca="1" ref="H95" ca="1">IFERROR(INDIRECT("Data"&amp;"!"&amp;ADDRESS(MATCH($G$1,Data!$A$1:$A$20,0),MATCH($A95,Data!$2:$2,0),4)),"")</f>
        <v/>
      </c>
      <c r="I95" s="31" t="str" cm="1">
        <f t="array" aca="1" ref="I95" ca="1">IFERROR(INDIRECT("Data"&amp;"!"&amp;ADDRESS(MATCH($G$1,Data!$A$1:$A$20,0),MATCH($A95,Data!$2:$2,0)+1,4)),"")</f>
        <v/>
      </c>
      <c r="J95" s="31" t="str" cm="1">
        <f t="array" aca="1" ref="J95" ca="1">IFERROR(INDIRECT("Data"&amp;"!"&amp;ADDRESS(MATCH($G$1,Data!$A$1:$A$20,0),MATCH($A95,Data!$2:$2,0)+2,4)),"")</f>
        <v/>
      </c>
      <c r="K95" s="34" t="str" cm="1">
        <f t="array" aca="1" ref="K95" ca="1">IFERROR(INDIRECT("Data"&amp;"!"&amp;ADDRESS(MATCH($K$1,Data!$A$1:$A$20,0),MATCH($A95,Data!$2:$2,0)+2,4)),"")</f>
        <v/>
      </c>
      <c r="U95" s="7">
        <v>92</v>
      </c>
      <c r="V95" s="7">
        <v>0</v>
      </c>
      <c r="W95" s="5">
        <v>94</v>
      </c>
      <c r="X95" s="7" t="str" cm="1">
        <f t="array" aca="1" ref="X95" ca="1">IFERROR(INDIRECT("Data"&amp;"!"&amp;ADDRESS(MATCH($V$1,Data!$A:$A,0)+3+$U95,MATCH(X$1,Data!$2:$2,0)+3,4)),"")</f>
        <v/>
      </c>
      <c r="Y95" s="5" t="str" cm="1">
        <f t="array" aca="1" ref="Y95" ca="1">IFERROR(INDIRECT("Data"&amp;"!"&amp;ADDRESS(MATCH($V$1,Data!$A:$A,0)+3+$U95,MATCH(Y$1,Data!$2:$2,0)+3,4)),"")</f>
        <v/>
      </c>
      <c r="Z95" s="5" t="str" cm="1">
        <f t="array" aca="1" ref="Z95" ca="1">IFERROR(INDIRECT("Data"&amp;"!"&amp;ADDRESS(MATCH($V$1,Data!$A:$A,0)+3+$U95,MATCH(Z$1,Data!$2:$2,0)+3,4)),"")</f>
        <v/>
      </c>
      <c r="AA95" s="5" t="str" cm="1">
        <f t="array" aca="1" ref="AA95" ca="1">IFERROR(INDIRECT("Data"&amp;"!"&amp;ADDRESS(MATCH($V$1,Data!$A:$A,0)+3+$U95,MATCH(AA$1,Data!$2:$2,0)+3,4)),"")</f>
        <v/>
      </c>
      <c r="AB95" s="5" t="str" cm="1">
        <f t="array" aca="1" ref="AB95" ca="1">IFERROR(INDIRECT("Data"&amp;"!"&amp;ADDRESS(MATCH($V$1,Data!$A:$A,0)+3+$U95,MATCH(AB$1,Data!$2:$2,0)+3,4)),"")</f>
        <v/>
      </c>
      <c r="AC95" s="5" t="str" cm="1">
        <f t="array" aca="1" ref="AC95" ca="1">IFERROR(INDIRECT("Data"&amp;"!"&amp;ADDRESS(MATCH($V$1,Data!$A:$A,0)+3+$U95,MATCH(AC$1,Data!$2:$2,0)+3,4)),"")</f>
        <v/>
      </c>
      <c r="AD95" s="5" t="str" cm="1">
        <f t="array" aca="1" ref="AD95" ca="1">IFERROR(INDIRECT("Data"&amp;"!"&amp;ADDRESS(MATCH($V$1,Data!$A:$A,0)+3+$U95,MATCH(AD$1,Data!$2:$2,0)+3,4)),"")</f>
        <v/>
      </c>
      <c r="AE95" s="5" t="str" cm="1">
        <f t="array" aca="1" ref="AE95" ca="1">IFERROR(INDIRECT("Data"&amp;"!"&amp;ADDRESS(MATCH($V$1,Data!$A:$A,0)+3+$U95,MATCH(AE$1,Data!$2:$2,0)+3,4)),"")</f>
        <v/>
      </c>
      <c r="AF95" s="5" t="str" cm="1">
        <f t="array" aca="1" ref="AF95" ca="1">IFERROR(INDIRECT("Data"&amp;"!"&amp;ADDRESS(MATCH($V$1,Data!$A:$A,0)+3+$U95,MATCH(AF$1,Data!$2:$2,0)+3,4)),"")</f>
        <v/>
      </c>
      <c r="AG95" s="5" t="str" cm="1">
        <f t="array" aca="1" ref="AG95" ca="1">IFERROR(INDIRECT("Data"&amp;"!"&amp;ADDRESS(MATCH($V$1,Data!$A:$A,0)+3+$U95,MATCH(AG$1,Data!$2:$2,0)+3,4)),"")</f>
        <v/>
      </c>
    </row>
    <row r="96" spans="2:33" x14ac:dyDescent="0.25">
      <c r="B96" s="22" t="str" cm="1">
        <f t="array" aca="1" ref="B96" ca="1">IFERROR(INDIRECT("List"&amp;"!"&amp;ADDRESS(MATCH($A96,List!$B:$B,0),MATCH($B$1,List!$1:$1,0),4)),"")</f>
        <v/>
      </c>
      <c r="C96" s="22" t="str" cm="1">
        <f t="array" aca="1" ref="C96" ca="1">IFERROR(INDIRECT("List"&amp;"!"&amp;ADDRESS(MATCH($A96,List!$B:$B,0),MATCH($C$1,List!$1:$1,0),4)),"")</f>
        <v/>
      </c>
      <c r="D96" s="22" t="str" cm="1">
        <f t="array" aca="1" ref="D96" ca="1">IFERROR(INDIRECT("List"&amp;"!"&amp;ADDRESS(MATCH($A96,List!$B:$B,0),MATCH($D$1,List!$1:$1,0),4)),"")</f>
        <v/>
      </c>
      <c r="E96" s="22" t="str" cm="1">
        <f t="array" aca="1" ref="E96" ca="1">IFERROR(INDIRECT("List"&amp;"!"&amp;ADDRESS(MATCH($A96,List!$B:$B,0),MATCH($E$1,List!$1:$1,0),4)),"")</f>
        <v/>
      </c>
      <c r="F96" s="27" t="str" cm="1">
        <f t="array" aca="1" ref="F96" ca="1">IFERROR(INDIRECT("List"&amp;"!"&amp;ADDRESS(MATCH($A96,List!$B:$B,0),MATCH($F$1,List!$1:$1,0),4)),"")</f>
        <v/>
      </c>
      <c r="G96" s="31" t="str" cm="1">
        <f t="array" aca="1" ref="G96" ca="1">IFERROR(INDIRECT("Data"&amp;"!"&amp;ADDRESS(MATCH($G$1,Data!$A$1:$A$20,0),MATCH($A96,Data!$2:$2,0)+3,4)),"")</f>
        <v/>
      </c>
      <c r="H96" s="31" t="str" cm="1">
        <f t="array" aca="1" ref="H96" ca="1">IFERROR(INDIRECT("Data"&amp;"!"&amp;ADDRESS(MATCH($G$1,Data!$A$1:$A$20,0),MATCH($A96,Data!$2:$2,0),4)),"")</f>
        <v/>
      </c>
      <c r="I96" s="31" t="str" cm="1">
        <f t="array" aca="1" ref="I96" ca="1">IFERROR(INDIRECT("Data"&amp;"!"&amp;ADDRESS(MATCH($G$1,Data!$A$1:$A$20,0),MATCH($A96,Data!$2:$2,0)+1,4)),"")</f>
        <v/>
      </c>
      <c r="J96" s="31" t="str" cm="1">
        <f t="array" aca="1" ref="J96" ca="1">IFERROR(INDIRECT("Data"&amp;"!"&amp;ADDRESS(MATCH($G$1,Data!$A$1:$A$20,0),MATCH($A96,Data!$2:$2,0)+2,4)),"")</f>
        <v/>
      </c>
      <c r="K96" s="34" t="str" cm="1">
        <f t="array" aca="1" ref="K96" ca="1">IFERROR(INDIRECT("Data"&amp;"!"&amp;ADDRESS(MATCH($K$1,Data!$A$1:$A$20,0),MATCH($A96,Data!$2:$2,0)+2,4)),"")</f>
        <v/>
      </c>
      <c r="U96" s="7">
        <v>93</v>
      </c>
      <c r="V96" s="7">
        <v>0</v>
      </c>
      <c r="W96" s="5">
        <v>95</v>
      </c>
      <c r="X96" s="7" t="str" cm="1">
        <f t="array" aca="1" ref="X96" ca="1">IFERROR(INDIRECT("Data"&amp;"!"&amp;ADDRESS(MATCH($V$1,Data!$A:$A,0)+3+$U96,MATCH(X$1,Data!$2:$2,0)+3,4)),"")</f>
        <v/>
      </c>
      <c r="Y96" s="5" t="str" cm="1">
        <f t="array" aca="1" ref="Y96" ca="1">IFERROR(INDIRECT("Data"&amp;"!"&amp;ADDRESS(MATCH($V$1,Data!$A:$A,0)+3+$U96,MATCH(Y$1,Data!$2:$2,0)+3,4)),"")</f>
        <v/>
      </c>
      <c r="Z96" s="5" t="str" cm="1">
        <f t="array" aca="1" ref="Z96" ca="1">IFERROR(INDIRECT("Data"&amp;"!"&amp;ADDRESS(MATCH($V$1,Data!$A:$A,0)+3+$U96,MATCH(Z$1,Data!$2:$2,0)+3,4)),"")</f>
        <v/>
      </c>
      <c r="AA96" s="5" t="str" cm="1">
        <f t="array" aca="1" ref="AA96" ca="1">IFERROR(INDIRECT("Data"&amp;"!"&amp;ADDRESS(MATCH($V$1,Data!$A:$A,0)+3+$U96,MATCH(AA$1,Data!$2:$2,0)+3,4)),"")</f>
        <v/>
      </c>
      <c r="AB96" s="5" t="str" cm="1">
        <f t="array" aca="1" ref="AB96" ca="1">IFERROR(INDIRECT("Data"&amp;"!"&amp;ADDRESS(MATCH($V$1,Data!$A:$A,0)+3+$U96,MATCH(AB$1,Data!$2:$2,0)+3,4)),"")</f>
        <v/>
      </c>
      <c r="AC96" s="5" t="str" cm="1">
        <f t="array" aca="1" ref="AC96" ca="1">IFERROR(INDIRECT("Data"&amp;"!"&amp;ADDRESS(MATCH($V$1,Data!$A:$A,0)+3+$U96,MATCH(AC$1,Data!$2:$2,0)+3,4)),"")</f>
        <v/>
      </c>
      <c r="AD96" s="5" t="str" cm="1">
        <f t="array" aca="1" ref="AD96" ca="1">IFERROR(INDIRECT("Data"&amp;"!"&amp;ADDRESS(MATCH($V$1,Data!$A:$A,0)+3+$U96,MATCH(AD$1,Data!$2:$2,0)+3,4)),"")</f>
        <v/>
      </c>
      <c r="AE96" s="5" t="str" cm="1">
        <f t="array" aca="1" ref="AE96" ca="1">IFERROR(INDIRECT("Data"&amp;"!"&amp;ADDRESS(MATCH($V$1,Data!$A:$A,0)+3+$U96,MATCH(AE$1,Data!$2:$2,0)+3,4)),"")</f>
        <v/>
      </c>
      <c r="AF96" s="5" t="str" cm="1">
        <f t="array" aca="1" ref="AF96" ca="1">IFERROR(INDIRECT("Data"&amp;"!"&amp;ADDRESS(MATCH($V$1,Data!$A:$A,0)+3+$U96,MATCH(AF$1,Data!$2:$2,0)+3,4)),"")</f>
        <v/>
      </c>
      <c r="AG96" s="5" t="str" cm="1">
        <f t="array" aca="1" ref="AG96" ca="1">IFERROR(INDIRECT("Data"&amp;"!"&amp;ADDRESS(MATCH($V$1,Data!$A:$A,0)+3+$U96,MATCH(AG$1,Data!$2:$2,0)+3,4)),"")</f>
        <v/>
      </c>
    </row>
    <row r="97" spans="2:33" x14ac:dyDescent="0.25">
      <c r="B97" s="22" t="str" cm="1">
        <f t="array" aca="1" ref="B97" ca="1">IFERROR(INDIRECT("List"&amp;"!"&amp;ADDRESS(MATCH($A97,List!$B:$B,0),MATCH($B$1,List!$1:$1,0),4)),"")</f>
        <v/>
      </c>
      <c r="C97" s="22" t="str" cm="1">
        <f t="array" aca="1" ref="C97" ca="1">IFERROR(INDIRECT("List"&amp;"!"&amp;ADDRESS(MATCH($A97,List!$B:$B,0),MATCH($C$1,List!$1:$1,0),4)),"")</f>
        <v/>
      </c>
      <c r="D97" s="22" t="str" cm="1">
        <f t="array" aca="1" ref="D97" ca="1">IFERROR(INDIRECT("List"&amp;"!"&amp;ADDRESS(MATCH($A97,List!$B:$B,0),MATCH($D$1,List!$1:$1,0),4)),"")</f>
        <v/>
      </c>
      <c r="E97" s="22" t="str" cm="1">
        <f t="array" aca="1" ref="E97" ca="1">IFERROR(INDIRECT("List"&amp;"!"&amp;ADDRESS(MATCH($A97,List!$B:$B,0),MATCH($E$1,List!$1:$1,0),4)),"")</f>
        <v/>
      </c>
      <c r="F97" s="27" t="str" cm="1">
        <f t="array" aca="1" ref="F97" ca="1">IFERROR(INDIRECT("List"&amp;"!"&amp;ADDRESS(MATCH($A97,List!$B:$B,0),MATCH($F$1,List!$1:$1,0),4)),"")</f>
        <v/>
      </c>
      <c r="G97" s="31" t="str" cm="1">
        <f t="array" aca="1" ref="G97" ca="1">IFERROR(INDIRECT("Data"&amp;"!"&amp;ADDRESS(MATCH($G$1,Data!$A$1:$A$20,0),MATCH($A97,Data!$2:$2,0)+3,4)),"")</f>
        <v/>
      </c>
      <c r="H97" s="31" t="str" cm="1">
        <f t="array" aca="1" ref="H97" ca="1">IFERROR(INDIRECT("Data"&amp;"!"&amp;ADDRESS(MATCH($G$1,Data!$A$1:$A$20,0),MATCH($A97,Data!$2:$2,0),4)),"")</f>
        <v/>
      </c>
      <c r="I97" s="31" t="str" cm="1">
        <f t="array" aca="1" ref="I97" ca="1">IFERROR(INDIRECT("Data"&amp;"!"&amp;ADDRESS(MATCH($G$1,Data!$A$1:$A$20,0),MATCH($A97,Data!$2:$2,0)+1,4)),"")</f>
        <v/>
      </c>
      <c r="J97" s="31" t="str" cm="1">
        <f t="array" aca="1" ref="J97" ca="1">IFERROR(INDIRECT("Data"&amp;"!"&amp;ADDRESS(MATCH($G$1,Data!$A$1:$A$20,0),MATCH($A97,Data!$2:$2,0)+2,4)),"")</f>
        <v/>
      </c>
      <c r="K97" s="34" t="str" cm="1">
        <f t="array" aca="1" ref="K97" ca="1">IFERROR(INDIRECT("Data"&amp;"!"&amp;ADDRESS(MATCH($K$1,Data!$A$1:$A$20,0),MATCH($A97,Data!$2:$2,0)+2,4)),"")</f>
        <v/>
      </c>
      <c r="U97" s="7">
        <v>94</v>
      </c>
      <c r="V97" s="7">
        <v>0</v>
      </c>
      <c r="W97" s="5">
        <v>96</v>
      </c>
      <c r="X97" s="7" t="str" cm="1">
        <f t="array" aca="1" ref="X97" ca="1">IFERROR(INDIRECT("Data"&amp;"!"&amp;ADDRESS(MATCH($V$1,Data!$A:$A,0)+3+$U97,MATCH(X$1,Data!$2:$2,0)+3,4)),"")</f>
        <v/>
      </c>
      <c r="Y97" s="5" t="str" cm="1">
        <f t="array" aca="1" ref="Y97" ca="1">IFERROR(INDIRECT("Data"&amp;"!"&amp;ADDRESS(MATCH($V$1,Data!$A:$A,0)+3+$U97,MATCH(Y$1,Data!$2:$2,0)+3,4)),"")</f>
        <v/>
      </c>
      <c r="Z97" s="5" t="str" cm="1">
        <f t="array" aca="1" ref="Z97" ca="1">IFERROR(INDIRECT("Data"&amp;"!"&amp;ADDRESS(MATCH($V$1,Data!$A:$A,0)+3+$U97,MATCH(Z$1,Data!$2:$2,0)+3,4)),"")</f>
        <v/>
      </c>
      <c r="AA97" s="5" t="str" cm="1">
        <f t="array" aca="1" ref="AA97" ca="1">IFERROR(INDIRECT("Data"&amp;"!"&amp;ADDRESS(MATCH($V$1,Data!$A:$A,0)+3+$U97,MATCH(AA$1,Data!$2:$2,0)+3,4)),"")</f>
        <v/>
      </c>
      <c r="AB97" s="5" t="str" cm="1">
        <f t="array" aca="1" ref="AB97" ca="1">IFERROR(INDIRECT("Data"&amp;"!"&amp;ADDRESS(MATCH($V$1,Data!$A:$A,0)+3+$U97,MATCH(AB$1,Data!$2:$2,0)+3,4)),"")</f>
        <v/>
      </c>
      <c r="AC97" s="5" t="str" cm="1">
        <f t="array" aca="1" ref="AC97" ca="1">IFERROR(INDIRECT("Data"&amp;"!"&amp;ADDRESS(MATCH($V$1,Data!$A:$A,0)+3+$U97,MATCH(AC$1,Data!$2:$2,0)+3,4)),"")</f>
        <v/>
      </c>
      <c r="AD97" s="5" t="str" cm="1">
        <f t="array" aca="1" ref="AD97" ca="1">IFERROR(INDIRECT("Data"&amp;"!"&amp;ADDRESS(MATCH($V$1,Data!$A:$A,0)+3+$U97,MATCH(AD$1,Data!$2:$2,0)+3,4)),"")</f>
        <v/>
      </c>
      <c r="AE97" s="5" t="str" cm="1">
        <f t="array" aca="1" ref="AE97" ca="1">IFERROR(INDIRECT("Data"&amp;"!"&amp;ADDRESS(MATCH($V$1,Data!$A:$A,0)+3+$U97,MATCH(AE$1,Data!$2:$2,0)+3,4)),"")</f>
        <v/>
      </c>
      <c r="AF97" s="5" t="str" cm="1">
        <f t="array" aca="1" ref="AF97" ca="1">IFERROR(INDIRECT("Data"&amp;"!"&amp;ADDRESS(MATCH($V$1,Data!$A:$A,0)+3+$U97,MATCH(AF$1,Data!$2:$2,0)+3,4)),"")</f>
        <v/>
      </c>
      <c r="AG97" s="5" t="str" cm="1">
        <f t="array" aca="1" ref="AG97" ca="1">IFERROR(INDIRECT("Data"&amp;"!"&amp;ADDRESS(MATCH($V$1,Data!$A:$A,0)+3+$U97,MATCH(AG$1,Data!$2:$2,0)+3,4)),"")</f>
        <v/>
      </c>
    </row>
    <row r="98" spans="2:33" x14ac:dyDescent="0.25">
      <c r="B98" s="22" t="str" cm="1">
        <f t="array" aca="1" ref="B98" ca="1">IFERROR(INDIRECT("List"&amp;"!"&amp;ADDRESS(MATCH($A98,List!$B:$B,0),MATCH($B$1,List!$1:$1,0),4)),"")</f>
        <v/>
      </c>
      <c r="C98" s="22" t="str" cm="1">
        <f t="array" aca="1" ref="C98" ca="1">IFERROR(INDIRECT("List"&amp;"!"&amp;ADDRESS(MATCH($A98,List!$B:$B,0),MATCH($C$1,List!$1:$1,0),4)),"")</f>
        <v/>
      </c>
      <c r="D98" s="22" t="str" cm="1">
        <f t="array" aca="1" ref="D98" ca="1">IFERROR(INDIRECT("List"&amp;"!"&amp;ADDRESS(MATCH($A98,List!$B:$B,0),MATCH($D$1,List!$1:$1,0),4)),"")</f>
        <v/>
      </c>
      <c r="E98" s="22" t="str" cm="1">
        <f t="array" aca="1" ref="E98" ca="1">IFERROR(INDIRECT("List"&amp;"!"&amp;ADDRESS(MATCH($A98,List!$B:$B,0),MATCH($E$1,List!$1:$1,0),4)),"")</f>
        <v/>
      </c>
      <c r="F98" s="27" t="str" cm="1">
        <f t="array" aca="1" ref="F98" ca="1">IFERROR(INDIRECT("List"&amp;"!"&amp;ADDRESS(MATCH($A98,List!$B:$B,0),MATCH($F$1,List!$1:$1,0),4)),"")</f>
        <v/>
      </c>
      <c r="G98" s="31" t="str" cm="1">
        <f t="array" aca="1" ref="G98" ca="1">IFERROR(INDIRECT("Data"&amp;"!"&amp;ADDRESS(MATCH($G$1,Data!$A$1:$A$20,0),MATCH($A98,Data!$2:$2,0)+3,4)),"")</f>
        <v/>
      </c>
      <c r="H98" s="31" t="str" cm="1">
        <f t="array" aca="1" ref="H98" ca="1">IFERROR(INDIRECT("Data"&amp;"!"&amp;ADDRESS(MATCH($G$1,Data!$A$1:$A$20,0),MATCH($A98,Data!$2:$2,0),4)),"")</f>
        <v/>
      </c>
      <c r="I98" s="31" t="str" cm="1">
        <f t="array" aca="1" ref="I98" ca="1">IFERROR(INDIRECT("Data"&amp;"!"&amp;ADDRESS(MATCH($G$1,Data!$A$1:$A$20,0),MATCH($A98,Data!$2:$2,0)+1,4)),"")</f>
        <v/>
      </c>
      <c r="J98" s="31" t="str" cm="1">
        <f t="array" aca="1" ref="J98" ca="1">IFERROR(INDIRECT("Data"&amp;"!"&amp;ADDRESS(MATCH($G$1,Data!$A$1:$A$20,0),MATCH($A98,Data!$2:$2,0)+2,4)),"")</f>
        <v/>
      </c>
      <c r="K98" s="34" t="str" cm="1">
        <f t="array" aca="1" ref="K98" ca="1">IFERROR(INDIRECT("Data"&amp;"!"&amp;ADDRESS(MATCH($K$1,Data!$A$1:$A$20,0),MATCH($A98,Data!$2:$2,0)+2,4)),"")</f>
        <v/>
      </c>
      <c r="U98" s="7">
        <v>95</v>
      </c>
      <c r="V98" s="7">
        <v>0</v>
      </c>
      <c r="W98" s="5">
        <v>97</v>
      </c>
      <c r="X98" s="7" t="str" cm="1">
        <f t="array" aca="1" ref="X98" ca="1">IFERROR(INDIRECT("Data"&amp;"!"&amp;ADDRESS(MATCH($V$1,Data!$A:$A,0)+3+$U98,MATCH(X$1,Data!$2:$2,0)+3,4)),"")</f>
        <v/>
      </c>
      <c r="Y98" s="5" t="str" cm="1">
        <f t="array" aca="1" ref="Y98" ca="1">IFERROR(INDIRECT("Data"&amp;"!"&amp;ADDRESS(MATCH($V$1,Data!$A:$A,0)+3+$U98,MATCH(Y$1,Data!$2:$2,0)+3,4)),"")</f>
        <v/>
      </c>
      <c r="Z98" s="5" t="str" cm="1">
        <f t="array" aca="1" ref="Z98" ca="1">IFERROR(INDIRECT("Data"&amp;"!"&amp;ADDRESS(MATCH($V$1,Data!$A:$A,0)+3+$U98,MATCH(Z$1,Data!$2:$2,0)+3,4)),"")</f>
        <v/>
      </c>
      <c r="AA98" s="5" t="str" cm="1">
        <f t="array" aca="1" ref="AA98" ca="1">IFERROR(INDIRECT("Data"&amp;"!"&amp;ADDRESS(MATCH($V$1,Data!$A:$A,0)+3+$U98,MATCH(AA$1,Data!$2:$2,0)+3,4)),"")</f>
        <v/>
      </c>
      <c r="AB98" s="5" t="str" cm="1">
        <f t="array" aca="1" ref="AB98" ca="1">IFERROR(INDIRECT("Data"&amp;"!"&amp;ADDRESS(MATCH($V$1,Data!$A:$A,0)+3+$U98,MATCH(AB$1,Data!$2:$2,0)+3,4)),"")</f>
        <v/>
      </c>
      <c r="AC98" s="5" t="str" cm="1">
        <f t="array" aca="1" ref="AC98" ca="1">IFERROR(INDIRECT("Data"&amp;"!"&amp;ADDRESS(MATCH($V$1,Data!$A:$A,0)+3+$U98,MATCH(AC$1,Data!$2:$2,0)+3,4)),"")</f>
        <v/>
      </c>
      <c r="AD98" s="5" t="str" cm="1">
        <f t="array" aca="1" ref="AD98" ca="1">IFERROR(INDIRECT("Data"&amp;"!"&amp;ADDRESS(MATCH($V$1,Data!$A:$A,0)+3+$U98,MATCH(AD$1,Data!$2:$2,0)+3,4)),"")</f>
        <v/>
      </c>
      <c r="AE98" s="5" t="str" cm="1">
        <f t="array" aca="1" ref="AE98" ca="1">IFERROR(INDIRECT("Data"&amp;"!"&amp;ADDRESS(MATCH($V$1,Data!$A:$A,0)+3+$U98,MATCH(AE$1,Data!$2:$2,0)+3,4)),"")</f>
        <v/>
      </c>
      <c r="AF98" s="5" t="str" cm="1">
        <f t="array" aca="1" ref="AF98" ca="1">IFERROR(INDIRECT("Data"&amp;"!"&amp;ADDRESS(MATCH($V$1,Data!$A:$A,0)+3+$U98,MATCH(AF$1,Data!$2:$2,0)+3,4)),"")</f>
        <v/>
      </c>
      <c r="AG98" s="5" t="str" cm="1">
        <f t="array" aca="1" ref="AG98" ca="1">IFERROR(INDIRECT("Data"&amp;"!"&amp;ADDRESS(MATCH($V$1,Data!$A:$A,0)+3+$U98,MATCH(AG$1,Data!$2:$2,0)+3,4)),"")</f>
        <v/>
      </c>
    </row>
    <row r="99" spans="2:33" x14ac:dyDescent="0.25">
      <c r="B99" s="22" t="str" cm="1">
        <f t="array" aca="1" ref="B99" ca="1">IFERROR(INDIRECT("List"&amp;"!"&amp;ADDRESS(MATCH($A99,List!$B:$B,0),MATCH($B$1,List!$1:$1,0),4)),"")</f>
        <v/>
      </c>
      <c r="C99" s="22" t="str" cm="1">
        <f t="array" aca="1" ref="C99" ca="1">IFERROR(INDIRECT("List"&amp;"!"&amp;ADDRESS(MATCH($A99,List!$B:$B,0),MATCH($C$1,List!$1:$1,0),4)),"")</f>
        <v/>
      </c>
      <c r="D99" s="22" t="str" cm="1">
        <f t="array" aca="1" ref="D99" ca="1">IFERROR(INDIRECT("List"&amp;"!"&amp;ADDRESS(MATCH($A99,List!$B:$B,0),MATCH($D$1,List!$1:$1,0),4)),"")</f>
        <v/>
      </c>
      <c r="E99" s="22" t="str" cm="1">
        <f t="array" aca="1" ref="E99" ca="1">IFERROR(INDIRECT("List"&amp;"!"&amp;ADDRESS(MATCH($A99,List!$B:$B,0),MATCH($E$1,List!$1:$1,0),4)),"")</f>
        <v/>
      </c>
      <c r="F99" s="27" t="str" cm="1">
        <f t="array" aca="1" ref="F99" ca="1">IFERROR(INDIRECT("List"&amp;"!"&amp;ADDRESS(MATCH($A99,List!$B:$B,0),MATCH($F$1,List!$1:$1,0),4)),"")</f>
        <v/>
      </c>
      <c r="G99" s="31" t="str" cm="1">
        <f t="array" aca="1" ref="G99" ca="1">IFERROR(INDIRECT("Data"&amp;"!"&amp;ADDRESS(MATCH($G$1,Data!$A$1:$A$20,0),MATCH($A99,Data!$2:$2,0)+3,4)),"")</f>
        <v/>
      </c>
      <c r="H99" s="31" t="str" cm="1">
        <f t="array" aca="1" ref="H99" ca="1">IFERROR(INDIRECT("Data"&amp;"!"&amp;ADDRESS(MATCH($G$1,Data!$A$1:$A$20,0),MATCH($A99,Data!$2:$2,0),4)),"")</f>
        <v/>
      </c>
      <c r="I99" s="31" t="str" cm="1">
        <f t="array" aca="1" ref="I99" ca="1">IFERROR(INDIRECT("Data"&amp;"!"&amp;ADDRESS(MATCH($G$1,Data!$A$1:$A$20,0),MATCH($A99,Data!$2:$2,0)+1,4)),"")</f>
        <v/>
      </c>
      <c r="J99" s="31" t="str" cm="1">
        <f t="array" aca="1" ref="J99" ca="1">IFERROR(INDIRECT("Data"&amp;"!"&amp;ADDRESS(MATCH($G$1,Data!$A$1:$A$20,0),MATCH($A99,Data!$2:$2,0)+2,4)),"")</f>
        <v/>
      </c>
      <c r="K99" s="34" t="str" cm="1">
        <f t="array" aca="1" ref="K99" ca="1">IFERROR(INDIRECT("Data"&amp;"!"&amp;ADDRESS(MATCH($K$1,Data!$A$1:$A$20,0),MATCH($A99,Data!$2:$2,0)+2,4)),"")</f>
        <v/>
      </c>
      <c r="U99" s="7">
        <v>96</v>
      </c>
      <c r="V99" s="7">
        <v>0</v>
      </c>
      <c r="W99" s="5">
        <v>98</v>
      </c>
      <c r="X99" s="7" t="str" cm="1">
        <f t="array" aca="1" ref="X99" ca="1">IFERROR(INDIRECT("Data"&amp;"!"&amp;ADDRESS(MATCH($V$1,Data!$A:$A,0)+3+$U99,MATCH(X$1,Data!$2:$2,0)+3,4)),"")</f>
        <v/>
      </c>
      <c r="Y99" s="5" t="str" cm="1">
        <f t="array" aca="1" ref="Y99" ca="1">IFERROR(INDIRECT("Data"&amp;"!"&amp;ADDRESS(MATCH($V$1,Data!$A:$A,0)+3+$U99,MATCH(Y$1,Data!$2:$2,0)+3,4)),"")</f>
        <v/>
      </c>
      <c r="Z99" s="5" t="str" cm="1">
        <f t="array" aca="1" ref="Z99" ca="1">IFERROR(INDIRECT("Data"&amp;"!"&amp;ADDRESS(MATCH($V$1,Data!$A:$A,0)+3+$U99,MATCH(Z$1,Data!$2:$2,0)+3,4)),"")</f>
        <v/>
      </c>
      <c r="AA99" s="5" t="str" cm="1">
        <f t="array" aca="1" ref="AA99" ca="1">IFERROR(INDIRECT("Data"&amp;"!"&amp;ADDRESS(MATCH($V$1,Data!$A:$A,0)+3+$U99,MATCH(AA$1,Data!$2:$2,0)+3,4)),"")</f>
        <v/>
      </c>
      <c r="AB99" s="5" t="str" cm="1">
        <f t="array" aca="1" ref="AB99" ca="1">IFERROR(INDIRECT("Data"&amp;"!"&amp;ADDRESS(MATCH($V$1,Data!$A:$A,0)+3+$U99,MATCH(AB$1,Data!$2:$2,0)+3,4)),"")</f>
        <v/>
      </c>
      <c r="AC99" s="5" t="str" cm="1">
        <f t="array" aca="1" ref="AC99" ca="1">IFERROR(INDIRECT("Data"&amp;"!"&amp;ADDRESS(MATCH($V$1,Data!$A:$A,0)+3+$U99,MATCH(AC$1,Data!$2:$2,0)+3,4)),"")</f>
        <v/>
      </c>
      <c r="AD99" s="5" t="str" cm="1">
        <f t="array" aca="1" ref="AD99" ca="1">IFERROR(INDIRECT("Data"&amp;"!"&amp;ADDRESS(MATCH($V$1,Data!$A:$A,0)+3+$U99,MATCH(AD$1,Data!$2:$2,0)+3,4)),"")</f>
        <v/>
      </c>
      <c r="AE99" s="5" t="str" cm="1">
        <f t="array" aca="1" ref="AE99" ca="1">IFERROR(INDIRECT("Data"&amp;"!"&amp;ADDRESS(MATCH($V$1,Data!$A:$A,0)+3+$U99,MATCH(AE$1,Data!$2:$2,0)+3,4)),"")</f>
        <v/>
      </c>
      <c r="AF99" s="5" t="str" cm="1">
        <f t="array" aca="1" ref="AF99" ca="1">IFERROR(INDIRECT("Data"&amp;"!"&amp;ADDRESS(MATCH($V$1,Data!$A:$A,0)+3+$U99,MATCH(AF$1,Data!$2:$2,0)+3,4)),"")</f>
        <v/>
      </c>
      <c r="AG99" s="5" t="str" cm="1">
        <f t="array" aca="1" ref="AG99" ca="1">IFERROR(INDIRECT("Data"&amp;"!"&amp;ADDRESS(MATCH($V$1,Data!$A:$A,0)+3+$U99,MATCH(AG$1,Data!$2:$2,0)+3,4)),"")</f>
        <v/>
      </c>
    </row>
    <row r="100" spans="2:33" x14ac:dyDescent="0.25">
      <c r="B100" s="22" t="str" cm="1">
        <f t="array" aca="1" ref="B100" ca="1">IFERROR(INDIRECT("List"&amp;"!"&amp;ADDRESS(MATCH($A100,List!$B:$B,0),MATCH($B$1,List!$1:$1,0),4)),"")</f>
        <v/>
      </c>
      <c r="C100" s="22" t="str" cm="1">
        <f t="array" aca="1" ref="C100" ca="1">IFERROR(INDIRECT("List"&amp;"!"&amp;ADDRESS(MATCH($A100,List!$B:$B,0),MATCH($C$1,List!$1:$1,0),4)),"")</f>
        <v/>
      </c>
      <c r="D100" s="22" t="str" cm="1">
        <f t="array" aca="1" ref="D100" ca="1">IFERROR(INDIRECT("List"&amp;"!"&amp;ADDRESS(MATCH($A100,List!$B:$B,0),MATCH($D$1,List!$1:$1,0),4)),"")</f>
        <v/>
      </c>
      <c r="E100" s="22" t="str" cm="1">
        <f t="array" aca="1" ref="E100" ca="1">IFERROR(INDIRECT("List"&amp;"!"&amp;ADDRESS(MATCH($A100,List!$B:$B,0),MATCH($E$1,List!$1:$1,0),4)),"")</f>
        <v/>
      </c>
      <c r="F100" s="27" t="str" cm="1">
        <f t="array" aca="1" ref="F100" ca="1">IFERROR(INDIRECT("List"&amp;"!"&amp;ADDRESS(MATCH($A100,List!$B:$B,0),MATCH($F$1,List!$1:$1,0),4)),"")</f>
        <v/>
      </c>
      <c r="G100" s="31" t="str" cm="1">
        <f t="array" aca="1" ref="G100" ca="1">IFERROR(INDIRECT("Data"&amp;"!"&amp;ADDRESS(MATCH($G$1,Data!$A$1:$A$20,0),MATCH($A100,Data!$2:$2,0)+3,4)),"")</f>
        <v/>
      </c>
      <c r="H100" s="31" t="str" cm="1">
        <f t="array" aca="1" ref="H100" ca="1">IFERROR(INDIRECT("Data"&amp;"!"&amp;ADDRESS(MATCH($G$1,Data!$A$1:$A$20,0),MATCH($A100,Data!$2:$2,0),4)),"")</f>
        <v/>
      </c>
      <c r="I100" s="31" t="str" cm="1">
        <f t="array" aca="1" ref="I100" ca="1">IFERROR(INDIRECT("Data"&amp;"!"&amp;ADDRESS(MATCH($G$1,Data!$A$1:$A$20,0),MATCH($A100,Data!$2:$2,0)+1,4)),"")</f>
        <v/>
      </c>
      <c r="J100" s="31" t="str" cm="1">
        <f t="array" aca="1" ref="J100" ca="1">IFERROR(INDIRECT("Data"&amp;"!"&amp;ADDRESS(MATCH($G$1,Data!$A$1:$A$20,0),MATCH($A100,Data!$2:$2,0)+2,4)),"")</f>
        <v/>
      </c>
      <c r="K100" s="34" t="str" cm="1">
        <f t="array" aca="1" ref="K100" ca="1">IFERROR(INDIRECT("Data"&amp;"!"&amp;ADDRESS(MATCH($K$1,Data!$A$1:$A$20,0),MATCH($A100,Data!$2:$2,0)+2,4)),"")</f>
        <v/>
      </c>
    </row>
    <row r="101" spans="2:33" x14ac:dyDescent="0.25">
      <c r="B101" s="22" t="str" cm="1">
        <f t="array" aca="1" ref="B101" ca="1">IFERROR(INDIRECT("List"&amp;"!"&amp;ADDRESS(MATCH($A101,List!$B:$B,0),MATCH($B$1,List!$1:$1,0),4)),"")</f>
        <v/>
      </c>
      <c r="C101" s="22" t="str" cm="1">
        <f t="array" aca="1" ref="C101" ca="1">IFERROR(INDIRECT("List"&amp;"!"&amp;ADDRESS(MATCH($A101,List!$B:$B,0),MATCH($C$1,List!$1:$1,0),4)),"")</f>
        <v/>
      </c>
      <c r="D101" s="22" t="str" cm="1">
        <f t="array" aca="1" ref="D101" ca="1">IFERROR(INDIRECT("List"&amp;"!"&amp;ADDRESS(MATCH($A101,List!$B:$B,0),MATCH($D$1,List!$1:$1,0),4)),"")</f>
        <v/>
      </c>
      <c r="E101" s="22" t="str" cm="1">
        <f t="array" aca="1" ref="E101" ca="1">IFERROR(INDIRECT("List"&amp;"!"&amp;ADDRESS(MATCH($A101,List!$B:$B,0),MATCH($E$1,List!$1:$1,0),4)),"")</f>
        <v/>
      </c>
      <c r="F101" s="27" t="str" cm="1">
        <f t="array" aca="1" ref="F101" ca="1">IFERROR(INDIRECT("List"&amp;"!"&amp;ADDRESS(MATCH($A101,List!$B:$B,0),MATCH($F$1,List!$1:$1,0),4)),"")</f>
        <v/>
      </c>
      <c r="G101" s="31" t="str" cm="1">
        <f t="array" aca="1" ref="G101" ca="1">IFERROR(INDIRECT("Data"&amp;"!"&amp;ADDRESS(MATCH($G$1,Data!$A$1:$A$20,0),MATCH($A101,Data!$2:$2,0)+3,4)),"")</f>
        <v/>
      </c>
      <c r="H101" s="31" t="str" cm="1">
        <f t="array" aca="1" ref="H101" ca="1">IFERROR(INDIRECT("Data"&amp;"!"&amp;ADDRESS(MATCH($G$1,Data!$A$1:$A$20,0),MATCH($A101,Data!$2:$2,0),4)),"")</f>
        <v/>
      </c>
      <c r="I101" s="31" t="str" cm="1">
        <f t="array" aca="1" ref="I101" ca="1">IFERROR(INDIRECT("Data"&amp;"!"&amp;ADDRESS(MATCH($G$1,Data!$A$1:$A$20,0),MATCH($A101,Data!$2:$2,0)+1,4)),"")</f>
        <v/>
      </c>
      <c r="J101" s="31" t="str" cm="1">
        <f t="array" aca="1" ref="J101" ca="1">IFERROR(INDIRECT("Data"&amp;"!"&amp;ADDRESS(MATCH($G$1,Data!$A$1:$A$20,0),MATCH($A101,Data!$2:$2,0)+2,4)),"")</f>
        <v/>
      </c>
      <c r="K101" s="34" t="str" cm="1">
        <f t="array" aca="1" ref="K101" ca="1">IFERROR(INDIRECT("Data"&amp;"!"&amp;ADDRESS(MATCH($K$1,Data!$A$1:$A$20,0),MATCH($A101,Data!$2:$2,0)+2,4)),"")</f>
        <v/>
      </c>
    </row>
    <row r="102" spans="2:33" x14ac:dyDescent="0.25">
      <c r="B102" s="22" t="str" cm="1">
        <f t="array" aca="1" ref="B102" ca="1">IFERROR(INDIRECT("List"&amp;"!"&amp;ADDRESS(MATCH($A102,List!$B:$B,0),MATCH($B$1,List!$1:$1,0),4)),"")</f>
        <v/>
      </c>
      <c r="C102" s="22" t="str" cm="1">
        <f t="array" aca="1" ref="C102" ca="1">IFERROR(INDIRECT("List"&amp;"!"&amp;ADDRESS(MATCH($A102,List!$B:$B,0),MATCH($C$1,List!$1:$1,0),4)),"")</f>
        <v/>
      </c>
      <c r="D102" s="22" t="str" cm="1">
        <f t="array" aca="1" ref="D102" ca="1">IFERROR(INDIRECT("List"&amp;"!"&amp;ADDRESS(MATCH($A102,List!$B:$B,0),MATCH($D$1,List!$1:$1,0),4)),"")</f>
        <v/>
      </c>
      <c r="E102" s="22" t="str" cm="1">
        <f t="array" aca="1" ref="E102" ca="1">IFERROR(INDIRECT("List"&amp;"!"&amp;ADDRESS(MATCH($A102,List!$B:$B,0),MATCH($E$1,List!$1:$1,0),4)),"")</f>
        <v/>
      </c>
      <c r="F102" s="27" t="str" cm="1">
        <f t="array" aca="1" ref="F102" ca="1">IFERROR(INDIRECT("List"&amp;"!"&amp;ADDRESS(MATCH($A102,List!$B:$B,0),MATCH($F$1,List!$1:$1,0),4)),"")</f>
        <v/>
      </c>
      <c r="G102" s="31" t="str" cm="1">
        <f t="array" aca="1" ref="G102" ca="1">IFERROR(INDIRECT("Data"&amp;"!"&amp;ADDRESS(MATCH($G$1,Data!$A$1:$A$20,0),MATCH($A102,Data!$2:$2,0)+3,4)),"")</f>
        <v/>
      </c>
      <c r="H102" s="31" t="str" cm="1">
        <f t="array" aca="1" ref="H102" ca="1">IFERROR(INDIRECT("Data"&amp;"!"&amp;ADDRESS(MATCH($G$1,Data!$A$1:$A$20,0),MATCH($A102,Data!$2:$2,0),4)),"")</f>
        <v/>
      </c>
      <c r="I102" s="31" t="str" cm="1">
        <f t="array" aca="1" ref="I102" ca="1">IFERROR(INDIRECT("Data"&amp;"!"&amp;ADDRESS(MATCH($G$1,Data!$A$1:$A$20,0),MATCH($A102,Data!$2:$2,0)+1,4)),"")</f>
        <v/>
      </c>
      <c r="J102" s="31" t="str" cm="1">
        <f t="array" aca="1" ref="J102" ca="1">IFERROR(INDIRECT("Data"&amp;"!"&amp;ADDRESS(MATCH($G$1,Data!$A$1:$A$20,0),MATCH($A102,Data!$2:$2,0)+2,4)),"")</f>
        <v/>
      </c>
      <c r="K102" s="34" t="str" cm="1">
        <f t="array" aca="1" ref="K102" ca="1">IFERROR(INDIRECT("Data"&amp;"!"&amp;ADDRESS(MATCH($K$1,Data!$A$1:$A$20,0),MATCH($A102,Data!$2:$2,0)+2,4)),"")</f>
        <v/>
      </c>
    </row>
    <row r="103" spans="2:33" x14ac:dyDescent="0.25">
      <c r="B103" s="22" t="str" cm="1">
        <f t="array" aca="1" ref="B103" ca="1">IFERROR(INDIRECT("List"&amp;"!"&amp;ADDRESS(MATCH($A103,List!$B:$B,0),MATCH($B$1,List!$1:$1,0),4)),"")</f>
        <v/>
      </c>
      <c r="C103" s="22" t="str" cm="1">
        <f t="array" aca="1" ref="C103" ca="1">IFERROR(INDIRECT("List"&amp;"!"&amp;ADDRESS(MATCH($A103,List!$B:$B,0),MATCH($C$1,List!$1:$1,0),4)),"")</f>
        <v/>
      </c>
      <c r="D103" s="22" t="str" cm="1">
        <f t="array" aca="1" ref="D103" ca="1">IFERROR(INDIRECT("List"&amp;"!"&amp;ADDRESS(MATCH($A103,List!$B:$B,0),MATCH($D$1,List!$1:$1,0),4)),"")</f>
        <v/>
      </c>
      <c r="E103" s="22" t="str" cm="1">
        <f t="array" aca="1" ref="E103" ca="1">IFERROR(INDIRECT("List"&amp;"!"&amp;ADDRESS(MATCH($A103,List!$B:$B,0),MATCH($E$1,List!$1:$1,0),4)),"")</f>
        <v/>
      </c>
      <c r="F103" s="27" t="str" cm="1">
        <f t="array" aca="1" ref="F103" ca="1">IFERROR(INDIRECT("List"&amp;"!"&amp;ADDRESS(MATCH($A103,List!$B:$B,0),MATCH($F$1,List!$1:$1,0),4)),"")</f>
        <v/>
      </c>
      <c r="G103" s="31" t="str" cm="1">
        <f t="array" aca="1" ref="G103" ca="1">IFERROR(INDIRECT("Data"&amp;"!"&amp;ADDRESS(MATCH($G$1,Data!$A$1:$A$20,0),MATCH($A103,Data!$2:$2,0)+3,4)),"")</f>
        <v/>
      </c>
      <c r="H103" s="31" t="str" cm="1">
        <f t="array" aca="1" ref="H103" ca="1">IFERROR(INDIRECT("Data"&amp;"!"&amp;ADDRESS(MATCH($G$1,Data!$A$1:$A$20,0),MATCH($A103,Data!$2:$2,0),4)),"")</f>
        <v/>
      </c>
      <c r="I103" s="31" t="str" cm="1">
        <f t="array" aca="1" ref="I103" ca="1">IFERROR(INDIRECT("Data"&amp;"!"&amp;ADDRESS(MATCH($G$1,Data!$A$1:$A$20,0),MATCH($A103,Data!$2:$2,0)+1,4)),"")</f>
        <v/>
      </c>
      <c r="J103" s="31" t="str" cm="1">
        <f t="array" aca="1" ref="J103" ca="1">IFERROR(INDIRECT("Data"&amp;"!"&amp;ADDRESS(MATCH($G$1,Data!$A$1:$A$20,0),MATCH($A103,Data!$2:$2,0)+2,4)),"")</f>
        <v/>
      </c>
      <c r="K103" s="34" t="str" cm="1">
        <f t="array" aca="1" ref="K103" ca="1">IFERROR(INDIRECT("Data"&amp;"!"&amp;ADDRESS(MATCH($K$1,Data!$A$1:$A$20,0),MATCH($A103,Data!$2:$2,0)+2,4)),"")</f>
        <v/>
      </c>
    </row>
    <row r="104" spans="2:33" x14ac:dyDescent="0.25">
      <c r="B104" s="22" t="str" cm="1">
        <f t="array" aca="1" ref="B104" ca="1">IFERROR(INDIRECT("List"&amp;"!"&amp;ADDRESS(MATCH($A104,List!$B:$B,0),MATCH($B$1,List!$1:$1,0),4)),"")</f>
        <v/>
      </c>
      <c r="C104" s="22" t="str" cm="1">
        <f t="array" aca="1" ref="C104" ca="1">IFERROR(INDIRECT("List"&amp;"!"&amp;ADDRESS(MATCH($A104,List!$B:$B,0),MATCH($C$1,List!$1:$1,0),4)),"")</f>
        <v/>
      </c>
      <c r="D104" s="22" t="str" cm="1">
        <f t="array" aca="1" ref="D104" ca="1">IFERROR(INDIRECT("List"&amp;"!"&amp;ADDRESS(MATCH($A104,List!$B:$B,0),MATCH($D$1,List!$1:$1,0),4)),"")</f>
        <v/>
      </c>
      <c r="E104" s="22" t="str" cm="1">
        <f t="array" aca="1" ref="E104" ca="1">IFERROR(INDIRECT("List"&amp;"!"&amp;ADDRESS(MATCH($A104,List!$B:$B,0),MATCH($E$1,List!$1:$1,0),4)),"")</f>
        <v/>
      </c>
      <c r="F104" s="27" t="str" cm="1">
        <f t="array" aca="1" ref="F104" ca="1">IFERROR(INDIRECT("List"&amp;"!"&amp;ADDRESS(MATCH($A104,List!$B:$B,0),MATCH($F$1,List!$1:$1,0),4)),"")</f>
        <v/>
      </c>
      <c r="G104" s="31" t="str" cm="1">
        <f t="array" aca="1" ref="G104" ca="1">IFERROR(INDIRECT("Data"&amp;"!"&amp;ADDRESS(MATCH($G$1,Data!$A$1:$A$20,0),MATCH($A104,Data!$2:$2,0)+3,4)),"")</f>
        <v/>
      </c>
      <c r="H104" s="31" t="str" cm="1">
        <f t="array" aca="1" ref="H104" ca="1">IFERROR(INDIRECT("Data"&amp;"!"&amp;ADDRESS(MATCH($G$1,Data!$A$1:$A$20,0),MATCH($A104,Data!$2:$2,0),4)),"")</f>
        <v/>
      </c>
      <c r="I104" s="31" t="str" cm="1">
        <f t="array" aca="1" ref="I104" ca="1">IFERROR(INDIRECT("Data"&amp;"!"&amp;ADDRESS(MATCH($G$1,Data!$A$1:$A$20,0),MATCH($A104,Data!$2:$2,0)+1,4)),"")</f>
        <v/>
      </c>
      <c r="J104" s="31" t="str" cm="1">
        <f t="array" aca="1" ref="J104" ca="1">IFERROR(INDIRECT("Data"&amp;"!"&amp;ADDRESS(MATCH($G$1,Data!$A$1:$A$20,0),MATCH($A104,Data!$2:$2,0)+2,4)),"")</f>
        <v/>
      </c>
      <c r="K104" s="34" t="str" cm="1">
        <f t="array" aca="1" ref="K104" ca="1">IFERROR(INDIRECT("Data"&amp;"!"&amp;ADDRESS(MATCH($K$1,Data!$A$1:$A$20,0),MATCH($A104,Data!$2:$2,0)+2,4)),"")</f>
        <v/>
      </c>
    </row>
    <row r="105" spans="2:33" x14ac:dyDescent="0.25">
      <c r="B105" s="22" t="str" cm="1">
        <f t="array" aca="1" ref="B105" ca="1">IFERROR(INDIRECT("List"&amp;"!"&amp;ADDRESS(MATCH($A105,List!$B:$B,0),MATCH($B$1,List!$1:$1,0),4)),"")</f>
        <v/>
      </c>
      <c r="C105" s="22" t="str" cm="1">
        <f t="array" aca="1" ref="C105" ca="1">IFERROR(INDIRECT("List"&amp;"!"&amp;ADDRESS(MATCH($A105,List!$B:$B,0),MATCH($C$1,List!$1:$1,0),4)),"")</f>
        <v/>
      </c>
      <c r="D105" s="22" t="str" cm="1">
        <f t="array" aca="1" ref="D105" ca="1">IFERROR(INDIRECT("List"&amp;"!"&amp;ADDRESS(MATCH($A105,List!$B:$B,0),MATCH($D$1,List!$1:$1,0),4)),"")</f>
        <v/>
      </c>
      <c r="E105" s="22" t="str" cm="1">
        <f t="array" aca="1" ref="E105" ca="1">IFERROR(INDIRECT("List"&amp;"!"&amp;ADDRESS(MATCH($A105,List!$B:$B,0),MATCH($E$1,List!$1:$1,0),4)),"")</f>
        <v/>
      </c>
      <c r="F105" s="27" t="str" cm="1">
        <f t="array" aca="1" ref="F105" ca="1">IFERROR(INDIRECT("List"&amp;"!"&amp;ADDRESS(MATCH($A105,List!$B:$B,0),MATCH($F$1,List!$1:$1,0),4)),"")</f>
        <v/>
      </c>
      <c r="G105" s="31" t="str" cm="1">
        <f t="array" aca="1" ref="G105" ca="1">IFERROR(INDIRECT("Data"&amp;"!"&amp;ADDRESS(MATCH($G$1,Data!$A$1:$A$20,0),MATCH($A105,Data!$2:$2,0)+3,4)),"")</f>
        <v/>
      </c>
      <c r="H105" s="31" t="str" cm="1">
        <f t="array" aca="1" ref="H105" ca="1">IFERROR(INDIRECT("Data"&amp;"!"&amp;ADDRESS(MATCH($G$1,Data!$A$1:$A$20,0),MATCH($A105,Data!$2:$2,0),4)),"")</f>
        <v/>
      </c>
      <c r="I105" s="31" t="str" cm="1">
        <f t="array" aca="1" ref="I105" ca="1">IFERROR(INDIRECT("Data"&amp;"!"&amp;ADDRESS(MATCH($G$1,Data!$A$1:$A$20,0),MATCH($A105,Data!$2:$2,0)+1,4)),"")</f>
        <v/>
      </c>
      <c r="J105" s="31" t="str" cm="1">
        <f t="array" aca="1" ref="J105" ca="1">IFERROR(INDIRECT("Data"&amp;"!"&amp;ADDRESS(MATCH($G$1,Data!$A$1:$A$20,0),MATCH($A105,Data!$2:$2,0)+2,4)),"")</f>
        <v/>
      </c>
      <c r="K105" s="34" t="str" cm="1">
        <f t="array" aca="1" ref="K105" ca="1">IFERROR(INDIRECT("Data"&amp;"!"&amp;ADDRESS(MATCH($K$1,Data!$A$1:$A$20,0),MATCH($A105,Data!$2:$2,0)+2,4)),"")</f>
        <v/>
      </c>
    </row>
    <row r="106" spans="2:33" x14ac:dyDescent="0.25">
      <c r="B106" s="22" t="str" cm="1">
        <f t="array" aca="1" ref="B106" ca="1">IFERROR(INDIRECT("List"&amp;"!"&amp;ADDRESS(MATCH($A106,List!$B:$B,0),MATCH($B$1,List!$1:$1,0),4)),"")</f>
        <v/>
      </c>
      <c r="C106" s="22" t="str" cm="1">
        <f t="array" aca="1" ref="C106" ca="1">IFERROR(INDIRECT("List"&amp;"!"&amp;ADDRESS(MATCH($A106,List!$B:$B,0),MATCH($C$1,List!$1:$1,0),4)),"")</f>
        <v/>
      </c>
      <c r="D106" s="22" t="str" cm="1">
        <f t="array" aca="1" ref="D106" ca="1">IFERROR(INDIRECT("List"&amp;"!"&amp;ADDRESS(MATCH($A106,List!$B:$B,0),MATCH($D$1,List!$1:$1,0),4)),"")</f>
        <v/>
      </c>
      <c r="E106" s="22" t="str" cm="1">
        <f t="array" aca="1" ref="E106" ca="1">IFERROR(INDIRECT("List"&amp;"!"&amp;ADDRESS(MATCH($A106,List!$B:$B,0),MATCH($E$1,List!$1:$1,0),4)),"")</f>
        <v/>
      </c>
      <c r="F106" s="27" t="str" cm="1">
        <f t="array" aca="1" ref="F106" ca="1">IFERROR(INDIRECT("List"&amp;"!"&amp;ADDRESS(MATCH($A106,List!$B:$B,0),MATCH($F$1,List!$1:$1,0),4)),"")</f>
        <v/>
      </c>
      <c r="G106" s="31" t="str" cm="1">
        <f t="array" aca="1" ref="G106" ca="1">IFERROR(INDIRECT("Data"&amp;"!"&amp;ADDRESS(MATCH($G$1,Data!$A$1:$A$20,0),MATCH($A106,Data!$2:$2,0)+3,4)),"")</f>
        <v/>
      </c>
      <c r="H106" s="31" t="str" cm="1">
        <f t="array" aca="1" ref="H106" ca="1">IFERROR(INDIRECT("Data"&amp;"!"&amp;ADDRESS(MATCH($G$1,Data!$A$1:$A$20,0),MATCH($A106,Data!$2:$2,0),4)),"")</f>
        <v/>
      </c>
      <c r="I106" s="31" t="str" cm="1">
        <f t="array" aca="1" ref="I106" ca="1">IFERROR(INDIRECT("Data"&amp;"!"&amp;ADDRESS(MATCH($G$1,Data!$A$1:$A$20,0),MATCH($A106,Data!$2:$2,0)+1,4)),"")</f>
        <v/>
      </c>
      <c r="J106" s="31" t="str" cm="1">
        <f t="array" aca="1" ref="J106" ca="1">IFERROR(INDIRECT("Data"&amp;"!"&amp;ADDRESS(MATCH($G$1,Data!$A$1:$A$20,0),MATCH($A106,Data!$2:$2,0)+2,4)),"")</f>
        <v/>
      </c>
      <c r="K106" s="34" t="str" cm="1">
        <f t="array" aca="1" ref="K106" ca="1">IFERROR(INDIRECT("Data"&amp;"!"&amp;ADDRESS(MATCH($K$1,Data!$A$1:$A$20,0),MATCH($A106,Data!$2:$2,0)+2,4)),"")</f>
        <v/>
      </c>
    </row>
    <row r="107" spans="2:33" x14ac:dyDescent="0.25">
      <c r="B107" s="22" t="str" cm="1">
        <f t="array" aca="1" ref="B107" ca="1">IFERROR(INDIRECT("List"&amp;"!"&amp;ADDRESS(MATCH($A107,List!$B:$B,0),MATCH($B$1,List!$1:$1,0),4)),"")</f>
        <v/>
      </c>
      <c r="C107" s="22" t="str" cm="1">
        <f t="array" aca="1" ref="C107" ca="1">IFERROR(INDIRECT("List"&amp;"!"&amp;ADDRESS(MATCH($A107,List!$B:$B,0),MATCH($C$1,List!$1:$1,0),4)),"")</f>
        <v/>
      </c>
      <c r="D107" s="22" t="str" cm="1">
        <f t="array" aca="1" ref="D107" ca="1">IFERROR(INDIRECT("List"&amp;"!"&amp;ADDRESS(MATCH($A107,List!$B:$B,0),MATCH($D$1,List!$1:$1,0),4)),"")</f>
        <v/>
      </c>
      <c r="E107" s="22" t="str" cm="1">
        <f t="array" aca="1" ref="E107" ca="1">IFERROR(INDIRECT("List"&amp;"!"&amp;ADDRESS(MATCH($A107,List!$B:$B,0),MATCH($E$1,List!$1:$1,0),4)),"")</f>
        <v/>
      </c>
      <c r="F107" s="27" t="str" cm="1">
        <f t="array" aca="1" ref="F107" ca="1">IFERROR(INDIRECT("List"&amp;"!"&amp;ADDRESS(MATCH($A107,List!$B:$B,0),MATCH($F$1,List!$1:$1,0),4)),"")</f>
        <v/>
      </c>
      <c r="G107" s="31" t="str" cm="1">
        <f t="array" aca="1" ref="G107" ca="1">IFERROR(INDIRECT("Data"&amp;"!"&amp;ADDRESS(MATCH($G$1,Data!$A$1:$A$20,0),MATCH($A107,Data!$2:$2,0)+3,4)),"")</f>
        <v/>
      </c>
      <c r="H107" s="31" t="str" cm="1">
        <f t="array" aca="1" ref="H107" ca="1">IFERROR(INDIRECT("Data"&amp;"!"&amp;ADDRESS(MATCH($G$1,Data!$A$1:$A$20,0),MATCH($A107,Data!$2:$2,0),4)),"")</f>
        <v/>
      </c>
      <c r="I107" s="31" t="str" cm="1">
        <f t="array" aca="1" ref="I107" ca="1">IFERROR(INDIRECT("Data"&amp;"!"&amp;ADDRESS(MATCH($G$1,Data!$A$1:$A$20,0),MATCH($A107,Data!$2:$2,0)+1,4)),"")</f>
        <v/>
      </c>
      <c r="J107" s="31" t="str" cm="1">
        <f t="array" aca="1" ref="J107" ca="1">IFERROR(INDIRECT("Data"&amp;"!"&amp;ADDRESS(MATCH($G$1,Data!$A$1:$A$20,0),MATCH($A107,Data!$2:$2,0)+2,4)),"")</f>
        <v/>
      </c>
      <c r="K107" s="34" t="str" cm="1">
        <f t="array" aca="1" ref="K107" ca="1">IFERROR(INDIRECT("Data"&amp;"!"&amp;ADDRESS(MATCH($K$1,Data!$A$1:$A$20,0),MATCH($A107,Data!$2:$2,0)+2,4)),"")</f>
        <v/>
      </c>
    </row>
    <row r="108" spans="2:33" x14ac:dyDescent="0.25">
      <c r="B108" s="22" t="str" cm="1">
        <f t="array" aca="1" ref="B108" ca="1">IFERROR(INDIRECT("List"&amp;"!"&amp;ADDRESS(MATCH($A108,List!$B:$B,0),MATCH($B$1,List!$1:$1,0),4)),"")</f>
        <v/>
      </c>
      <c r="C108" s="22" t="str" cm="1">
        <f t="array" aca="1" ref="C108" ca="1">IFERROR(INDIRECT("List"&amp;"!"&amp;ADDRESS(MATCH($A108,List!$B:$B,0),MATCH($C$1,List!$1:$1,0),4)),"")</f>
        <v/>
      </c>
      <c r="D108" s="22" t="str" cm="1">
        <f t="array" aca="1" ref="D108" ca="1">IFERROR(INDIRECT("List"&amp;"!"&amp;ADDRESS(MATCH($A108,List!$B:$B,0),MATCH($D$1,List!$1:$1,0),4)),"")</f>
        <v/>
      </c>
      <c r="E108" s="22" t="str" cm="1">
        <f t="array" aca="1" ref="E108" ca="1">IFERROR(INDIRECT("List"&amp;"!"&amp;ADDRESS(MATCH($A108,List!$B:$B,0),MATCH($E$1,List!$1:$1,0),4)),"")</f>
        <v/>
      </c>
      <c r="F108" s="27" t="str" cm="1">
        <f t="array" aca="1" ref="F108" ca="1">IFERROR(INDIRECT("List"&amp;"!"&amp;ADDRESS(MATCH($A108,List!$B:$B,0),MATCH($F$1,List!$1:$1,0),4)),"")</f>
        <v/>
      </c>
      <c r="G108" s="31" t="str" cm="1">
        <f t="array" aca="1" ref="G108" ca="1">IFERROR(INDIRECT("Data"&amp;"!"&amp;ADDRESS(MATCH($G$1,Data!$A$1:$A$20,0),MATCH($A108,Data!$2:$2,0)+3,4)),"")</f>
        <v/>
      </c>
      <c r="H108" s="31" t="str" cm="1">
        <f t="array" aca="1" ref="H108" ca="1">IFERROR(INDIRECT("Data"&amp;"!"&amp;ADDRESS(MATCH($G$1,Data!$A$1:$A$20,0),MATCH($A108,Data!$2:$2,0),4)),"")</f>
        <v/>
      </c>
      <c r="I108" s="31" t="str" cm="1">
        <f t="array" aca="1" ref="I108" ca="1">IFERROR(INDIRECT("Data"&amp;"!"&amp;ADDRESS(MATCH($G$1,Data!$A$1:$A$20,0),MATCH($A108,Data!$2:$2,0)+1,4)),"")</f>
        <v/>
      </c>
      <c r="J108" s="31" t="str" cm="1">
        <f t="array" aca="1" ref="J108" ca="1">IFERROR(INDIRECT("Data"&amp;"!"&amp;ADDRESS(MATCH($G$1,Data!$A$1:$A$20,0),MATCH($A108,Data!$2:$2,0)+2,4)),"")</f>
        <v/>
      </c>
      <c r="K108" s="34" t="str" cm="1">
        <f t="array" aca="1" ref="K108" ca="1">IFERROR(INDIRECT("Data"&amp;"!"&amp;ADDRESS(MATCH($K$1,Data!$A$1:$A$20,0),MATCH($A108,Data!$2:$2,0)+2,4)),"")</f>
        <v/>
      </c>
    </row>
    <row r="109" spans="2:33" x14ac:dyDescent="0.25">
      <c r="B109" s="22" t="str" cm="1">
        <f t="array" aca="1" ref="B109" ca="1">IFERROR(INDIRECT("List"&amp;"!"&amp;ADDRESS(MATCH($A109,List!$B:$B,0),MATCH($B$1,List!$1:$1,0),4)),"")</f>
        <v/>
      </c>
      <c r="C109" s="22" t="str" cm="1">
        <f t="array" aca="1" ref="C109" ca="1">IFERROR(INDIRECT("List"&amp;"!"&amp;ADDRESS(MATCH($A109,List!$B:$B,0),MATCH($C$1,List!$1:$1,0),4)),"")</f>
        <v/>
      </c>
      <c r="D109" s="22" t="str" cm="1">
        <f t="array" aca="1" ref="D109" ca="1">IFERROR(INDIRECT("List"&amp;"!"&amp;ADDRESS(MATCH($A109,List!$B:$B,0),MATCH($D$1,List!$1:$1,0),4)),"")</f>
        <v/>
      </c>
      <c r="E109" s="22" t="str" cm="1">
        <f t="array" aca="1" ref="E109" ca="1">IFERROR(INDIRECT("List"&amp;"!"&amp;ADDRESS(MATCH($A109,List!$B:$B,0),MATCH($E$1,List!$1:$1,0),4)),"")</f>
        <v/>
      </c>
      <c r="F109" s="27" t="str" cm="1">
        <f t="array" aca="1" ref="F109" ca="1">IFERROR(INDIRECT("List"&amp;"!"&amp;ADDRESS(MATCH($A109,List!$B:$B,0),MATCH($F$1,List!$1:$1,0),4)),"")</f>
        <v/>
      </c>
      <c r="G109" s="31" t="str" cm="1">
        <f t="array" aca="1" ref="G109" ca="1">IFERROR(INDIRECT("Data"&amp;"!"&amp;ADDRESS(MATCH($G$1,Data!$A$1:$A$20,0),MATCH($A109,Data!$2:$2,0)+3,4)),"")</f>
        <v/>
      </c>
      <c r="H109" s="31" t="str" cm="1">
        <f t="array" aca="1" ref="H109" ca="1">IFERROR(INDIRECT("Data"&amp;"!"&amp;ADDRESS(MATCH($G$1,Data!$A$1:$A$20,0),MATCH($A109,Data!$2:$2,0),4)),"")</f>
        <v/>
      </c>
      <c r="I109" s="31" t="str" cm="1">
        <f t="array" aca="1" ref="I109" ca="1">IFERROR(INDIRECT("Data"&amp;"!"&amp;ADDRESS(MATCH($G$1,Data!$A$1:$A$20,0),MATCH($A109,Data!$2:$2,0)+1,4)),"")</f>
        <v/>
      </c>
      <c r="J109" s="31" t="str" cm="1">
        <f t="array" aca="1" ref="J109" ca="1">IFERROR(INDIRECT("Data"&amp;"!"&amp;ADDRESS(MATCH($G$1,Data!$A$1:$A$20,0),MATCH($A109,Data!$2:$2,0)+2,4)),"")</f>
        <v/>
      </c>
      <c r="K109" s="34" t="str" cm="1">
        <f t="array" aca="1" ref="K109" ca="1">IFERROR(INDIRECT("Data"&amp;"!"&amp;ADDRESS(MATCH($K$1,Data!$A$1:$A$20,0),MATCH($A109,Data!$2:$2,0)+2,4)),"")</f>
        <v/>
      </c>
    </row>
    <row r="110" spans="2:33" x14ac:dyDescent="0.25">
      <c r="B110" s="22" t="str" cm="1">
        <f t="array" aca="1" ref="B110" ca="1">IFERROR(INDIRECT("List"&amp;"!"&amp;ADDRESS(MATCH($A110,List!$B:$B,0),MATCH($B$1,List!$1:$1,0),4)),"")</f>
        <v/>
      </c>
      <c r="C110" s="22" t="str" cm="1">
        <f t="array" aca="1" ref="C110" ca="1">IFERROR(INDIRECT("List"&amp;"!"&amp;ADDRESS(MATCH($A110,List!$B:$B,0),MATCH($C$1,List!$1:$1,0),4)),"")</f>
        <v/>
      </c>
      <c r="D110" s="22" t="str" cm="1">
        <f t="array" aca="1" ref="D110" ca="1">IFERROR(INDIRECT("List"&amp;"!"&amp;ADDRESS(MATCH($A110,List!$B:$B,0),MATCH($D$1,List!$1:$1,0),4)),"")</f>
        <v/>
      </c>
      <c r="E110" s="22" t="str" cm="1">
        <f t="array" aca="1" ref="E110" ca="1">IFERROR(INDIRECT("List"&amp;"!"&amp;ADDRESS(MATCH($A110,List!$B:$B,0),MATCH($E$1,List!$1:$1,0),4)),"")</f>
        <v/>
      </c>
      <c r="F110" s="27" t="str" cm="1">
        <f t="array" aca="1" ref="F110" ca="1">IFERROR(INDIRECT("List"&amp;"!"&amp;ADDRESS(MATCH($A110,List!$B:$B,0),MATCH($F$1,List!$1:$1,0),4)),"")</f>
        <v/>
      </c>
      <c r="G110" s="31" t="str" cm="1">
        <f t="array" aca="1" ref="G110" ca="1">IFERROR(INDIRECT("Data"&amp;"!"&amp;ADDRESS(MATCH($G$1,Data!$A$1:$A$20,0),MATCH($A110,Data!$2:$2,0)+3,4)),"")</f>
        <v/>
      </c>
      <c r="H110" s="31" t="str" cm="1">
        <f t="array" aca="1" ref="H110" ca="1">IFERROR(INDIRECT("Data"&amp;"!"&amp;ADDRESS(MATCH($G$1,Data!$A$1:$A$20,0),MATCH($A110,Data!$2:$2,0),4)),"")</f>
        <v/>
      </c>
      <c r="I110" s="31" t="str" cm="1">
        <f t="array" aca="1" ref="I110" ca="1">IFERROR(INDIRECT("Data"&amp;"!"&amp;ADDRESS(MATCH($G$1,Data!$A$1:$A$20,0),MATCH($A110,Data!$2:$2,0)+1,4)),"")</f>
        <v/>
      </c>
      <c r="J110" s="31" t="str" cm="1">
        <f t="array" aca="1" ref="J110" ca="1">IFERROR(INDIRECT("Data"&amp;"!"&amp;ADDRESS(MATCH($G$1,Data!$A$1:$A$20,0),MATCH($A110,Data!$2:$2,0)+2,4)),"")</f>
        <v/>
      </c>
      <c r="K110" s="34" t="str" cm="1">
        <f t="array" aca="1" ref="K110" ca="1">IFERROR(INDIRECT("Data"&amp;"!"&amp;ADDRESS(MATCH($K$1,Data!$A$1:$A$20,0),MATCH($A110,Data!$2:$2,0)+2,4)),"")</f>
        <v/>
      </c>
    </row>
    <row r="111" spans="2:33" x14ac:dyDescent="0.25">
      <c r="B111" s="22" t="str" cm="1">
        <f t="array" aca="1" ref="B111" ca="1">IFERROR(INDIRECT("List"&amp;"!"&amp;ADDRESS(MATCH($A111,List!$B:$B,0),MATCH($B$1,List!$1:$1,0),4)),"")</f>
        <v/>
      </c>
      <c r="C111" s="22" t="str" cm="1">
        <f t="array" aca="1" ref="C111" ca="1">IFERROR(INDIRECT("List"&amp;"!"&amp;ADDRESS(MATCH($A111,List!$B:$B,0),MATCH($C$1,List!$1:$1,0),4)),"")</f>
        <v/>
      </c>
      <c r="D111" s="22" t="str" cm="1">
        <f t="array" aca="1" ref="D111" ca="1">IFERROR(INDIRECT("List"&amp;"!"&amp;ADDRESS(MATCH($A111,List!$B:$B,0),MATCH($D$1,List!$1:$1,0),4)),"")</f>
        <v/>
      </c>
      <c r="E111" s="22" t="str" cm="1">
        <f t="array" aca="1" ref="E111" ca="1">IFERROR(INDIRECT("List"&amp;"!"&amp;ADDRESS(MATCH($A111,List!$B:$B,0),MATCH($E$1,List!$1:$1,0),4)),"")</f>
        <v/>
      </c>
      <c r="F111" s="27" t="str" cm="1">
        <f t="array" aca="1" ref="F111" ca="1">IFERROR(INDIRECT("List"&amp;"!"&amp;ADDRESS(MATCH($A111,List!$B:$B,0),MATCH($F$1,List!$1:$1,0),4)),"")</f>
        <v/>
      </c>
      <c r="G111" s="31" t="str" cm="1">
        <f t="array" aca="1" ref="G111" ca="1">IFERROR(INDIRECT("Data"&amp;"!"&amp;ADDRESS(MATCH($G$1,Data!$A$1:$A$20,0),MATCH($A111,Data!$2:$2,0)+3,4)),"")</f>
        <v/>
      </c>
      <c r="H111" s="31" t="str" cm="1">
        <f t="array" aca="1" ref="H111" ca="1">IFERROR(INDIRECT("Data"&amp;"!"&amp;ADDRESS(MATCH($G$1,Data!$A$1:$A$20,0),MATCH($A111,Data!$2:$2,0),4)),"")</f>
        <v/>
      </c>
      <c r="I111" s="31" t="str" cm="1">
        <f t="array" aca="1" ref="I111" ca="1">IFERROR(INDIRECT("Data"&amp;"!"&amp;ADDRESS(MATCH($G$1,Data!$A$1:$A$20,0),MATCH($A111,Data!$2:$2,0)+1,4)),"")</f>
        <v/>
      </c>
      <c r="J111" s="31" t="str" cm="1">
        <f t="array" aca="1" ref="J111" ca="1">IFERROR(INDIRECT("Data"&amp;"!"&amp;ADDRESS(MATCH($G$1,Data!$A$1:$A$20,0),MATCH($A111,Data!$2:$2,0)+2,4)),"")</f>
        <v/>
      </c>
      <c r="K111" s="34" t="str" cm="1">
        <f t="array" aca="1" ref="K111" ca="1">IFERROR(INDIRECT("Data"&amp;"!"&amp;ADDRESS(MATCH($K$1,Data!$A$1:$A$20,0),MATCH($A111,Data!$2:$2,0)+2,4)),"")</f>
        <v/>
      </c>
    </row>
    <row r="112" spans="2:33" x14ac:dyDescent="0.25">
      <c r="B112" s="22" t="str" cm="1">
        <f t="array" aca="1" ref="B112" ca="1">IFERROR(INDIRECT("List"&amp;"!"&amp;ADDRESS(MATCH($A112,List!$B:$B,0),MATCH($B$1,List!$1:$1,0),4)),"")</f>
        <v/>
      </c>
      <c r="C112" s="22" t="str" cm="1">
        <f t="array" aca="1" ref="C112" ca="1">IFERROR(INDIRECT("List"&amp;"!"&amp;ADDRESS(MATCH($A112,List!$B:$B,0),MATCH($C$1,List!$1:$1,0),4)),"")</f>
        <v/>
      </c>
      <c r="D112" s="22" t="str" cm="1">
        <f t="array" aca="1" ref="D112" ca="1">IFERROR(INDIRECT("List"&amp;"!"&amp;ADDRESS(MATCH($A112,List!$B:$B,0),MATCH($D$1,List!$1:$1,0),4)),"")</f>
        <v/>
      </c>
      <c r="E112" s="22" t="str" cm="1">
        <f t="array" aca="1" ref="E112" ca="1">IFERROR(INDIRECT("List"&amp;"!"&amp;ADDRESS(MATCH($A112,List!$B:$B,0),MATCH($E$1,List!$1:$1,0),4)),"")</f>
        <v/>
      </c>
      <c r="F112" s="27" t="str" cm="1">
        <f t="array" aca="1" ref="F112" ca="1">IFERROR(INDIRECT("List"&amp;"!"&amp;ADDRESS(MATCH($A112,List!$B:$B,0),MATCH($F$1,List!$1:$1,0),4)),"")</f>
        <v/>
      </c>
      <c r="G112" s="31" t="str" cm="1">
        <f t="array" aca="1" ref="G112" ca="1">IFERROR(INDIRECT("Data"&amp;"!"&amp;ADDRESS(MATCH($G$1,Data!$A$1:$A$20,0),MATCH($A112,Data!$2:$2,0)+3,4)),"")</f>
        <v/>
      </c>
      <c r="H112" s="31" t="str" cm="1">
        <f t="array" aca="1" ref="H112" ca="1">IFERROR(INDIRECT("Data"&amp;"!"&amp;ADDRESS(MATCH($G$1,Data!$A$1:$A$20,0),MATCH($A112,Data!$2:$2,0),4)),"")</f>
        <v/>
      </c>
      <c r="I112" s="31" t="str" cm="1">
        <f t="array" aca="1" ref="I112" ca="1">IFERROR(INDIRECT("Data"&amp;"!"&amp;ADDRESS(MATCH($G$1,Data!$A$1:$A$20,0),MATCH($A112,Data!$2:$2,0)+1,4)),"")</f>
        <v/>
      </c>
      <c r="J112" s="31" t="str" cm="1">
        <f t="array" aca="1" ref="J112" ca="1">IFERROR(INDIRECT("Data"&amp;"!"&amp;ADDRESS(MATCH($G$1,Data!$A$1:$A$20,0),MATCH($A112,Data!$2:$2,0)+2,4)),"")</f>
        <v/>
      </c>
      <c r="K112" s="34" t="str" cm="1">
        <f t="array" aca="1" ref="K112" ca="1">IFERROR(INDIRECT("Data"&amp;"!"&amp;ADDRESS(MATCH($K$1,Data!$A$1:$A$20,0),MATCH($A112,Data!$2:$2,0)+2,4)),"")</f>
        <v/>
      </c>
    </row>
    <row r="113" spans="2:11" x14ac:dyDescent="0.25">
      <c r="B113" s="22" t="str" cm="1">
        <f t="array" aca="1" ref="B113" ca="1">IFERROR(INDIRECT("List"&amp;"!"&amp;ADDRESS(MATCH($A113,List!$B:$B,0),MATCH($B$1,List!$1:$1,0),4)),"")</f>
        <v/>
      </c>
      <c r="C113" s="22" t="str" cm="1">
        <f t="array" aca="1" ref="C113" ca="1">IFERROR(INDIRECT("List"&amp;"!"&amp;ADDRESS(MATCH($A113,List!$B:$B,0),MATCH($C$1,List!$1:$1,0),4)),"")</f>
        <v/>
      </c>
      <c r="D113" s="22" t="str" cm="1">
        <f t="array" aca="1" ref="D113" ca="1">IFERROR(INDIRECT("List"&amp;"!"&amp;ADDRESS(MATCH($A113,List!$B:$B,0),MATCH($D$1,List!$1:$1,0),4)),"")</f>
        <v/>
      </c>
      <c r="E113" s="22" t="str" cm="1">
        <f t="array" aca="1" ref="E113" ca="1">IFERROR(INDIRECT("List"&amp;"!"&amp;ADDRESS(MATCH($A113,List!$B:$B,0),MATCH($E$1,List!$1:$1,0),4)),"")</f>
        <v/>
      </c>
      <c r="F113" s="27" t="str" cm="1">
        <f t="array" aca="1" ref="F113" ca="1">IFERROR(INDIRECT("List"&amp;"!"&amp;ADDRESS(MATCH($A113,List!$B:$B,0),MATCH($F$1,List!$1:$1,0),4)),"")</f>
        <v/>
      </c>
      <c r="G113" s="31" t="str" cm="1">
        <f t="array" aca="1" ref="G113" ca="1">IFERROR(INDIRECT("Data"&amp;"!"&amp;ADDRESS(MATCH($G$1,Data!$A$1:$A$20,0),MATCH($A113,Data!$2:$2,0)+3,4)),"")</f>
        <v/>
      </c>
      <c r="H113" s="31" t="str" cm="1">
        <f t="array" aca="1" ref="H113" ca="1">IFERROR(INDIRECT("Data"&amp;"!"&amp;ADDRESS(MATCH($G$1,Data!$A$1:$A$20,0),MATCH($A113,Data!$2:$2,0),4)),"")</f>
        <v/>
      </c>
      <c r="I113" s="31" t="str" cm="1">
        <f t="array" aca="1" ref="I113" ca="1">IFERROR(INDIRECT("Data"&amp;"!"&amp;ADDRESS(MATCH($G$1,Data!$A$1:$A$20,0),MATCH($A113,Data!$2:$2,0)+1,4)),"")</f>
        <v/>
      </c>
      <c r="J113" s="31" t="str" cm="1">
        <f t="array" aca="1" ref="J113" ca="1">IFERROR(INDIRECT("Data"&amp;"!"&amp;ADDRESS(MATCH($G$1,Data!$A$1:$A$20,0),MATCH($A113,Data!$2:$2,0)+2,4)),"")</f>
        <v/>
      </c>
      <c r="K113" s="34" t="str" cm="1">
        <f t="array" aca="1" ref="K113" ca="1">IFERROR(INDIRECT("Data"&amp;"!"&amp;ADDRESS(MATCH($K$1,Data!$A$1:$A$20,0),MATCH($A113,Data!$2:$2,0)+2,4)),"")</f>
        <v/>
      </c>
    </row>
    <row r="114" spans="2:11" x14ac:dyDescent="0.25">
      <c r="B114" s="22" t="str" cm="1">
        <f t="array" aca="1" ref="B114" ca="1">IFERROR(INDIRECT("List"&amp;"!"&amp;ADDRESS(MATCH($A114,List!$B:$B,0),MATCH($B$1,List!$1:$1,0),4)),"")</f>
        <v/>
      </c>
      <c r="C114" s="22" t="str" cm="1">
        <f t="array" aca="1" ref="C114" ca="1">IFERROR(INDIRECT("List"&amp;"!"&amp;ADDRESS(MATCH($A114,List!$B:$B,0),MATCH($C$1,List!$1:$1,0),4)),"")</f>
        <v/>
      </c>
      <c r="D114" s="22" t="str" cm="1">
        <f t="array" aca="1" ref="D114" ca="1">IFERROR(INDIRECT("List"&amp;"!"&amp;ADDRESS(MATCH($A114,List!$B:$B,0),MATCH($D$1,List!$1:$1,0),4)),"")</f>
        <v/>
      </c>
      <c r="E114" s="22" t="str" cm="1">
        <f t="array" aca="1" ref="E114" ca="1">IFERROR(INDIRECT("List"&amp;"!"&amp;ADDRESS(MATCH($A114,List!$B:$B,0),MATCH($E$1,List!$1:$1,0),4)),"")</f>
        <v/>
      </c>
      <c r="F114" s="27" t="str" cm="1">
        <f t="array" aca="1" ref="F114" ca="1">IFERROR(INDIRECT("List"&amp;"!"&amp;ADDRESS(MATCH($A114,List!$B:$B,0),MATCH($F$1,List!$1:$1,0),4)),"")</f>
        <v/>
      </c>
      <c r="G114" s="31" t="str" cm="1">
        <f t="array" aca="1" ref="G114" ca="1">IFERROR(INDIRECT("Data"&amp;"!"&amp;ADDRESS(MATCH($G$1,Data!$A$1:$A$20,0),MATCH($A114,Data!$2:$2,0)+3,4)),"")</f>
        <v/>
      </c>
      <c r="H114" s="31" t="str" cm="1">
        <f t="array" aca="1" ref="H114" ca="1">IFERROR(INDIRECT("Data"&amp;"!"&amp;ADDRESS(MATCH($G$1,Data!$A$1:$A$20,0),MATCH($A114,Data!$2:$2,0),4)),"")</f>
        <v/>
      </c>
      <c r="I114" s="31" t="str" cm="1">
        <f t="array" aca="1" ref="I114" ca="1">IFERROR(INDIRECT("Data"&amp;"!"&amp;ADDRESS(MATCH($G$1,Data!$A$1:$A$20,0),MATCH($A114,Data!$2:$2,0)+1,4)),"")</f>
        <v/>
      </c>
      <c r="J114" s="31" t="str" cm="1">
        <f t="array" aca="1" ref="J114" ca="1">IFERROR(INDIRECT("Data"&amp;"!"&amp;ADDRESS(MATCH($G$1,Data!$A$1:$A$20,0),MATCH($A114,Data!$2:$2,0)+2,4)),"")</f>
        <v/>
      </c>
      <c r="K114" s="34" t="str" cm="1">
        <f t="array" aca="1" ref="K114" ca="1">IFERROR(INDIRECT("Data"&amp;"!"&amp;ADDRESS(MATCH($K$1,Data!$A$1:$A$20,0),MATCH($A114,Data!$2:$2,0)+2,4)),"")</f>
        <v/>
      </c>
    </row>
    <row r="115" spans="2:11" x14ac:dyDescent="0.25">
      <c r="B115" s="22" t="str" cm="1">
        <f t="array" aca="1" ref="B115" ca="1">IFERROR(INDIRECT("List"&amp;"!"&amp;ADDRESS(MATCH($A115,List!$B:$B,0),MATCH($B$1,List!$1:$1,0),4)),"")</f>
        <v/>
      </c>
      <c r="C115" s="22" t="str" cm="1">
        <f t="array" aca="1" ref="C115" ca="1">IFERROR(INDIRECT("List"&amp;"!"&amp;ADDRESS(MATCH($A115,List!$B:$B,0),MATCH($C$1,List!$1:$1,0),4)),"")</f>
        <v/>
      </c>
      <c r="D115" s="22" t="str" cm="1">
        <f t="array" aca="1" ref="D115" ca="1">IFERROR(INDIRECT("List"&amp;"!"&amp;ADDRESS(MATCH($A115,List!$B:$B,0),MATCH($D$1,List!$1:$1,0),4)),"")</f>
        <v/>
      </c>
      <c r="E115" s="22" t="str" cm="1">
        <f t="array" aca="1" ref="E115" ca="1">IFERROR(INDIRECT("List"&amp;"!"&amp;ADDRESS(MATCH($A115,List!$B:$B,0),MATCH($E$1,List!$1:$1,0),4)),"")</f>
        <v/>
      </c>
      <c r="F115" s="27" t="str" cm="1">
        <f t="array" aca="1" ref="F115" ca="1">IFERROR(INDIRECT("List"&amp;"!"&amp;ADDRESS(MATCH($A115,List!$B:$B,0),MATCH($F$1,List!$1:$1,0),4)),"")</f>
        <v/>
      </c>
      <c r="G115" s="31" t="str" cm="1">
        <f t="array" aca="1" ref="G115" ca="1">IFERROR(INDIRECT("Data"&amp;"!"&amp;ADDRESS(MATCH($G$1,Data!$A$1:$A$20,0),MATCH($A115,Data!$2:$2,0)+3,4)),"")</f>
        <v/>
      </c>
      <c r="H115" s="31" t="str" cm="1">
        <f t="array" aca="1" ref="H115" ca="1">IFERROR(INDIRECT("Data"&amp;"!"&amp;ADDRESS(MATCH($G$1,Data!$A$1:$A$20,0),MATCH($A115,Data!$2:$2,0),4)),"")</f>
        <v/>
      </c>
      <c r="I115" s="31" t="str" cm="1">
        <f t="array" aca="1" ref="I115" ca="1">IFERROR(INDIRECT("Data"&amp;"!"&amp;ADDRESS(MATCH($G$1,Data!$A$1:$A$20,0),MATCH($A115,Data!$2:$2,0)+1,4)),"")</f>
        <v/>
      </c>
      <c r="J115" s="31" t="str" cm="1">
        <f t="array" aca="1" ref="J115" ca="1">IFERROR(INDIRECT("Data"&amp;"!"&amp;ADDRESS(MATCH($G$1,Data!$A$1:$A$20,0),MATCH($A115,Data!$2:$2,0)+2,4)),"")</f>
        <v/>
      </c>
      <c r="K115" s="34" t="str" cm="1">
        <f t="array" aca="1" ref="K115" ca="1">IFERROR(INDIRECT("Data"&amp;"!"&amp;ADDRESS(MATCH($K$1,Data!$A$1:$A$20,0),MATCH($A115,Data!$2:$2,0)+2,4)),"")</f>
        <v/>
      </c>
    </row>
    <row r="116" spans="2:11" x14ac:dyDescent="0.25">
      <c r="B116" s="22" t="str" cm="1">
        <f t="array" aca="1" ref="B116" ca="1">IFERROR(INDIRECT("List"&amp;"!"&amp;ADDRESS(MATCH($A116,List!$B:$B,0),MATCH($B$1,List!$1:$1,0),4)),"")</f>
        <v/>
      </c>
      <c r="C116" s="22" t="str" cm="1">
        <f t="array" aca="1" ref="C116" ca="1">IFERROR(INDIRECT("List"&amp;"!"&amp;ADDRESS(MATCH($A116,List!$B:$B,0),MATCH($C$1,List!$1:$1,0),4)),"")</f>
        <v/>
      </c>
      <c r="D116" s="22" t="str" cm="1">
        <f t="array" aca="1" ref="D116" ca="1">IFERROR(INDIRECT("List"&amp;"!"&amp;ADDRESS(MATCH($A116,List!$B:$B,0),MATCH($D$1,List!$1:$1,0),4)),"")</f>
        <v/>
      </c>
      <c r="E116" s="22" t="str" cm="1">
        <f t="array" aca="1" ref="E116" ca="1">IFERROR(INDIRECT("List"&amp;"!"&amp;ADDRESS(MATCH($A116,List!$B:$B,0),MATCH($E$1,List!$1:$1,0),4)),"")</f>
        <v/>
      </c>
      <c r="F116" s="27" t="str" cm="1">
        <f t="array" aca="1" ref="F116" ca="1">IFERROR(INDIRECT("List"&amp;"!"&amp;ADDRESS(MATCH($A116,List!$B:$B,0),MATCH($F$1,List!$1:$1,0),4)),"")</f>
        <v/>
      </c>
      <c r="G116" s="31" t="str" cm="1">
        <f t="array" aca="1" ref="G116" ca="1">IFERROR(INDIRECT("Data"&amp;"!"&amp;ADDRESS(MATCH($G$1,Data!$A$1:$A$20,0),MATCH($A116,Data!$2:$2,0)+3,4)),"")</f>
        <v/>
      </c>
      <c r="H116" s="31" t="str" cm="1">
        <f t="array" aca="1" ref="H116" ca="1">IFERROR(INDIRECT("Data"&amp;"!"&amp;ADDRESS(MATCH($G$1,Data!$A$1:$A$20,0),MATCH($A116,Data!$2:$2,0),4)),"")</f>
        <v/>
      </c>
      <c r="I116" s="31" t="str" cm="1">
        <f t="array" aca="1" ref="I116" ca="1">IFERROR(INDIRECT("Data"&amp;"!"&amp;ADDRESS(MATCH($G$1,Data!$A$1:$A$20,0),MATCH($A116,Data!$2:$2,0)+1,4)),"")</f>
        <v/>
      </c>
      <c r="J116" s="31" t="str" cm="1">
        <f t="array" aca="1" ref="J116" ca="1">IFERROR(INDIRECT("Data"&amp;"!"&amp;ADDRESS(MATCH($G$1,Data!$A$1:$A$20,0),MATCH($A116,Data!$2:$2,0)+2,4)),"")</f>
        <v/>
      </c>
      <c r="K116" s="34" t="str" cm="1">
        <f t="array" aca="1" ref="K116" ca="1">IFERROR(INDIRECT("Data"&amp;"!"&amp;ADDRESS(MATCH($K$1,Data!$A$1:$A$20,0),MATCH($A116,Data!$2:$2,0)+2,4)),"")</f>
        <v/>
      </c>
    </row>
    <row r="117" spans="2:11" x14ac:dyDescent="0.25">
      <c r="B117" s="22" t="str" cm="1">
        <f t="array" aca="1" ref="B117" ca="1">IFERROR(INDIRECT("List"&amp;"!"&amp;ADDRESS(MATCH($A117,List!$B:$B,0),MATCH($B$1,List!$1:$1,0),4)),"")</f>
        <v/>
      </c>
      <c r="C117" s="22" t="str" cm="1">
        <f t="array" aca="1" ref="C117" ca="1">IFERROR(INDIRECT("List"&amp;"!"&amp;ADDRESS(MATCH($A117,List!$B:$B,0),MATCH($C$1,List!$1:$1,0),4)),"")</f>
        <v/>
      </c>
      <c r="D117" s="22" t="str" cm="1">
        <f t="array" aca="1" ref="D117" ca="1">IFERROR(INDIRECT("List"&amp;"!"&amp;ADDRESS(MATCH($A117,List!$B:$B,0),MATCH($D$1,List!$1:$1,0),4)),"")</f>
        <v/>
      </c>
      <c r="E117" s="22" t="str" cm="1">
        <f t="array" aca="1" ref="E117" ca="1">IFERROR(INDIRECT("List"&amp;"!"&amp;ADDRESS(MATCH($A117,List!$B:$B,0),MATCH($E$1,List!$1:$1,0),4)),"")</f>
        <v/>
      </c>
      <c r="F117" s="27" t="str" cm="1">
        <f t="array" aca="1" ref="F117" ca="1">IFERROR(INDIRECT("List"&amp;"!"&amp;ADDRESS(MATCH($A117,List!$B:$B,0),MATCH($F$1,List!$1:$1,0),4)),"")</f>
        <v/>
      </c>
      <c r="G117" s="31" t="str" cm="1">
        <f t="array" aca="1" ref="G117" ca="1">IFERROR(INDIRECT("Data"&amp;"!"&amp;ADDRESS(MATCH($G$1,Data!$A$1:$A$20,0),MATCH($A117,Data!$2:$2,0)+3,4)),"")</f>
        <v/>
      </c>
      <c r="H117" s="31" t="str" cm="1">
        <f t="array" aca="1" ref="H117" ca="1">IFERROR(INDIRECT("Data"&amp;"!"&amp;ADDRESS(MATCH($G$1,Data!$A$1:$A$20,0),MATCH($A117,Data!$2:$2,0),4)),"")</f>
        <v/>
      </c>
      <c r="I117" s="31" t="str" cm="1">
        <f t="array" aca="1" ref="I117" ca="1">IFERROR(INDIRECT("Data"&amp;"!"&amp;ADDRESS(MATCH($G$1,Data!$A$1:$A$20,0),MATCH($A117,Data!$2:$2,0)+1,4)),"")</f>
        <v/>
      </c>
      <c r="J117" s="31" t="str" cm="1">
        <f t="array" aca="1" ref="J117" ca="1">IFERROR(INDIRECT("Data"&amp;"!"&amp;ADDRESS(MATCH($G$1,Data!$A$1:$A$20,0),MATCH($A117,Data!$2:$2,0)+2,4)),"")</f>
        <v/>
      </c>
      <c r="K117" s="34" t="str" cm="1">
        <f t="array" aca="1" ref="K117" ca="1">IFERROR(INDIRECT("Data"&amp;"!"&amp;ADDRESS(MATCH($K$1,Data!$A$1:$A$20,0),MATCH($A117,Data!$2:$2,0)+2,4)),"")</f>
        <v/>
      </c>
    </row>
    <row r="118" spans="2:11" x14ac:dyDescent="0.25">
      <c r="B118" s="22" t="str" cm="1">
        <f t="array" aca="1" ref="B118" ca="1">IFERROR(INDIRECT("List"&amp;"!"&amp;ADDRESS(MATCH($A118,List!$B:$B,0),MATCH($B$1,List!$1:$1,0),4)),"")</f>
        <v/>
      </c>
      <c r="C118" s="22" t="str" cm="1">
        <f t="array" aca="1" ref="C118" ca="1">IFERROR(INDIRECT("List"&amp;"!"&amp;ADDRESS(MATCH($A118,List!$B:$B,0),MATCH($C$1,List!$1:$1,0),4)),"")</f>
        <v/>
      </c>
      <c r="D118" s="22" t="str" cm="1">
        <f t="array" aca="1" ref="D118" ca="1">IFERROR(INDIRECT("List"&amp;"!"&amp;ADDRESS(MATCH($A118,List!$B:$B,0),MATCH($D$1,List!$1:$1,0),4)),"")</f>
        <v/>
      </c>
      <c r="E118" s="22" t="str" cm="1">
        <f t="array" aca="1" ref="E118" ca="1">IFERROR(INDIRECT("List"&amp;"!"&amp;ADDRESS(MATCH($A118,List!$B:$B,0),MATCH($E$1,List!$1:$1,0),4)),"")</f>
        <v/>
      </c>
      <c r="F118" s="27" t="str" cm="1">
        <f t="array" aca="1" ref="F118" ca="1">IFERROR(INDIRECT("List"&amp;"!"&amp;ADDRESS(MATCH($A118,List!$B:$B,0),MATCH($F$1,List!$1:$1,0),4)),"")</f>
        <v/>
      </c>
      <c r="G118" s="31" t="str" cm="1">
        <f t="array" aca="1" ref="G118" ca="1">IFERROR(INDIRECT("Data"&amp;"!"&amp;ADDRESS(MATCH($G$1,Data!$A$1:$A$20,0),MATCH($A118,Data!$2:$2,0)+3,4)),"")</f>
        <v/>
      </c>
      <c r="H118" s="31" t="str" cm="1">
        <f t="array" aca="1" ref="H118" ca="1">IFERROR(INDIRECT("Data"&amp;"!"&amp;ADDRESS(MATCH($G$1,Data!$A$1:$A$20,0),MATCH($A118,Data!$2:$2,0),4)),"")</f>
        <v/>
      </c>
      <c r="I118" s="31" t="str" cm="1">
        <f t="array" aca="1" ref="I118" ca="1">IFERROR(INDIRECT("Data"&amp;"!"&amp;ADDRESS(MATCH($G$1,Data!$A$1:$A$20,0),MATCH($A118,Data!$2:$2,0)+1,4)),"")</f>
        <v/>
      </c>
      <c r="J118" s="31" t="str" cm="1">
        <f t="array" aca="1" ref="J118" ca="1">IFERROR(INDIRECT("Data"&amp;"!"&amp;ADDRESS(MATCH($G$1,Data!$A$1:$A$20,0),MATCH($A118,Data!$2:$2,0)+2,4)),"")</f>
        <v/>
      </c>
      <c r="K118" s="34" t="str" cm="1">
        <f t="array" aca="1" ref="K118" ca="1">IFERROR(INDIRECT("Data"&amp;"!"&amp;ADDRESS(MATCH($K$1,Data!$A$1:$A$20,0),MATCH($A118,Data!$2:$2,0)+2,4)),"")</f>
        <v/>
      </c>
    </row>
    <row r="119" spans="2:11" x14ac:dyDescent="0.25">
      <c r="B119" s="22" t="str" cm="1">
        <f t="array" aca="1" ref="B119" ca="1">IFERROR(INDIRECT("List"&amp;"!"&amp;ADDRESS(MATCH($A119,List!$B:$B,0),MATCH($B$1,List!$1:$1,0),4)),"")</f>
        <v/>
      </c>
      <c r="C119" s="22" t="str" cm="1">
        <f t="array" aca="1" ref="C119" ca="1">IFERROR(INDIRECT("List"&amp;"!"&amp;ADDRESS(MATCH($A119,List!$B:$B,0),MATCH($C$1,List!$1:$1,0),4)),"")</f>
        <v/>
      </c>
      <c r="D119" s="22" t="str" cm="1">
        <f t="array" aca="1" ref="D119" ca="1">IFERROR(INDIRECT("List"&amp;"!"&amp;ADDRESS(MATCH($A119,List!$B:$B,0),MATCH($D$1,List!$1:$1,0),4)),"")</f>
        <v/>
      </c>
      <c r="E119" s="22" t="str" cm="1">
        <f t="array" aca="1" ref="E119" ca="1">IFERROR(INDIRECT("List"&amp;"!"&amp;ADDRESS(MATCH($A119,List!$B:$B,0),MATCH($E$1,List!$1:$1,0),4)),"")</f>
        <v/>
      </c>
      <c r="F119" s="27" t="str" cm="1">
        <f t="array" aca="1" ref="F119" ca="1">IFERROR(INDIRECT("List"&amp;"!"&amp;ADDRESS(MATCH($A119,List!$B:$B,0),MATCH($F$1,List!$1:$1,0),4)),"")</f>
        <v/>
      </c>
      <c r="G119" s="31" t="str" cm="1">
        <f t="array" aca="1" ref="G119" ca="1">IFERROR(INDIRECT("Data"&amp;"!"&amp;ADDRESS(MATCH($G$1,Data!$A$1:$A$20,0),MATCH($A119,Data!$2:$2,0)+3,4)),"")</f>
        <v/>
      </c>
      <c r="H119" s="31" t="str" cm="1">
        <f t="array" aca="1" ref="H119" ca="1">IFERROR(INDIRECT("Data"&amp;"!"&amp;ADDRESS(MATCH($G$1,Data!$A$1:$A$20,0),MATCH($A119,Data!$2:$2,0),4)),"")</f>
        <v/>
      </c>
      <c r="I119" s="31" t="str" cm="1">
        <f t="array" aca="1" ref="I119" ca="1">IFERROR(INDIRECT("Data"&amp;"!"&amp;ADDRESS(MATCH($G$1,Data!$A$1:$A$20,0),MATCH($A119,Data!$2:$2,0)+1,4)),"")</f>
        <v/>
      </c>
      <c r="J119" s="31" t="str" cm="1">
        <f t="array" aca="1" ref="J119" ca="1">IFERROR(INDIRECT("Data"&amp;"!"&amp;ADDRESS(MATCH($G$1,Data!$A$1:$A$20,0),MATCH($A119,Data!$2:$2,0)+2,4)),"")</f>
        <v/>
      </c>
      <c r="K119" s="34" t="str" cm="1">
        <f t="array" aca="1" ref="K119" ca="1">IFERROR(INDIRECT("Data"&amp;"!"&amp;ADDRESS(MATCH($K$1,Data!$A$1:$A$20,0),MATCH($A119,Data!$2:$2,0)+2,4)),"")</f>
        <v/>
      </c>
    </row>
    <row r="120" spans="2:11" x14ac:dyDescent="0.25">
      <c r="B120" s="22" t="str" cm="1">
        <f t="array" aca="1" ref="B120" ca="1">IFERROR(INDIRECT("List"&amp;"!"&amp;ADDRESS(MATCH($A120,List!$B:$B,0),MATCH($B$1,List!$1:$1,0),4)),"")</f>
        <v/>
      </c>
      <c r="C120" s="22" t="str" cm="1">
        <f t="array" aca="1" ref="C120" ca="1">IFERROR(INDIRECT("List"&amp;"!"&amp;ADDRESS(MATCH($A120,List!$B:$B,0),MATCH($C$1,List!$1:$1,0),4)),"")</f>
        <v/>
      </c>
      <c r="D120" s="22" t="str" cm="1">
        <f t="array" aca="1" ref="D120" ca="1">IFERROR(INDIRECT("List"&amp;"!"&amp;ADDRESS(MATCH($A120,List!$B:$B,0),MATCH($D$1,List!$1:$1,0),4)),"")</f>
        <v/>
      </c>
      <c r="E120" s="22" t="str" cm="1">
        <f t="array" aca="1" ref="E120" ca="1">IFERROR(INDIRECT("List"&amp;"!"&amp;ADDRESS(MATCH($A120,List!$B:$B,0),MATCH($E$1,List!$1:$1,0),4)),"")</f>
        <v/>
      </c>
      <c r="F120" s="27" t="str" cm="1">
        <f t="array" aca="1" ref="F120" ca="1">IFERROR(INDIRECT("List"&amp;"!"&amp;ADDRESS(MATCH($A120,List!$B:$B,0),MATCH($F$1,List!$1:$1,0),4)),"")</f>
        <v/>
      </c>
      <c r="G120" s="31" t="str" cm="1">
        <f t="array" aca="1" ref="G120" ca="1">IFERROR(INDIRECT("Data"&amp;"!"&amp;ADDRESS(MATCH($G$1,Data!$A$1:$A$20,0),MATCH($A120,Data!$2:$2,0)+3,4)),"")</f>
        <v/>
      </c>
      <c r="H120" s="31" t="str" cm="1">
        <f t="array" aca="1" ref="H120" ca="1">IFERROR(INDIRECT("Data"&amp;"!"&amp;ADDRESS(MATCH($G$1,Data!$A$1:$A$20,0),MATCH($A120,Data!$2:$2,0),4)),"")</f>
        <v/>
      </c>
      <c r="I120" s="31" t="str" cm="1">
        <f t="array" aca="1" ref="I120" ca="1">IFERROR(INDIRECT("Data"&amp;"!"&amp;ADDRESS(MATCH($G$1,Data!$A$1:$A$20,0),MATCH($A120,Data!$2:$2,0)+1,4)),"")</f>
        <v/>
      </c>
      <c r="J120" s="31" t="str" cm="1">
        <f t="array" aca="1" ref="J120" ca="1">IFERROR(INDIRECT("Data"&amp;"!"&amp;ADDRESS(MATCH($G$1,Data!$A$1:$A$20,0),MATCH($A120,Data!$2:$2,0)+2,4)),"")</f>
        <v/>
      </c>
      <c r="K120" s="34" t="str" cm="1">
        <f t="array" aca="1" ref="K120" ca="1">IFERROR(INDIRECT("Data"&amp;"!"&amp;ADDRESS(MATCH($K$1,Data!$A$1:$A$20,0),MATCH($A120,Data!$2:$2,0)+2,4)),"")</f>
        <v/>
      </c>
    </row>
    <row r="121" spans="2:11" x14ac:dyDescent="0.25">
      <c r="B121" s="22" t="str" cm="1">
        <f t="array" aca="1" ref="B121" ca="1">IFERROR(INDIRECT("List"&amp;"!"&amp;ADDRESS(MATCH($A121,List!$B:$B,0),MATCH($B$1,List!$1:$1,0),4)),"")</f>
        <v/>
      </c>
      <c r="C121" s="22" t="str" cm="1">
        <f t="array" aca="1" ref="C121" ca="1">IFERROR(INDIRECT("List"&amp;"!"&amp;ADDRESS(MATCH($A121,List!$B:$B,0),MATCH($C$1,List!$1:$1,0),4)),"")</f>
        <v/>
      </c>
      <c r="D121" s="22" t="str" cm="1">
        <f t="array" aca="1" ref="D121" ca="1">IFERROR(INDIRECT("List"&amp;"!"&amp;ADDRESS(MATCH($A121,List!$B:$B,0),MATCH($D$1,List!$1:$1,0),4)),"")</f>
        <v/>
      </c>
      <c r="E121" s="22" t="str" cm="1">
        <f t="array" aca="1" ref="E121" ca="1">IFERROR(INDIRECT("List"&amp;"!"&amp;ADDRESS(MATCH($A121,List!$B:$B,0),MATCH($E$1,List!$1:$1,0),4)),"")</f>
        <v/>
      </c>
      <c r="F121" s="27" t="str" cm="1">
        <f t="array" aca="1" ref="F121" ca="1">IFERROR(INDIRECT("List"&amp;"!"&amp;ADDRESS(MATCH($A121,List!$B:$B,0),MATCH($F$1,List!$1:$1,0),4)),"")</f>
        <v/>
      </c>
      <c r="G121" s="31" t="str" cm="1">
        <f t="array" aca="1" ref="G121" ca="1">IFERROR(INDIRECT("Data"&amp;"!"&amp;ADDRESS(MATCH($G$1,Data!$A$1:$A$20,0),MATCH($A121,Data!$2:$2,0)+3,4)),"")</f>
        <v/>
      </c>
      <c r="H121" s="31" t="str" cm="1">
        <f t="array" aca="1" ref="H121" ca="1">IFERROR(INDIRECT("Data"&amp;"!"&amp;ADDRESS(MATCH($G$1,Data!$A$1:$A$20,0),MATCH($A121,Data!$2:$2,0),4)),"")</f>
        <v/>
      </c>
      <c r="I121" s="31" t="str" cm="1">
        <f t="array" aca="1" ref="I121" ca="1">IFERROR(INDIRECT("Data"&amp;"!"&amp;ADDRESS(MATCH($G$1,Data!$A$1:$A$20,0),MATCH($A121,Data!$2:$2,0)+1,4)),"")</f>
        <v/>
      </c>
      <c r="J121" s="31" t="str" cm="1">
        <f t="array" aca="1" ref="J121" ca="1">IFERROR(INDIRECT("Data"&amp;"!"&amp;ADDRESS(MATCH($G$1,Data!$A$1:$A$20,0),MATCH($A121,Data!$2:$2,0)+2,4)),"")</f>
        <v/>
      </c>
      <c r="K121" s="34" t="str" cm="1">
        <f t="array" aca="1" ref="K121" ca="1">IFERROR(INDIRECT("Data"&amp;"!"&amp;ADDRESS(MATCH($K$1,Data!$A$1:$A$20,0),MATCH($A121,Data!$2:$2,0)+2,4)),"")</f>
        <v/>
      </c>
    </row>
    <row r="122" spans="2:11" x14ac:dyDescent="0.25">
      <c r="B122" s="22" t="str" cm="1">
        <f t="array" aca="1" ref="B122" ca="1">IFERROR(INDIRECT("List"&amp;"!"&amp;ADDRESS(MATCH($A122,List!$B:$B,0),MATCH($B$1,List!$1:$1,0),4)),"")</f>
        <v/>
      </c>
      <c r="C122" s="22" t="str" cm="1">
        <f t="array" aca="1" ref="C122" ca="1">IFERROR(INDIRECT("List"&amp;"!"&amp;ADDRESS(MATCH($A122,List!$B:$B,0),MATCH($C$1,List!$1:$1,0),4)),"")</f>
        <v/>
      </c>
      <c r="D122" s="22" t="str" cm="1">
        <f t="array" aca="1" ref="D122" ca="1">IFERROR(INDIRECT("List"&amp;"!"&amp;ADDRESS(MATCH($A122,List!$B:$B,0),MATCH($D$1,List!$1:$1,0),4)),"")</f>
        <v/>
      </c>
      <c r="E122" s="22" t="str" cm="1">
        <f t="array" aca="1" ref="E122" ca="1">IFERROR(INDIRECT("List"&amp;"!"&amp;ADDRESS(MATCH($A122,List!$B:$B,0),MATCH($E$1,List!$1:$1,0),4)),"")</f>
        <v/>
      </c>
      <c r="F122" s="27" t="str" cm="1">
        <f t="array" aca="1" ref="F122" ca="1">IFERROR(INDIRECT("List"&amp;"!"&amp;ADDRESS(MATCH($A122,List!$B:$B,0),MATCH($F$1,List!$1:$1,0),4)),"")</f>
        <v/>
      </c>
      <c r="G122" s="31" t="str" cm="1">
        <f t="array" aca="1" ref="G122" ca="1">IFERROR(INDIRECT("Data"&amp;"!"&amp;ADDRESS(MATCH($G$1,Data!$A$1:$A$20,0),MATCH($A122,Data!$2:$2,0)+3,4)),"")</f>
        <v/>
      </c>
      <c r="H122" s="31" t="str" cm="1">
        <f t="array" aca="1" ref="H122" ca="1">IFERROR(INDIRECT("Data"&amp;"!"&amp;ADDRESS(MATCH($G$1,Data!$A$1:$A$20,0),MATCH($A122,Data!$2:$2,0),4)),"")</f>
        <v/>
      </c>
      <c r="I122" s="31" t="str" cm="1">
        <f t="array" aca="1" ref="I122" ca="1">IFERROR(INDIRECT("Data"&amp;"!"&amp;ADDRESS(MATCH($G$1,Data!$A$1:$A$20,0),MATCH($A122,Data!$2:$2,0)+1,4)),"")</f>
        <v/>
      </c>
      <c r="J122" s="31" t="str" cm="1">
        <f t="array" aca="1" ref="J122" ca="1">IFERROR(INDIRECT("Data"&amp;"!"&amp;ADDRESS(MATCH($G$1,Data!$A$1:$A$20,0),MATCH($A122,Data!$2:$2,0)+2,4)),"")</f>
        <v/>
      </c>
      <c r="K122" s="34" t="str" cm="1">
        <f t="array" aca="1" ref="K122" ca="1">IFERROR(INDIRECT("Data"&amp;"!"&amp;ADDRESS(MATCH($K$1,Data!$A$1:$A$20,0),MATCH($A122,Data!$2:$2,0)+2,4)),"")</f>
        <v/>
      </c>
    </row>
    <row r="123" spans="2:11" x14ac:dyDescent="0.25">
      <c r="B123" s="22" t="str" cm="1">
        <f t="array" aca="1" ref="B123" ca="1">IFERROR(INDIRECT("List"&amp;"!"&amp;ADDRESS(MATCH($A123,List!$B:$B,0),MATCH($B$1,List!$1:$1,0),4)),"")</f>
        <v/>
      </c>
      <c r="C123" s="22" t="str" cm="1">
        <f t="array" aca="1" ref="C123" ca="1">IFERROR(INDIRECT("List"&amp;"!"&amp;ADDRESS(MATCH($A123,List!$B:$B,0),MATCH($C$1,List!$1:$1,0),4)),"")</f>
        <v/>
      </c>
      <c r="D123" s="22" t="str" cm="1">
        <f t="array" aca="1" ref="D123" ca="1">IFERROR(INDIRECT("List"&amp;"!"&amp;ADDRESS(MATCH($A123,List!$B:$B,0),MATCH($D$1,List!$1:$1,0),4)),"")</f>
        <v/>
      </c>
      <c r="E123" s="22" t="str" cm="1">
        <f t="array" aca="1" ref="E123" ca="1">IFERROR(INDIRECT("List"&amp;"!"&amp;ADDRESS(MATCH($A123,List!$B:$B,0),MATCH($E$1,List!$1:$1,0),4)),"")</f>
        <v/>
      </c>
      <c r="F123" s="27" t="str" cm="1">
        <f t="array" aca="1" ref="F123" ca="1">IFERROR(INDIRECT("List"&amp;"!"&amp;ADDRESS(MATCH($A123,List!$B:$B,0),MATCH($F$1,List!$1:$1,0),4)),"")</f>
        <v/>
      </c>
      <c r="G123" s="31" t="str" cm="1">
        <f t="array" aca="1" ref="G123" ca="1">IFERROR(INDIRECT("Data"&amp;"!"&amp;ADDRESS(MATCH($G$1,Data!$A$1:$A$20,0),MATCH($A123,Data!$2:$2,0)+3,4)),"")</f>
        <v/>
      </c>
      <c r="H123" s="31" t="str" cm="1">
        <f t="array" aca="1" ref="H123" ca="1">IFERROR(INDIRECT("Data"&amp;"!"&amp;ADDRESS(MATCH($G$1,Data!$A$1:$A$20,0),MATCH($A123,Data!$2:$2,0),4)),"")</f>
        <v/>
      </c>
      <c r="I123" s="31" t="str" cm="1">
        <f t="array" aca="1" ref="I123" ca="1">IFERROR(INDIRECT("Data"&amp;"!"&amp;ADDRESS(MATCH($G$1,Data!$A$1:$A$20,0),MATCH($A123,Data!$2:$2,0)+1,4)),"")</f>
        <v/>
      </c>
      <c r="J123" s="31" t="str" cm="1">
        <f t="array" aca="1" ref="J123" ca="1">IFERROR(INDIRECT("Data"&amp;"!"&amp;ADDRESS(MATCH($G$1,Data!$A$1:$A$20,0),MATCH($A123,Data!$2:$2,0)+2,4)),"")</f>
        <v/>
      </c>
      <c r="K123" s="34" t="str" cm="1">
        <f t="array" aca="1" ref="K123" ca="1">IFERROR(INDIRECT("Data"&amp;"!"&amp;ADDRESS(MATCH($K$1,Data!$A$1:$A$20,0),MATCH($A123,Data!$2:$2,0)+2,4)),"")</f>
        <v/>
      </c>
    </row>
    <row r="124" spans="2:11" x14ac:dyDescent="0.25">
      <c r="B124" s="22" t="str" cm="1">
        <f t="array" aca="1" ref="B124" ca="1">IFERROR(INDIRECT("List"&amp;"!"&amp;ADDRESS(MATCH($A124,List!$B:$B,0),MATCH($B$1,List!$1:$1,0),4)),"")</f>
        <v/>
      </c>
      <c r="C124" s="22" t="str" cm="1">
        <f t="array" aca="1" ref="C124" ca="1">IFERROR(INDIRECT("List"&amp;"!"&amp;ADDRESS(MATCH($A124,List!$B:$B,0),MATCH($C$1,List!$1:$1,0),4)),"")</f>
        <v/>
      </c>
      <c r="D124" s="22" t="str" cm="1">
        <f t="array" aca="1" ref="D124" ca="1">IFERROR(INDIRECT("List"&amp;"!"&amp;ADDRESS(MATCH($A124,List!$B:$B,0),MATCH($D$1,List!$1:$1,0),4)),"")</f>
        <v/>
      </c>
      <c r="E124" s="22" t="str" cm="1">
        <f t="array" aca="1" ref="E124" ca="1">IFERROR(INDIRECT("List"&amp;"!"&amp;ADDRESS(MATCH($A124,List!$B:$B,0),MATCH($E$1,List!$1:$1,0),4)),"")</f>
        <v/>
      </c>
      <c r="F124" s="27" t="str" cm="1">
        <f t="array" aca="1" ref="F124" ca="1">IFERROR(INDIRECT("List"&amp;"!"&amp;ADDRESS(MATCH($A124,List!$B:$B,0),MATCH($F$1,List!$1:$1,0),4)),"")</f>
        <v/>
      </c>
      <c r="G124" s="31" t="str" cm="1">
        <f t="array" aca="1" ref="G124" ca="1">IFERROR(INDIRECT("Data"&amp;"!"&amp;ADDRESS(MATCH($G$1,Data!$A$1:$A$20,0),MATCH($A124,Data!$2:$2,0)+3,4)),"")</f>
        <v/>
      </c>
      <c r="H124" s="31" t="str" cm="1">
        <f t="array" aca="1" ref="H124" ca="1">IFERROR(INDIRECT("Data"&amp;"!"&amp;ADDRESS(MATCH($G$1,Data!$A$1:$A$20,0),MATCH($A124,Data!$2:$2,0),4)),"")</f>
        <v/>
      </c>
      <c r="I124" s="31" t="str" cm="1">
        <f t="array" aca="1" ref="I124" ca="1">IFERROR(INDIRECT("Data"&amp;"!"&amp;ADDRESS(MATCH($G$1,Data!$A$1:$A$20,0),MATCH($A124,Data!$2:$2,0)+1,4)),"")</f>
        <v/>
      </c>
      <c r="J124" s="31" t="str" cm="1">
        <f t="array" aca="1" ref="J124" ca="1">IFERROR(INDIRECT("Data"&amp;"!"&amp;ADDRESS(MATCH($G$1,Data!$A$1:$A$20,0),MATCH($A124,Data!$2:$2,0)+2,4)),"")</f>
        <v/>
      </c>
      <c r="K124" s="34" t="str" cm="1">
        <f t="array" aca="1" ref="K124" ca="1">IFERROR(INDIRECT("Data"&amp;"!"&amp;ADDRESS(MATCH($K$1,Data!$A$1:$A$20,0),MATCH($A124,Data!$2:$2,0)+2,4)),"")</f>
        <v/>
      </c>
    </row>
    <row r="125" spans="2:11" x14ac:dyDescent="0.25">
      <c r="B125" s="22" t="str" cm="1">
        <f t="array" aca="1" ref="B125" ca="1">IFERROR(INDIRECT("List"&amp;"!"&amp;ADDRESS(MATCH($A125,List!$B:$B,0),MATCH($B$1,List!$1:$1,0),4)),"")</f>
        <v/>
      </c>
      <c r="C125" s="22" t="str" cm="1">
        <f t="array" aca="1" ref="C125" ca="1">IFERROR(INDIRECT("List"&amp;"!"&amp;ADDRESS(MATCH($A125,List!$B:$B,0),MATCH($C$1,List!$1:$1,0),4)),"")</f>
        <v/>
      </c>
      <c r="D125" s="22" t="str" cm="1">
        <f t="array" aca="1" ref="D125" ca="1">IFERROR(INDIRECT("List"&amp;"!"&amp;ADDRESS(MATCH($A125,List!$B:$B,0),MATCH($D$1,List!$1:$1,0),4)),"")</f>
        <v/>
      </c>
      <c r="E125" s="22" t="str" cm="1">
        <f t="array" aca="1" ref="E125" ca="1">IFERROR(INDIRECT("List"&amp;"!"&amp;ADDRESS(MATCH($A125,List!$B:$B,0),MATCH($E$1,List!$1:$1,0),4)),"")</f>
        <v/>
      </c>
      <c r="F125" s="27" t="str" cm="1">
        <f t="array" aca="1" ref="F125" ca="1">IFERROR(INDIRECT("List"&amp;"!"&amp;ADDRESS(MATCH($A125,List!$B:$B,0),MATCH($F$1,List!$1:$1,0),4)),"")</f>
        <v/>
      </c>
      <c r="G125" s="31" t="str" cm="1">
        <f t="array" aca="1" ref="G125" ca="1">IFERROR(INDIRECT("Data"&amp;"!"&amp;ADDRESS(MATCH($G$1,Data!$A$1:$A$20,0),MATCH($A125,Data!$2:$2,0)+3,4)),"")</f>
        <v/>
      </c>
      <c r="H125" s="31" t="str" cm="1">
        <f t="array" aca="1" ref="H125" ca="1">IFERROR(INDIRECT("Data"&amp;"!"&amp;ADDRESS(MATCH($G$1,Data!$A$1:$A$20,0),MATCH($A125,Data!$2:$2,0),4)),"")</f>
        <v/>
      </c>
      <c r="I125" s="31" t="str" cm="1">
        <f t="array" aca="1" ref="I125" ca="1">IFERROR(INDIRECT("Data"&amp;"!"&amp;ADDRESS(MATCH($G$1,Data!$A$1:$A$20,0),MATCH($A125,Data!$2:$2,0)+1,4)),"")</f>
        <v/>
      </c>
      <c r="J125" s="31" t="str" cm="1">
        <f t="array" aca="1" ref="J125" ca="1">IFERROR(INDIRECT("Data"&amp;"!"&amp;ADDRESS(MATCH($G$1,Data!$A$1:$A$20,0),MATCH($A125,Data!$2:$2,0)+2,4)),"")</f>
        <v/>
      </c>
      <c r="K125" s="34" t="str" cm="1">
        <f t="array" aca="1" ref="K125" ca="1">IFERROR(INDIRECT("Data"&amp;"!"&amp;ADDRESS(MATCH($K$1,Data!$A$1:$A$20,0),MATCH($A125,Data!$2:$2,0)+2,4)),"")</f>
        <v/>
      </c>
    </row>
    <row r="126" spans="2:11" x14ac:dyDescent="0.25">
      <c r="B126" s="22" t="str" cm="1">
        <f t="array" aca="1" ref="B126" ca="1">IFERROR(INDIRECT("List"&amp;"!"&amp;ADDRESS(MATCH($A126,List!$B:$B,0),MATCH($B$1,List!$1:$1,0),4)),"")</f>
        <v/>
      </c>
      <c r="C126" s="22" t="str" cm="1">
        <f t="array" aca="1" ref="C126" ca="1">IFERROR(INDIRECT("List"&amp;"!"&amp;ADDRESS(MATCH($A126,List!$B:$B,0),MATCH($C$1,List!$1:$1,0),4)),"")</f>
        <v/>
      </c>
      <c r="D126" s="22" t="str" cm="1">
        <f t="array" aca="1" ref="D126" ca="1">IFERROR(INDIRECT("List"&amp;"!"&amp;ADDRESS(MATCH($A126,List!$B:$B,0),MATCH($D$1,List!$1:$1,0),4)),"")</f>
        <v/>
      </c>
      <c r="E126" s="22" t="str" cm="1">
        <f t="array" aca="1" ref="E126" ca="1">IFERROR(INDIRECT("List"&amp;"!"&amp;ADDRESS(MATCH($A126,List!$B:$B,0),MATCH($E$1,List!$1:$1,0),4)),"")</f>
        <v/>
      </c>
      <c r="F126" s="27" t="str" cm="1">
        <f t="array" aca="1" ref="F126" ca="1">IFERROR(INDIRECT("List"&amp;"!"&amp;ADDRESS(MATCH($A126,List!$B:$B,0),MATCH($F$1,List!$1:$1,0),4)),"")</f>
        <v/>
      </c>
      <c r="G126" s="31" t="str" cm="1">
        <f t="array" aca="1" ref="G126" ca="1">IFERROR(INDIRECT("Data"&amp;"!"&amp;ADDRESS(MATCH($G$1,Data!$A$1:$A$20,0),MATCH($A126,Data!$2:$2,0)+3,4)),"")</f>
        <v/>
      </c>
      <c r="H126" s="31" t="str" cm="1">
        <f t="array" aca="1" ref="H126" ca="1">IFERROR(INDIRECT("Data"&amp;"!"&amp;ADDRESS(MATCH($G$1,Data!$A$1:$A$20,0),MATCH($A126,Data!$2:$2,0),4)),"")</f>
        <v/>
      </c>
      <c r="I126" s="31" t="str" cm="1">
        <f t="array" aca="1" ref="I126" ca="1">IFERROR(INDIRECT("Data"&amp;"!"&amp;ADDRESS(MATCH($G$1,Data!$A$1:$A$20,0),MATCH($A126,Data!$2:$2,0)+1,4)),"")</f>
        <v/>
      </c>
      <c r="J126" s="31" t="str" cm="1">
        <f t="array" aca="1" ref="J126" ca="1">IFERROR(INDIRECT("Data"&amp;"!"&amp;ADDRESS(MATCH($G$1,Data!$A$1:$A$20,0),MATCH($A126,Data!$2:$2,0)+2,4)),"")</f>
        <v/>
      </c>
      <c r="K126" s="34" t="str" cm="1">
        <f t="array" aca="1" ref="K126" ca="1">IFERROR(INDIRECT("Data"&amp;"!"&amp;ADDRESS(MATCH($K$1,Data!$A$1:$A$20,0),MATCH($A126,Data!$2:$2,0)+2,4)),"")</f>
        <v/>
      </c>
    </row>
    <row r="127" spans="2:11" x14ac:dyDescent="0.25">
      <c r="B127" s="22" t="str" cm="1">
        <f t="array" aca="1" ref="B127" ca="1">IFERROR(INDIRECT("List"&amp;"!"&amp;ADDRESS(MATCH($A127,List!$B:$B,0),MATCH($B$1,List!$1:$1,0),4)),"")</f>
        <v/>
      </c>
      <c r="C127" s="22" t="str" cm="1">
        <f t="array" aca="1" ref="C127" ca="1">IFERROR(INDIRECT("List"&amp;"!"&amp;ADDRESS(MATCH($A127,List!$B:$B,0),MATCH($C$1,List!$1:$1,0),4)),"")</f>
        <v/>
      </c>
      <c r="D127" s="22" t="str" cm="1">
        <f t="array" aca="1" ref="D127" ca="1">IFERROR(INDIRECT("List"&amp;"!"&amp;ADDRESS(MATCH($A127,List!$B:$B,0),MATCH($D$1,List!$1:$1,0),4)),"")</f>
        <v/>
      </c>
      <c r="E127" s="22" t="str" cm="1">
        <f t="array" aca="1" ref="E127" ca="1">IFERROR(INDIRECT("List"&amp;"!"&amp;ADDRESS(MATCH($A127,List!$B:$B,0),MATCH($E$1,List!$1:$1,0),4)),"")</f>
        <v/>
      </c>
      <c r="F127" s="27" t="str" cm="1">
        <f t="array" aca="1" ref="F127" ca="1">IFERROR(INDIRECT("List"&amp;"!"&amp;ADDRESS(MATCH($A127,List!$B:$B,0),MATCH($F$1,List!$1:$1,0),4)),"")</f>
        <v/>
      </c>
      <c r="G127" s="31" t="str" cm="1">
        <f t="array" aca="1" ref="G127" ca="1">IFERROR(INDIRECT("Data"&amp;"!"&amp;ADDRESS(MATCH($G$1,Data!$A$1:$A$20,0),MATCH($A127,Data!$2:$2,0)+3,4)),"")</f>
        <v/>
      </c>
      <c r="H127" s="31" t="str" cm="1">
        <f t="array" aca="1" ref="H127" ca="1">IFERROR(INDIRECT("Data"&amp;"!"&amp;ADDRESS(MATCH($G$1,Data!$A$1:$A$20,0),MATCH($A127,Data!$2:$2,0),4)),"")</f>
        <v/>
      </c>
      <c r="I127" s="31" t="str" cm="1">
        <f t="array" aca="1" ref="I127" ca="1">IFERROR(INDIRECT("Data"&amp;"!"&amp;ADDRESS(MATCH($G$1,Data!$A$1:$A$20,0),MATCH($A127,Data!$2:$2,0)+1,4)),"")</f>
        <v/>
      </c>
      <c r="J127" s="31" t="str" cm="1">
        <f t="array" aca="1" ref="J127" ca="1">IFERROR(INDIRECT("Data"&amp;"!"&amp;ADDRESS(MATCH($G$1,Data!$A$1:$A$20,0),MATCH($A127,Data!$2:$2,0)+2,4)),"")</f>
        <v/>
      </c>
      <c r="K127" s="34" t="str" cm="1">
        <f t="array" aca="1" ref="K127" ca="1">IFERROR(INDIRECT("Data"&amp;"!"&amp;ADDRESS(MATCH($K$1,Data!$A$1:$A$20,0),MATCH($A127,Data!$2:$2,0)+2,4)),"")</f>
        <v/>
      </c>
    </row>
    <row r="128" spans="2:11" x14ac:dyDescent="0.25">
      <c r="B128" s="22" t="str" cm="1">
        <f t="array" aca="1" ref="B128" ca="1">IFERROR(INDIRECT("List"&amp;"!"&amp;ADDRESS(MATCH($A128,List!$B:$B,0),MATCH($B$1,List!$1:$1,0),4)),"")</f>
        <v/>
      </c>
      <c r="C128" s="22" t="str" cm="1">
        <f t="array" aca="1" ref="C128" ca="1">IFERROR(INDIRECT("List"&amp;"!"&amp;ADDRESS(MATCH($A128,List!$B:$B,0),MATCH($C$1,List!$1:$1,0),4)),"")</f>
        <v/>
      </c>
      <c r="D128" s="22" t="str" cm="1">
        <f t="array" aca="1" ref="D128" ca="1">IFERROR(INDIRECT("List"&amp;"!"&amp;ADDRESS(MATCH($A128,List!$B:$B,0),MATCH($D$1,List!$1:$1,0),4)),"")</f>
        <v/>
      </c>
      <c r="E128" s="22" t="str" cm="1">
        <f t="array" aca="1" ref="E128" ca="1">IFERROR(INDIRECT("List"&amp;"!"&amp;ADDRESS(MATCH($A128,List!$B:$B,0),MATCH($E$1,List!$1:$1,0),4)),"")</f>
        <v/>
      </c>
      <c r="F128" s="27" t="str" cm="1">
        <f t="array" aca="1" ref="F128" ca="1">IFERROR(INDIRECT("List"&amp;"!"&amp;ADDRESS(MATCH($A128,List!$B:$B,0),MATCH($F$1,List!$1:$1,0),4)),"")</f>
        <v/>
      </c>
      <c r="G128" s="31" t="str" cm="1">
        <f t="array" aca="1" ref="G128" ca="1">IFERROR(INDIRECT("Data"&amp;"!"&amp;ADDRESS(MATCH($G$1,Data!$A$1:$A$20,0),MATCH($A128,Data!$2:$2,0)+3,4)),"")</f>
        <v/>
      </c>
      <c r="H128" s="31" t="str" cm="1">
        <f t="array" aca="1" ref="H128" ca="1">IFERROR(INDIRECT("Data"&amp;"!"&amp;ADDRESS(MATCH($G$1,Data!$A$1:$A$20,0),MATCH($A128,Data!$2:$2,0),4)),"")</f>
        <v/>
      </c>
      <c r="I128" s="31" t="str" cm="1">
        <f t="array" aca="1" ref="I128" ca="1">IFERROR(INDIRECT("Data"&amp;"!"&amp;ADDRESS(MATCH($G$1,Data!$A$1:$A$20,0),MATCH($A128,Data!$2:$2,0)+1,4)),"")</f>
        <v/>
      </c>
      <c r="J128" s="31" t="str" cm="1">
        <f t="array" aca="1" ref="J128" ca="1">IFERROR(INDIRECT("Data"&amp;"!"&amp;ADDRESS(MATCH($G$1,Data!$A$1:$A$20,0),MATCH($A128,Data!$2:$2,0)+2,4)),"")</f>
        <v/>
      </c>
      <c r="K128" s="34" t="str" cm="1">
        <f t="array" aca="1" ref="K128" ca="1">IFERROR(INDIRECT("Data"&amp;"!"&amp;ADDRESS(MATCH($K$1,Data!$A$1:$A$20,0),MATCH($A128,Data!$2:$2,0)+2,4)),"")</f>
        <v/>
      </c>
    </row>
    <row r="129" spans="2:11" x14ac:dyDescent="0.25">
      <c r="B129" s="22" t="str" cm="1">
        <f t="array" aca="1" ref="B129" ca="1">IFERROR(INDIRECT("List"&amp;"!"&amp;ADDRESS(MATCH($A129,List!$B:$B,0),MATCH($B$1,List!$1:$1,0),4)),"")</f>
        <v/>
      </c>
      <c r="C129" s="22" t="str" cm="1">
        <f t="array" aca="1" ref="C129" ca="1">IFERROR(INDIRECT("List"&amp;"!"&amp;ADDRESS(MATCH($A129,List!$B:$B,0),MATCH($C$1,List!$1:$1,0),4)),"")</f>
        <v/>
      </c>
      <c r="D129" s="22" t="str" cm="1">
        <f t="array" aca="1" ref="D129" ca="1">IFERROR(INDIRECT("List"&amp;"!"&amp;ADDRESS(MATCH($A129,List!$B:$B,0),MATCH($D$1,List!$1:$1,0),4)),"")</f>
        <v/>
      </c>
      <c r="E129" s="22" t="str" cm="1">
        <f t="array" aca="1" ref="E129" ca="1">IFERROR(INDIRECT("List"&amp;"!"&amp;ADDRESS(MATCH($A129,List!$B:$B,0),MATCH($E$1,List!$1:$1,0),4)),"")</f>
        <v/>
      </c>
      <c r="F129" s="27" t="str" cm="1">
        <f t="array" aca="1" ref="F129" ca="1">IFERROR(INDIRECT("List"&amp;"!"&amp;ADDRESS(MATCH($A129,List!$B:$B,0),MATCH($F$1,List!$1:$1,0),4)),"")</f>
        <v/>
      </c>
      <c r="G129" s="31" t="str" cm="1">
        <f t="array" aca="1" ref="G129" ca="1">IFERROR(INDIRECT("Data"&amp;"!"&amp;ADDRESS(MATCH($G$1,Data!$A$1:$A$20,0),MATCH($A129,Data!$2:$2,0)+3,4)),"")</f>
        <v/>
      </c>
      <c r="H129" s="31" t="str" cm="1">
        <f t="array" aca="1" ref="H129" ca="1">IFERROR(INDIRECT("Data"&amp;"!"&amp;ADDRESS(MATCH($G$1,Data!$A$1:$A$20,0),MATCH($A129,Data!$2:$2,0),4)),"")</f>
        <v/>
      </c>
      <c r="I129" s="31" t="str" cm="1">
        <f t="array" aca="1" ref="I129" ca="1">IFERROR(INDIRECT("Data"&amp;"!"&amp;ADDRESS(MATCH($G$1,Data!$A$1:$A$20,0),MATCH($A129,Data!$2:$2,0)+1,4)),"")</f>
        <v/>
      </c>
      <c r="J129" s="31" t="str" cm="1">
        <f t="array" aca="1" ref="J129" ca="1">IFERROR(INDIRECT("Data"&amp;"!"&amp;ADDRESS(MATCH($G$1,Data!$A$1:$A$20,0),MATCH($A129,Data!$2:$2,0)+2,4)),"")</f>
        <v/>
      </c>
      <c r="K129" s="34" t="str" cm="1">
        <f t="array" aca="1" ref="K129" ca="1">IFERROR(INDIRECT("Data"&amp;"!"&amp;ADDRESS(MATCH($K$1,Data!$A$1:$A$20,0),MATCH($A129,Data!$2:$2,0)+2,4)),"")</f>
        <v/>
      </c>
    </row>
    <row r="130" spans="2:11" x14ac:dyDescent="0.25">
      <c r="B130" s="22" t="str" cm="1">
        <f t="array" aca="1" ref="B130" ca="1">IFERROR(INDIRECT("List"&amp;"!"&amp;ADDRESS(MATCH($A130,List!$B:$B,0),MATCH($B$1,List!$1:$1,0),4)),"")</f>
        <v/>
      </c>
      <c r="C130" s="22" t="str" cm="1">
        <f t="array" aca="1" ref="C130" ca="1">IFERROR(INDIRECT("List"&amp;"!"&amp;ADDRESS(MATCH($A130,List!$B:$B,0),MATCH($C$1,List!$1:$1,0),4)),"")</f>
        <v/>
      </c>
      <c r="D130" s="22" t="str" cm="1">
        <f t="array" aca="1" ref="D130" ca="1">IFERROR(INDIRECT("List"&amp;"!"&amp;ADDRESS(MATCH($A130,List!$B:$B,0),MATCH($D$1,List!$1:$1,0),4)),"")</f>
        <v/>
      </c>
      <c r="E130" s="22" t="str" cm="1">
        <f t="array" aca="1" ref="E130" ca="1">IFERROR(INDIRECT("List"&amp;"!"&amp;ADDRESS(MATCH($A130,List!$B:$B,0),MATCH($E$1,List!$1:$1,0),4)),"")</f>
        <v/>
      </c>
      <c r="F130" s="27" t="str" cm="1">
        <f t="array" aca="1" ref="F130" ca="1">IFERROR(INDIRECT("List"&amp;"!"&amp;ADDRESS(MATCH($A130,List!$B:$B,0),MATCH($F$1,List!$1:$1,0),4)),"")</f>
        <v/>
      </c>
      <c r="G130" s="31" t="str" cm="1">
        <f t="array" aca="1" ref="G130" ca="1">IFERROR(INDIRECT("Data"&amp;"!"&amp;ADDRESS(MATCH($G$1,Data!$A$1:$A$20,0),MATCH($A130,Data!$2:$2,0)+3,4)),"")</f>
        <v/>
      </c>
      <c r="H130" s="31" t="str" cm="1">
        <f t="array" aca="1" ref="H130" ca="1">IFERROR(INDIRECT("Data"&amp;"!"&amp;ADDRESS(MATCH($G$1,Data!$A$1:$A$20,0),MATCH($A130,Data!$2:$2,0),4)),"")</f>
        <v/>
      </c>
      <c r="I130" s="31" t="str" cm="1">
        <f t="array" aca="1" ref="I130" ca="1">IFERROR(INDIRECT("Data"&amp;"!"&amp;ADDRESS(MATCH($G$1,Data!$A$1:$A$20,0),MATCH($A130,Data!$2:$2,0)+1,4)),"")</f>
        <v/>
      </c>
      <c r="J130" s="31" t="str" cm="1">
        <f t="array" aca="1" ref="J130" ca="1">IFERROR(INDIRECT("Data"&amp;"!"&amp;ADDRESS(MATCH($G$1,Data!$A$1:$A$20,0),MATCH($A130,Data!$2:$2,0)+2,4)),"")</f>
        <v/>
      </c>
      <c r="K130" s="34" t="str" cm="1">
        <f t="array" aca="1" ref="K130" ca="1">IFERROR(INDIRECT("Data"&amp;"!"&amp;ADDRESS(MATCH($K$1,Data!$A$1:$A$20,0),MATCH($A130,Data!$2:$2,0)+2,4)),"")</f>
        <v/>
      </c>
    </row>
    <row r="131" spans="2:11" x14ac:dyDescent="0.25">
      <c r="B131" s="22" t="str" cm="1">
        <f t="array" aca="1" ref="B131" ca="1">IFERROR(INDIRECT("List"&amp;"!"&amp;ADDRESS(MATCH($A131,List!$B:$B,0),MATCH($B$1,List!$1:$1,0),4)),"")</f>
        <v/>
      </c>
      <c r="C131" s="22" t="str" cm="1">
        <f t="array" aca="1" ref="C131" ca="1">IFERROR(INDIRECT("List"&amp;"!"&amp;ADDRESS(MATCH($A131,List!$B:$B,0),MATCH($C$1,List!$1:$1,0),4)),"")</f>
        <v/>
      </c>
      <c r="D131" s="22" t="str" cm="1">
        <f t="array" aca="1" ref="D131" ca="1">IFERROR(INDIRECT("List"&amp;"!"&amp;ADDRESS(MATCH($A131,List!$B:$B,0),MATCH($D$1,List!$1:$1,0),4)),"")</f>
        <v/>
      </c>
      <c r="E131" s="22" t="str" cm="1">
        <f t="array" aca="1" ref="E131" ca="1">IFERROR(INDIRECT("List"&amp;"!"&amp;ADDRESS(MATCH($A131,List!$B:$B,0),MATCH($E$1,List!$1:$1,0),4)),"")</f>
        <v/>
      </c>
      <c r="F131" s="27" t="str" cm="1">
        <f t="array" aca="1" ref="F131" ca="1">IFERROR(INDIRECT("List"&amp;"!"&amp;ADDRESS(MATCH($A131,List!$B:$B,0),MATCH($F$1,List!$1:$1,0),4)),"")</f>
        <v/>
      </c>
      <c r="G131" s="31" t="str" cm="1">
        <f t="array" aca="1" ref="G131" ca="1">IFERROR(INDIRECT("Data"&amp;"!"&amp;ADDRESS(MATCH($G$1,Data!$A$1:$A$20,0),MATCH($A131,Data!$2:$2,0)+3,4)),"")</f>
        <v/>
      </c>
      <c r="H131" s="31" t="str" cm="1">
        <f t="array" aca="1" ref="H131" ca="1">IFERROR(INDIRECT("Data"&amp;"!"&amp;ADDRESS(MATCH($G$1,Data!$A$1:$A$20,0),MATCH($A131,Data!$2:$2,0),4)),"")</f>
        <v/>
      </c>
      <c r="I131" s="31" t="str" cm="1">
        <f t="array" aca="1" ref="I131" ca="1">IFERROR(INDIRECT("Data"&amp;"!"&amp;ADDRESS(MATCH($G$1,Data!$A$1:$A$20,0),MATCH($A131,Data!$2:$2,0)+1,4)),"")</f>
        <v/>
      </c>
      <c r="J131" s="31" t="str" cm="1">
        <f t="array" aca="1" ref="J131" ca="1">IFERROR(INDIRECT("Data"&amp;"!"&amp;ADDRESS(MATCH($G$1,Data!$A$1:$A$20,0),MATCH($A131,Data!$2:$2,0)+2,4)),"")</f>
        <v/>
      </c>
      <c r="K131" s="34" t="str" cm="1">
        <f t="array" aca="1" ref="K131" ca="1">IFERROR(INDIRECT("Data"&amp;"!"&amp;ADDRESS(MATCH($K$1,Data!$A$1:$A$20,0),MATCH($A131,Data!$2:$2,0)+2,4)),"")</f>
        <v/>
      </c>
    </row>
    <row r="132" spans="2:11" x14ac:dyDescent="0.25">
      <c r="B132" s="22" t="str" cm="1">
        <f t="array" aca="1" ref="B132" ca="1">IFERROR(INDIRECT("List"&amp;"!"&amp;ADDRESS(MATCH($A132,List!$B:$B,0),MATCH($B$1,List!$1:$1,0),4)),"")</f>
        <v/>
      </c>
      <c r="C132" s="22" t="str" cm="1">
        <f t="array" aca="1" ref="C132" ca="1">IFERROR(INDIRECT("List"&amp;"!"&amp;ADDRESS(MATCH($A132,List!$B:$B,0),MATCH($C$1,List!$1:$1,0),4)),"")</f>
        <v/>
      </c>
      <c r="D132" s="22" t="str" cm="1">
        <f t="array" aca="1" ref="D132" ca="1">IFERROR(INDIRECT("List"&amp;"!"&amp;ADDRESS(MATCH($A132,List!$B:$B,0),MATCH($D$1,List!$1:$1,0),4)),"")</f>
        <v/>
      </c>
      <c r="E132" s="22" t="str" cm="1">
        <f t="array" aca="1" ref="E132" ca="1">IFERROR(INDIRECT("List"&amp;"!"&amp;ADDRESS(MATCH($A132,List!$B:$B,0),MATCH($E$1,List!$1:$1,0),4)),"")</f>
        <v/>
      </c>
      <c r="F132" s="27" t="str" cm="1">
        <f t="array" aca="1" ref="F132" ca="1">IFERROR(INDIRECT("List"&amp;"!"&amp;ADDRESS(MATCH($A132,List!$B:$B,0),MATCH($F$1,List!$1:$1,0),4)),"")</f>
        <v/>
      </c>
      <c r="G132" s="31" t="str" cm="1">
        <f t="array" aca="1" ref="G132" ca="1">IFERROR(INDIRECT("Data"&amp;"!"&amp;ADDRESS(MATCH($G$1,Data!$A$1:$A$20,0),MATCH($A132,Data!$2:$2,0)+3,4)),"")</f>
        <v/>
      </c>
      <c r="H132" s="31" t="str" cm="1">
        <f t="array" aca="1" ref="H132" ca="1">IFERROR(INDIRECT("Data"&amp;"!"&amp;ADDRESS(MATCH($G$1,Data!$A$1:$A$20,0),MATCH($A132,Data!$2:$2,0),4)),"")</f>
        <v/>
      </c>
      <c r="I132" s="31" t="str" cm="1">
        <f t="array" aca="1" ref="I132" ca="1">IFERROR(INDIRECT("Data"&amp;"!"&amp;ADDRESS(MATCH($G$1,Data!$A$1:$A$20,0),MATCH($A132,Data!$2:$2,0)+1,4)),"")</f>
        <v/>
      </c>
      <c r="J132" s="31" t="str" cm="1">
        <f t="array" aca="1" ref="J132" ca="1">IFERROR(INDIRECT("Data"&amp;"!"&amp;ADDRESS(MATCH($G$1,Data!$A$1:$A$20,0),MATCH($A132,Data!$2:$2,0)+2,4)),"")</f>
        <v/>
      </c>
      <c r="K132" s="34" t="str" cm="1">
        <f t="array" aca="1" ref="K132" ca="1">IFERROR(INDIRECT("Data"&amp;"!"&amp;ADDRESS(MATCH($K$1,Data!$A$1:$A$20,0),MATCH($A132,Data!$2:$2,0)+2,4)),"")</f>
        <v/>
      </c>
    </row>
    <row r="133" spans="2:11" x14ac:dyDescent="0.25">
      <c r="B133" s="22" t="str" cm="1">
        <f t="array" aca="1" ref="B133" ca="1">IFERROR(INDIRECT("List"&amp;"!"&amp;ADDRESS(MATCH($A133,List!$B:$B,0),MATCH($B$1,List!$1:$1,0),4)),"")</f>
        <v/>
      </c>
      <c r="C133" s="22" t="str" cm="1">
        <f t="array" aca="1" ref="C133" ca="1">IFERROR(INDIRECT("List"&amp;"!"&amp;ADDRESS(MATCH($A133,List!$B:$B,0),MATCH($C$1,List!$1:$1,0),4)),"")</f>
        <v/>
      </c>
      <c r="D133" s="22" t="str" cm="1">
        <f t="array" aca="1" ref="D133" ca="1">IFERROR(INDIRECT("List"&amp;"!"&amp;ADDRESS(MATCH($A133,List!$B:$B,0),MATCH($D$1,List!$1:$1,0),4)),"")</f>
        <v/>
      </c>
      <c r="E133" s="22" t="str" cm="1">
        <f t="array" aca="1" ref="E133" ca="1">IFERROR(INDIRECT("List"&amp;"!"&amp;ADDRESS(MATCH($A133,List!$B:$B,0),MATCH($E$1,List!$1:$1,0),4)),"")</f>
        <v/>
      </c>
      <c r="F133" s="27" t="str" cm="1">
        <f t="array" aca="1" ref="F133" ca="1">IFERROR(INDIRECT("List"&amp;"!"&amp;ADDRESS(MATCH($A133,List!$B:$B,0),MATCH($F$1,List!$1:$1,0),4)),"")</f>
        <v/>
      </c>
      <c r="G133" s="31" t="str" cm="1">
        <f t="array" aca="1" ref="G133" ca="1">IFERROR(INDIRECT("Data"&amp;"!"&amp;ADDRESS(MATCH($G$1,Data!$A$1:$A$20,0),MATCH($A133,Data!$2:$2,0)+3,4)),"")</f>
        <v/>
      </c>
      <c r="H133" s="31" t="str" cm="1">
        <f t="array" aca="1" ref="H133" ca="1">IFERROR(INDIRECT("Data"&amp;"!"&amp;ADDRESS(MATCH($G$1,Data!$A$1:$A$20,0),MATCH($A133,Data!$2:$2,0),4)),"")</f>
        <v/>
      </c>
      <c r="I133" s="31" t="str" cm="1">
        <f t="array" aca="1" ref="I133" ca="1">IFERROR(INDIRECT("Data"&amp;"!"&amp;ADDRESS(MATCH($G$1,Data!$A$1:$A$20,0),MATCH($A133,Data!$2:$2,0)+1,4)),"")</f>
        <v/>
      </c>
      <c r="J133" s="31" t="str" cm="1">
        <f t="array" aca="1" ref="J133" ca="1">IFERROR(INDIRECT("Data"&amp;"!"&amp;ADDRESS(MATCH($G$1,Data!$A$1:$A$20,0),MATCH($A133,Data!$2:$2,0)+2,4)),"")</f>
        <v/>
      </c>
      <c r="K133" s="34" t="str" cm="1">
        <f t="array" aca="1" ref="K133" ca="1">IFERROR(INDIRECT("Data"&amp;"!"&amp;ADDRESS(MATCH($K$1,Data!$A$1:$A$20,0),MATCH($A133,Data!$2:$2,0)+2,4)),"")</f>
        <v/>
      </c>
    </row>
    <row r="134" spans="2:11" x14ac:dyDescent="0.25">
      <c r="B134" s="22" t="str" cm="1">
        <f t="array" aca="1" ref="B134" ca="1">IFERROR(INDIRECT("List"&amp;"!"&amp;ADDRESS(MATCH($A134,List!$B:$B,0),MATCH($B$1,List!$1:$1,0),4)),"")</f>
        <v/>
      </c>
      <c r="C134" s="22" t="str" cm="1">
        <f t="array" aca="1" ref="C134" ca="1">IFERROR(INDIRECT("List"&amp;"!"&amp;ADDRESS(MATCH($A134,List!$B:$B,0),MATCH($C$1,List!$1:$1,0),4)),"")</f>
        <v/>
      </c>
      <c r="D134" s="22" t="str" cm="1">
        <f t="array" aca="1" ref="D134" ca="1">IFERROR(INDIRECT("List"&amp;"!"&amp;ADDRESS(MATCH($A134,List!$B:$B,0),MATCH($D$1,List!$1:$1,0),4)),"")</f>
        <v/>
      </c>
      <c r="E134" s="22" t="str" cm="1">
        <f t="array" aca="1" ref="E134" ca="1">IFERROR(INDIRECT("List"&amp;"!"&amp;ADDRESS(MATCH($A134,List!$B:$B,0),MATCH($E$1,List!$1:$1,0),4)),"")</f>
        <v/>
      </c>
      <c r="F134" s="27" t="str" cm="1">
        <f t="array" aca="1" ref="F134" ca="1">IFERROR(INDIRECT("List"&amp;"!"&amp;ADDRESS(MATCH($A134,List!$B:$B,0),MATCH($F$1,List!$1:$1,0),4)),"")</f>
        <v/>
      </c>
      <c r="G134" s="31" t="str" cm="1">
        <f t="array" aca="1" ref="G134" ca="1">IFERROR(INDIRECT("Data"&amp;"!"&amp;ADDRESS(MATCH($G$1,Data!$A$1:$A$20,0),MATCH($A134,Data!$2:$2,0)+3,4)),"")</f>
        <v/>
      </c>
      <c r="H134" s="31" t="str" cm="1">
        <f t="array" aca="1" ref="H134" ca="1">IFERROR(INDIRECT("Data"&amp;"!"&amp;ADDRESS(MATCH($G$1,Data!$A$1:$A$20,0),MATCH($A134,Data!$2:$2,0),4)),"")</f>
        <v/>
      </c>
      <c r="I134" s="31" t="str" cm="1">
        <f t="array" aca="1" ref="I134" ca="1">IFERROR(INDIRECT("Data"&amp;"!"&amp;ADDRESS(MATCH($G$1,Data!$A$1:$A$20,0),MATCH($A134,Data!$2:$2,0)+1,4)),"")</f>
        <v/>
      </c>
      <c r="J134" s="31" t="str" cm="1">
        <f t="array" aca="1" ref="J134" ca="1">IFERROR(INDIRECT("Data"&amp;"!"&amp;ADDRESS(MATCH($G$1,Data!$A$1:$A$20,0),MATCH($A134,Data!$2:$2,0)+2,4)),"")</f>
        <v/>
      </c>
      <c r="K134" s="34" t="str" cm="1">
        <f t="array" aca="1" ref="K134" ca="1">IFERROR(INDIRECT("Data"&amp;"!"&amp;ADDRESS(MATCH($K$1,Data!$A$1:$A$20,0),MATCH($A134,Data!$2:$2,0)+2,4)),"")</f>
        <v/>
      </c>
    </row>
    <row r="135" spans="2:11" x14ac:dyDescent="0.25">
      <c r="B135" s="22" t="str" cm="1">
        <f t="array" aca="1" ref="B135" ca="1">IFERROR(INDIRECT("List"&amp;"!"&amp;ADDRESS(MATCH($A135,List!$B:$B,0),MATCH($B$1,List!$1:$1,0),4)),"")</f>
        <v/>
      </c>
      <c r="C135" s="22" t="str" cm="1">
        <f t="array" aca="1" ref="C135" ca="1">IFERROR(INDIRECT("List"&amp;"!"&amp;ADDRESS(MATCH($A135,List!$B:$B,0),MATCH($C$1,List!$1:$1,0),4)),"")</f>
        <v/>
      </c>
      <c r="D135" s="22" t="str" cm="1">
        <f t="array" aca="1" ref="D135" ca="1">IFERROR(INDIRECT("List"&amp;"!"&amp;ADDRESS(MATCH($A135,List!$B:$B,0),MATCH($D$1,List!$1:$1,0),4)),"")</f>
        <v/>
      </c>
      <c r="E135" s="22" t="str" cm="1">
        <f t="array" aca="1" ref="E135" ca="1">IFERROR(INDIRECT("List"&amp;"!"&amp;ADDRESS(MATCH($A135,List!$B:$B,0),MATCH($E$1,List!$1:$1,0),4)),"")</f>
        <v/>
      </c>
      <c r="F135" s="27" t="str" cm="1">
        <f t="array" aca="1" ref="F135" ca="1">IFERROR(INDIRECT("List"&amp;"!"&amp;ADDRESS(MATCH($A135,List!$B:$B,0),MATCH($F$1,List!$1:$1,0),4)),"")</f>
        <v/>
      </c>
      <c r="G135" s="31" t="str" cm="1">
        <f t="array" aca="1" ref="G135" ca="1">IFERROR(INDIRECT("Data"&amp;"!"&amp;ADDRESS(MATCH($G$1,Data!$A$1:$A$20,0),MATCH($A135,Data!$2:$2,0)+3,4)),"")</f>
        <v/>
      </c>
      <c r="H135" s="31" t="str" cm="1">
        <f t="array" aca="1" ref="H135" ca="1">IFERROR(INDIRECT("Data"&amp;"!"&amp;ADDRESS(MATCH($G$1,Data!$A$1:$A$20,0),MATCH($A135,Data!$2:$2,0),4)),"")</f>
        <v/>
      </c>
      <c r="I135" s="31" t="str" cm="1">
        <f t="array" aca="1" ref="I135" ca="1">IFERROR(INDIRECT("Data"&amp;"!"&amp;ADDRESS(MATCH($G$1,Data!$A$1:$A$20,0),MATCH($A135,Data!$2:$2,0)+1,4)),"")</f>
        <v/>
      </c>
      <c r="J135" s="31" t="str" cm="1">
        <f t="array" aca="1" ref="J135" ca="1">IFERROR(INDIRECT("Data"&amp;"!"&amp;ADDRESS(MATCH($G$1,Data!$A$1:$A$20,0),MATCH($A135,Data!$2:$2,0)+2,4)),"")</f>
        <v/>
      </c>
      <c r="K135" s="34" t="str" cm="1">
        <f t="array" aca="1" ref="K135" ca="1">IFERROR(INDIRECT("Data"&amp;"!"&amp;ADDRESS(MATCH($K$1,Data!$A$1:$A$20,0),MATCH($A135,Data!$2:$2,0)+2,4)),"")</f>
        <v/>
      </c>
    </row>
    <row r="136" spans="2:11" x14ac:dyDescent="0.25">
      <c r="B136" s="22" t="str" cm="1">
        <f t="array" aca="1" ref="B136" ca="1">IFERROR(INDIRECT("List"&amp;"!"&amp;ADDRESS(MATCH($A136,List!$B:$B,0),MATCH($B$1,List!$1:$1,0),4)),"")</f>
        <v/>
      </c>
      <c r="C136" s="22" t="str" cm="1">
        <f t="array" aca="1" ref="C136" ca="1">IFERROR(INDIRECT("List"&amp;"!"&amp;ADDRESS(MATCH($A136,List!$B:$B,0),MATCH($C$1,List!$1:$1,0),4)),"")</f>
        <v/>
      </c>
      <c r="D136" s="22" t="str" cm="1">
        <f t="array" aca="1" ref="D136" ca="1">IFERROR(INDIRECT("List"&amp;"!"&amp;ADDRESS(MATCH($A136,List!$B:$B,0),MATCH($D$1,List!$1:$1,0),4)),"")</f>
        <v/>
      </c>
      <c r="E136" s="22" t="str" cm="1">
        <f t="array" aca="1" ref="E136" ca="1">IFERROR(INDIRECT("List"&amp;"!"&amp;ADDRESS(MATCH($A136,List!$B:$B,0),MATCH($E$1,List!$1:$1,0),4)),"")</f>
        <v/>
      </c>
      <c r="F136" s="27" t="str" cm="1">
        <f t="array" aca="1" ref="F136" ca="1">IFERROR(INDIRECT("List"&amp;"!"&amp;ADDRESS(MATCH($A136,List!$B:$B,0),MATCH($F$1,List!$1:$1,0),4)),"")</f>
        <v/>
      </c>
      <c r="G136" s="31" t="str" cm="1">
        <f t="array" aca="1" ref="G136" ca="1">IFERROR(INDIRECT("Data"&amp;"!"&amp;ADDRESS(MATCH($G$1,Data!$A$1:$A$20,0),MATCH($A136,Data!$2:$2,0)+3,4)),"")</f>
        <v/>
      </c>
      <c r="H136" s="31" t="str" cm="1">
        <f t="array" aca="1" ref="H136" ca="1">IFERROR(INDIRECT("Data"&amp;"!"&amp;ADDRESS(MATCH($G$1,Data!$A$1:$A$20,0),MATCH($A136,Data!$2:$2,0),4)),"")</f>
        <v/>
      </c>
      <c r="I136" s="31" t="str" cm="1">
        <f t="array" aca="1" ref="I136" ca="1">IFERROR(INDIRECT("Data"&amp;"!"&amp;ADDRESS(MATCH($G$1,Data!$A$1:$A$20,0),MATCH($A136,Data!$2:$2,0)+1,4)),"")</f>
        <v/>
      </c>
      <c r="J136" s="31" t="str" cm="1">
        <f t="array" aca="1" ref="J136" ca="1">IFERROR(INDIRECT("Data"&amp;"!"&amp;ADDRESS(MATCH($G$1,Data!$A$1:$A$20,0),MATCH($A136,Data!$2:$2,0)+2,4)),"")</f>
        <v/>
      </c>
      <c r="K136" s="34" t="str" cm="1">
        <f t="array" aca="1" ref="K136" ca="1">IFERROR(INDIRECT("Data"&amp;"!"&amp;ADDRESS(MATCH($K$1,Data!$A$1:$A$20,0),MATCH($A136,Data!$2:$2,0)+2,4)),"")</f>
        <v/>
      </c>
    </row>
    <row r="137" spans="2:11" x14ac:dyDescent="0.25">
      <c r="B137" s="22" t="str" cm="1">
        <f t="array" aca="1" ref="B137" ca="1">IFERROR(INDIRECT("List"&amp;"!"&amp;ADDRESS(MATCH($A137,List!$B:$B,0),MATCH($B$1,List!$1:$1,0),4)),"")</f>
        <v/>
      </c>
      <c r="C137" s="22" t="str" cm="1">
        <f t="array" aca="1" ref="C137" ca="1">IFERROR(INDIRECT("List"&amp;"!"&amp;ADDRESS(MATCH($A137,List!$B:$B,0),MATCH($C$1,List!$1:$1,0),4)),"")</f>
        <v/>
      </c>
      <c r="D137" s="22" t="str" cm="1">
        <f t="array" aca="1" ref="D137" ca="1">IFERROR(INDIRECT("List"&amp;"!"&amp;ADDRESS(MATCH($A137,List!$B:$B,0),MATCH($D$1,List!$1:$1,0),4)),"")</f>
        <v/>
      </c>
      <c r="E137" s="22" t="str" cm="1">
        <f t="array" aca="1" ref="E137" ca="1">IFERROR(INDIRECT("List"&amp;"!"&amp;ADDRESS(MATCH($A137,List!$B:$B,0),MATCH($E$1,List!$1:$1,0),4)),"")</f>
        <v/>
      </c>
      <c r="F137" s="27" t="str" cm="1">
        <f t="array" aca="1" ref="F137" ca="1">IFERROR(INDIRECT("List"&amp;"!"&amp;ADDRESS(MATCH($A137,List!$B:$B,0),MATCH($F$1,List!$1:$1,0),4)),"")</f>
        <v/>
      </c>
      <c r="G137" s="31" t="str" cm="1">
        <f t="array" aca="1" ref="G137" ca="1">IFERROR(INDIRECT("Data"&amp;"!"&amp;ADDRESS(MATCH($G$1,Data!$A$1:$A$20,0),MATCH($A137,Data!$2:$2,0)+3,4)),"")</f>
        <v/>
      </c>
      <c r="H137" s="31" t="str" cm="1">
        <f t="array" aca="1" ref="H137" ca="1">IFERROR(INDIRECT("Data"&amp;"!"&amp;ADDRESS(MATCH($G$1,Data!$A$1:$A$20,0),MATCH($A137,Data!$2:$2,0),4)),"")</f>
        <v/>
      </c>
      <c r="I137" s="31" t="str" cm="1">
        <f t="array" aca="1" ref="I137" ca="1">IFERROR(INDIRECT("Data"&amp;"!"&amp;ADDRESS(MATCH($G$1,Data!$A$1:$A$20,0),MATCH($A137,Data!$2:$2,0)+1,4)),"")</f>
        <v/>
      </c>
      <c r="J137" s="31" t="str" cm="1">
        <f t="array" aca="1" ref="J137" ca="1">IFERROR(INDIRECT("Data"&amp;"!"&amp;ADDRESS(MATCH($G$1,Data!$A$1:$A$20,0),MATCH($A137,Data!$2:$2,0)+2,4)),"")</f>
        <v/>
      </c>
      <c r="K137" s="34" t="str" cm="1">
        <f t="array" aca="1" ref="K137" ca="1">IFERROR(INDIRECT("Data"&amp;"!"&amp;ADDRESS(MATCH($K$1,Data!$A$1:$A$20,0),MATCH($A137,Data!$2:$2,0)+2,4)),"")</f>
        <v/>
      </c>
    </row>
    <row r="138" spans="2:11" x14ac:dyDescent="0.25">
      <c r="B138" s="22" t="str" cm="1">
        <f t="array" aca="1" ref="B138" ca="1">IFERROR(INDIRECT("List"&amp;"!"&amp;ADDRESS(MATCH($A138,List!$B:$B,0),MATCH($B$1,List!$1:$1,0),4)),"")</f>
        <v/>
      </c>
      <c r="C138" s="22" t="str" cm="1">
        <f t="array" aca="1" ref="C138" ca="1">IFERROR(INDIRECT("List"&amp;"!"&amp;ADDRESS(MATCH($A138,List!$B:$B,0),MATCH($C$1,List!$1:$1,0),4)),"")</f>
        <v/>
      </c>
      <c r="D138" s="22" t="str" cm="1">
        <f t="array" aca="1" ref="D138" ca="1">IFERROR(INDIRECT("List"&amp;"!"&amp;ADDRESS(MATCH($A138,List!$B:$B,0),MATCH($D$1,List!$1:$1,0),4)),"")</f>
        <v/>
      </c>
      <c r="E138" s="22" t="str" cm="1">
        <f t="array" aca="1" ref="E138" ca="1">IFERROR(INDIRECT("List"&amp;"!"&amp;ADDRESS(MATCH($A138,List!$B:$B,0),MATCH($E$1,List!$1:$1,0),4)),"")</f>
        <v/>
      </c>
      <c r="F138" s="27" t="str" cm="1">
        <f t="array" aca="1" ref="F138" ca="1">IFERROR(INDIRECT("List"&amp;"!"&amp;ADDRESS(MATCH($A138,List!$B:$B,0),MATCH($F$1,List!$1:$1,0),4)),"")</f>
        <v/>
      </c>
      <c r="G138" s="31" t="str" cm="1">
        <f t="array" aca="1" ref="G138" ca="1">IFERROR(INDIRECT("Data"&amp;"!"&amp;ADDRESS(MATCH($G$1,Data!$A$1:$A$20,0),MATCH($A138,Data!$2:$2,0)+3,4)),"")</f>
        <v/>
      </c>
      <c r="H138" s="31" t="str" cm="1">
        <f t="array" aca="1" ref="H138" ca="1">IFERROR(INDIRECT("Data"&amp;"!"&amp;ADDRESS(MATCH($G$1,Data!$A$1:$A$20,0),MATCH($A138,Data!$2:$2,0),4)),"")</f>
        <v/>
      </c>
      <c r="I138" s="31" t="str" cm="1">
        <f t="array" aca="1" ref="I138" ca="1">IFERROR(INDIRECT("Data"&amp;"!"&amp;ADDRESS(MATCH($G$1,Data!$A$1:$A$20,0),MATCH($A138,Data!$2:$2,0)+1,4)),"")</f>
        <v/>
      </c>
      <c r="J138" s="31" t="str" cm="1">
        <f t="array" aca="1" ref="J138" ca="1">IFERROR(INDIRECT("Data"&amp;"!"&amp;ADDRESS(MATCH($G$1,Data!$A$1:$A$20,0),MATCH($A138,Data!$2:$2,0)+2,4)),"")</f>
        <v/>
      </c>
      <c r="K138" s="34" t="str" cm="1">
        <f t="array" aca="1" ref="K138" ca="1">IFERROR(INDIRECT("Data"&amp;"!"&amp;ADDRESS(MATCH($K$1,Data!$A$1:$A$20,0),MATCH($A138,Data!$2:$2,0)+2,4)),"")</f>
        <v/>
      </c>
    </row>
    <row r="139" spans="2:11" x14ac:dyDescent="0.25">
      <c r="B139" s="22" t="str" cm="1">
        <f t="array" aca="1" ref="B139" ca="1">IFERROR(INDIRECT("List"&amp;"!"&amp;ADDRESS(MATCH($A139,List!$B:$B,0),MATCH($B$1,List!$1:$1,0),4)),"")</f>
        <v/>
      </c>
      <c r="C139" s="22" t="str" cm="1">
        <f t="array" aca="1" ref="C139" ca="1">IFERROR(INDIRECT("List"&amp;"!"&amp;ADDRESS(MATCH($A139,List!$B:$B,0),MATCH($C$1,List!$1:$1,0),4)),"")</f>
        <v/>
      </c>
      <c r="D139" s="22" t="str" cm="1">
        <f t="array" aca="1" ref="D139" ca="1">IFERROR(INDIRECT("List"&amp;"!"&amp;ADDRESS(MATCH($A139,List!$B:$B,0),MATCH($D$1,List!$1:$1,0),4)),"")</f>
        <v/>
      </c>
      <c r="E139" s="22" t="str" cm="1">
        <f t="array" aca="1" ref="E139" ca="1">IFERROR(INDIRECT("List"&amp;"!"&amp;ADDRESS(MATCH($A139,List!$B:$B,0),MATCH($E$1,List!$1:$1,0),4)),"")</f>
        <v/>
      </c>
      <c r="F139" s="27" t="str" cm="1">
        <f t="array" aca="1" ref="F139" ca="1">IFERROR(INDIRECT("List"&amp;"!"&amp;ADDRESS(MATCH($A139,List!$B:$B,0),MATCH($F$1,List!$1:$1,0),4)),"")</f>
        <v/>
      </c>
      <c r="G139" s="31" t="str" cm="1">
        <f t="array" aca="1" ref="G139" ca="1">IFERROR(INDIRECT("Data"&amp;"!"&amp;ADDRESS(MATCH($G$1,Data!$A$1:$A$20,0),MATCH($A139,Data!$2:$2,0)+3,4)),"")</f>
        <v/>
      </c>
      <c r="H139" s="31" t="str" cm="1">
        <f t="array" aca="1" ref="H139" ca="1">IFERROR(INDIRECT("Data"&amp;"!"&amp;ADDRESS(MATCH($G$1,Data!$A$1:$A$20,0),MATCH($A139,Data!$2:$2,0),4)),"")</f>
        <v/>
      </c>
      <c r="I139" s="31" t="str" cm="1">
        <f t="array" aca="1" ref="I139" ca="1">IFERROR(INDIRECT("Data"&amp;"!"&amp;ADDRESS(MATCH($G$1,Data!$A$1:$A$20,0),MATCH($A139,Data!$2:$2,0)+1,4)),"")</f>
        <v/>
      </c>
      <c r="J139" s="31" t="str" cm="1">
        <f t="array" aca="1" ref="J139" ca="1">IFERROR(INDIRECT("Data"&amp;"!"&amp;ADDRESS(MATCH($G$1,Data!$A$1:$A$20,0),MATCH($A139,Data!$2:$2,0)+2,4)),"")</f>
        <v/>
      </c>
      <c r="K139" s="34" t="str" cm="1">
        <f t="array" aca="1" ref="K139" ca="1">IFERROR(INDIRECT("Data"&amp;"!"&amp;ADDRESS(MATCH($K$1,Data!$A$1:$A$20,0),MATCH($A139,Data!$2:$2,0)+2,4)),"")</f>
        <v/>
      </c>
    </row>
    <row r="140" spans="2:11" x14ac:dyDescent="0.25">
      <c r="B140" s="22" t="str" cm="1">
        <f t="array" aca="1" ref="B140" ca="1">IFERROR(INDIRECT("List"&amp;"!"&amp;ADDRESS(MATCH($A140,List!$B:$B,0),MATCH($B$1,List!$1:$1,0),4)),"")</f>
        <v/>
      </c>
      <c r="C140" s="22" t="str" cm="1">
        <f t="array" aca="1" ref="C140" ca="1">IFERROR(INDIRECT("List"&amp;"!"&amp;ADDRESS(MATCH($A140,List!$B:$B,0),MATCH($C$1,List!$1:$1,0),4)),"")</f>
        <v/>
      </c>
      <c r="D140" s="22" t="str" cm="1">
        <f t="array" aca="1" ref="D140" ca="1">IFERROR(INDIRECT("List"&amp;"!"&amp;ADDRESS(MATCH($A140,List!$B:$B,0),MATCH($D$1,List!$1:$1,0),4)),"")</f>
        <v/>
      </c>
      <c r="E140" s="22" t="str" cm="1">
        <f t="array" aca="1" ref="E140" ca="1">IFERROR(INDIRECT("List"&amp;"!"&amp;ADDRESS(MATCH($A140,List!$B:$B,0),MATCH($E$1,List!$1:$1,0),4)),"")</f>
        <v/>
      </c>
      <c r="F140" s="27" t="str" cm="1">
        <f t="array" aca="1" ref="F140" ca="1">IFERROR(INDIRECT("List"&amp;"!"&amp;ADDRESS(MATCH($A140,List!$B:$B,0),MATCH($F$1,List!$1:$1,0),4)),"")</f>
        <v/>
      </c>
      <c r="G140" s="31" t="str" cm="1">
        <f t="array" aca="1" ref="G140" ca="1">IFERROR(INDIRECT("Data"&amp;"!"&amp;ADDRESS(MATCH($G$1,Data!$A$1:$A$20,0),MATCH($A140,Data!$2:$2,0)+3,4)),"")</f>
        <v/>
      </c>
      <c r="H140" s="31" t="str" cm="1">
        <f t="array" aca="1" ref="H140" ca="1">IFERROR(INDIRECT("Data"&amp;"!"&amp;ADDRESS(MATCH($G$1,Data!$A$1:$A$20,0),MATCH($A140,Data!$2:$2,0),4)),"")</f>
        <v/>
      </c>
      <c r="I140" s="31" t="str" cm="1">
        <f t="array" aca="1" ref="I140" ca="1">IFERROR(INDIRECT("Data"&amp;"!"&amp;ADDRESS(MATCH($G$1,Data!$A$1:$A$20,0),MATCH($A140,Data!$2:$2,0)+1,4)),"")</f>
        <v/>
      </c>
      <c r="J140" s="31" t="str" cm="1">
        <f t="array" aca="1" ref="J140" ca="1">IFERROR(INDIRECT("Data"&amp;"!"&amp;ADDRESS(MATCH($G$1,Data!$A$1:$A$20,0),MATCH($A140,Data!$2:$2,0)+2,4)),"")</f>
        <v/>
      </c>
      <c r="K140" s="34" t="str" cm="1">
        <f t="array" aca="1" ref="K140" ca="1">IFERROR(INDIRECT("Data"&amp;"!"&amp;ADDRESS(MATCH($K$1,Data!$A$1:$A$20,0),MATCH($A140,Data!$2:$2,0)+2,4)),"")</f>
        <v/>
      </c>
    </row>
    <row r="141" spans="2:11" x14ac:dyDescent="0.25">
      <c r="B141" s="22" t="str" cm="1">
        <f t="array" aca="1" ref="B141" ca="1">IFERROR(INDIRECT("List"&amp;"!"&amp;ADDRESS(MATCH($A141,List!$B:$B,0),MATCH($B$1,List!$1:$1,0),4)),"")</f>
        <v/>
      </c>
      <c r="C141" s="22" t="str" cm="1">
        <f t="array" aca="1" ref="C141" ca="1">IFERROR(INDIRECT("List"&amp;"!"&amp;ADDRESS(MATCH($A141,List!$B:$B,0),MATCH($C$1,List!$1:$1,0),4)),"")</f>
        <v/>
      </c>
      <c r="D141" s="22" t="str" cm="1">
        <f t="array" aca="1" ref="D141" ca="1">IFERROR(INDIRECT("List"&amp;"!"&amp;ADDRESS(MATCH($A141,List!$B:$B,0),MATCH($D$1,List!$1:$1,0),4)),"")</f>
        <v/>
      </c>
      <c r="E141" s="22" t="str" cm="1">
        <f t="array" aca="1" ref="E141" ca="1">IFERROR(INDIRECT("List"&amp;"!"&amp;ADDRESS(MATCH($A141,List!$B:$B,0),MATCH($E$1,List!$1:$1,0),4)),"")</f>
        <v/>
      </c>
      <c r="F141" s="27" t="str" cm="1">
        <f t="array" aca="1" ref="F141" ca="1">IFERROR(INDIRECT("List"&amp;"!"&amp;ADDRESS(MATCH($A141,List!$B:$B,0),MATCH($F$1,List!$1:$1,0),4)),"")</f>
        <v/>
      </c>
      <c r="G141" s="31" t="str" cm="1">
        <f t="array" aca="1" ref="G141" ca="1">IFERROR(INDIRECT("Data"&amp;"!"&amp;ADDRESS(MATCH($G$1,Data!$A$1:$A$20,0),MATCH($A141,Data!$2:$2,0)+3,4)),"")</f>
        <v/>
      </c>
      <c r="H141" s="31" t="str" cm="1">
        <f t="array" aca="1" ref="H141" ca="1">IFERROR(INDIRECT("Data"&amp;"!"&amp;ADDRESS(MATCH($G$1,Data!$A$1:$A$20,0),MATCH($A141,Data!$2:$2,0),4)),"")</f>
        <v/>
      </c>
      <c r="I141" s="31" t="str" cm="1">
        <f t="array" aca="1" ref="I141" ca="1">IFERROR(INDIRECT("Data"&amp;"!"&amp;ADDRESS(MATCH($G$1,Data!$A$1:$A$20,0),MATCH($A141,Data!$2:$2,0)+1,4)),"")</f>
        <v/>
      </c>
      <c r="J141" s="31" t="str" cm="1">
        <f t="array" aca="1" ref="J141" ca="1">IFERROR(INDIRECT("Data"&amp;"!"&amp;ADDRESS(MATCH($G$1,Data!$A$1:$A$20,0),MATCH($A141,Data!$2:$2,0)+2,4)),"")</f>
        <v/>
      </c>
      <c r="K141" s="34" t="str" cm="1">
        <f t="array" aca="1" ref="K141" ca="1">IFERROR(INDIRECT("Data"&amp;"!"&amp;ADDRESS(MATCH($K$1,Data!$A$1:$A$20,0),MATCH($A141,Data!$2:$2,0)+2,4)),"")</f>
        <v/>
      </c>
    </row>
    <row r="142" spans="2:11" x14ac:dyDescent="0.25">
      <c r="B142" s="22" t="str" cm="1">
        <f t="array" aca="1" ref="B142" ca="1">IFERROR(INDIRECT("List"&amp;"!"&amp;ADDRESS(MATCH($A142,List!$B:$B,0),MATCH($B$1,List!$1:$1,0),4)),"")</f>
        <v/>
      </c>
      <c r="C142" s="22" t="str" cm="1">
        <f t="array" aca="1" ref="C142" ca="1">IFERROR(INDIRECT("List"&amp;"!"&amp;ADDRESS(MATCH($A142,List!$B:$B,0),MATCH($C$1,List!$1:$1,0),4)),"")</f>
        <v/>
      </c>
      <c r="D142" s="22" t="str" cm="1">
        <f t="array" aca="1" ref="D142" ca="1">IFERROR(INDIRECT("List"&amp;"!"&amp;ADDRESS(MATCH($A142,List!$B:$B,0),MATCH($D$1,List!$1:$1,0),4)),"")</f>
        <v/>
      </c>
      <c r="E142" s="22" t="str" cm="1">
        <f t="array" aca="1" ref="E142" ca="1">IFERROR(INDIRECT("List"&amp;"!"&amp;ADDRESS(MATCH($A142,List!$B:$B,0),MATCH($E$1,List!$1:$1,0),4)),"")</f>
        <v/>
      </c>
      <c r="F142" s="27" t="str" cm="1">
        <f t="array" aca="1" ref="F142" ca="1">IFERROR(INDIRECT("List"&amp;"!"&amp;ADDRESS(MATCH($A142,List!$B:$B,0),MATCH($F$1,List!$1:$1,0),4)),"")</f>
        <v/>
      </c>
      <c r="G142" s="31" t="str" cm="1">
        <f t="array" aca="1" ref="G142" ca="1">IFERROR(INDIRECT("Data"&amp;"!"&amp;ADDRESS(MATCH($G$1,Data!$A$1:$A$20,0),MATCH($A142,Data!$2:$2,0)+3,4)),"")</f>
        <v/>
      </c>
      <c r="H142" s="31" t="str" cm="1">
        <f t="array" aca="1" ref="H142" ca="1">IFERROR(INDIRECT("Data"&amp;"!"&amp;ADDRESS(MATCH($G$1,Data!$A$1:$A$20,0),MATCH($A142,Data!$2:$2,0),4)),"")</f>
        <v/>
      </c>
      <c r="I142" s="31" t="str" cm="1">
        <f t="array" aca="1" ref="I142" ca="1">IFERROR(INDIRECT("Data"&amp;"!"&amp;ADDRESS(MATCH($G$1,Data!$A$1:$A$20,0),MATCH($A142,Data!$2:$2,0)+1,4)),"")</f>
        <v/>
      </c>
      <c r="J142" s="31" t="str" cm="1">
        <f t="array" aca="1" ref="J142" ca="1">IFERROR(INDIRECT("Data"&amp;"!"&amp;ADDRESS(MATCH($G$1,Data!$A$1:$A$20,0),MATCH($A142,Data!$2:$2,0)+2,4)),"")</f>
        <v/>
      </c>
      <c r="K142" s="34" t="str" cm="1">
        <f t="array" aca="1" ref="K142" ca="1">IFERROR(INDIRECT("Data"&amp;"!"&amp;ADDRESS(MATCH($K$1,Data!$A$1:$A$20,0),MATCH($A142,Data!$2:$2,0)+2,4)),"")</f>
        <v/>
      </c>
    </row>
    <row r="143" spans="2:11" x14ac:dyDescent="0.25">
      <c r="B143" s="22" t="str" cm="1">
        <f t="array" aca="1" ref="B143" ca="1">IFERROR(INDIRECT("List"&amp;"!"&amp;ADDRESS(MATCH($A143,List!$B:$B,0),MATCH($B$1,List!$1:$1,0),4)),"")</f>
        <v/>
      </c>
      <c r="C143" s="22" t="str" cm="1">
        <f t="array" aca="1" ref="C143" ca="1">IFERROR(INDIRECT("List"&amp;"!"&amp;ADDRESS(MATCH($A143,List!$B:$B,0),MATCH($C$1,List!$1:$1,0),4)),"")</f>
        <v/>
      </c>
      <c r="D143" s="22" t="str" cm="1">
        <f t="array" aca="1" ref="D143" ca="1">IFERROR(INDIRECT("List"&amp;"!"&amp;ADDRESS(MATCH($A143,List!$B:$B,0),MATCH($D$1,List!$1:$1,0),4)),"")</f>
        <v/>
      </c>
      <c r="E143" s="22" t="str" cm="1">
        <f t="array" aca="1" ref="E143" ca="1">IFERROR(INDIRECT("List"&amp;"!"&amp;ADDRESS(MATCH($A143,List!$B:$B,0),MATCH($E$1,List!$1:$1,0),4)),"")</f>
        <v/>
      </c>
      <c r="F143" s="27" t="str" cm="1">
        <f t="array" aca="1" ref="F143" ca="1">IFERROR(INDIRECT("List"&amp;"!"&amp;ADDRESS(MATCH($A143,List!$B:$B,0),MATCH($F$1,List!$1:$1,0),4)),"")</f>
        <v/>
      </c>
      <c r="G143" s="31" t="str" cm="1">
        <f t="array" aca="1" ref="G143" ca="1">IFERROR(INDIRECT("Data"&amp;"!"&amp;ADDRESS(MATCH($G$1,Data!$A$1:$A$20,0),MATCH($A143,Data!$2:$2,0)+3,4)),"")</f>
        <v/>
      </c>
      <c r="H143" s="31" t="str" cm="1">
        <f t="array" aca="1" ref="H143" ca="1">IFERROR(INDIRECT("Data"&amp;"!"&amp;ADDRESS(MATCH($G$1,Data!$A$1:$A$20,0),MATCH($A143,Data!$2:$2,0),4)),"")</f>
        <v/>
      </c>
      <c r="I143" s="31" t="str" cm="1">
        <f t="array" aca="1" ref="I143" ca="1">IFERROR(INDIRECT("Data"&amp;"!"&amp;ADDRESS(MATCH($G$1,Data!$A$1:$A$20,0),MATCH($A143,Data!$2:$2,0)+1,4)),"")</f>
        <v/>
      </c>
      <c r="J143" s="31" t="str" cm="1">
        <f t="array" aca="1" ref="J143" ca="1">IFERROR(INDIRECT("Data"&amp;"!"&amp;ADDRESS(MATCH($G$1,Data!$A$1:$A$20,0),MATCH($A143,Data!$2:$2,0)+2,4)),"")</f>
        <v/>
      </c>
      <c r="K143" s="34" t="str" cm="1">
        <f t="array" aca="1" ref="K143" ca="1">IFERROR(INDIRECT("Data"&amp;"!"&amp;ADDRESS(MATCH($K$1,Data!$A$1:$A$20,0),MATCH($A143,Data!$2:$2,0)+2,4)),"")</f>
        <v/>
      </c>
    </row>
    <row r="144" spans="2:11" x14ac:dyDescent="0.25">
      <c r="B144" s="22" t="str" cm="1">
        <f t="array" aca="1" ref="B144" ca="1">IFERROR(INDIRECT("List"&amp;"!"&amp;ADDRESS(MATCH($A144,List!$B:$B,0),MATCH($B$1,List!$1:$1,0),4)),"")</f>
        <v/>
      </c>
      <c r="C144" s="22" t="str" cm="1">
        <f t="array" aca="1" ref="C144" ca="1">IFERROR(INDIRECT("List"&amp;"!"&amp;ADDRESS(MATCH($A144,List!$B:$B,0),MATCH($C$1,List!$1:$1,0),4)),"")</f>
        <v/>
      </c>
      <c r="D144" s="22" t="str" cm="1">
        <f t="array" aca="1" ref="D144" ca="1">IFERROR(INDIRECT("List"&amp;"!"&amp;ADDRESS(MATCH($A144,List!$B:$B,0),MATCH($D$1,List!$1:$1,0),4)),"")</f>
        <v/>
      </c>
      <c r="E144" s="22" t="str" cm="1">
        <f t="array" aca="1" ref="E144" ca="1">IFERROR(INDIRECT("List"&amp;"!"&amp;ADDRESS(MATCH($A144,List!$B:$B,0),MATCH($E$1,List!$1:$1,0),4)),"")</f>
        <v/>
      </c>
      <c r="F144" s="27" t="str" cm="1">
        <f t="array" aca="1" ref="F144" ca="1">IFERROR(INDIRECT("List"&amp;"!"&amp;ADDRESS(MATCH($A144,List!$B:$B,0),MATCH($F$1,List!$1:$1,0),4)),"")</f>
        <v/>
      </c>
      <c r="G144" s="31" t="str" cm="1">
        <f t="array" aca="1" ref="G144" ca="1">IFERROR(INDIRECT("Data"&amp;"!"&amp;ADDRESS(MATCH($G$1,Data!$A$1:$A$20,0),MATCH($A144,Data!$2:$2,0)+3,4)),"")</f>
        <v/>
      </c>
      <c r="H144" s="31" t="str" cm="1">
        <f t="array" aca="1" ref="H144" ca="1">IFERROR(INDIRECT("Data"&amp;"!"&amp;ADDRESS(MATCH($G$1,Data!$A$1:$A$20,0),MATCH($A144,Data!$2:$2,0),4)),"")</f>
        <v/>
      </c>
      <c r="I144" s="31" t="str" cm="1">
        <f t="array" aca="1" ref="I144" ca="1">IFERROR(INDIRECT("Data"&amp;"!"&amp;ADDRESS(MATCH($G$1,Data!$A$1:$A$20,0),MATCH($A144,Data!$2:$2,0)+1,4)),"")</f>
        <v/>
      </c>
      <c r="J144" s="31" t="str" cm="1">
        <f t="array" aca="1" ref="J144" ca="1">IFERROR(INDIRECT("Data"&amp;"!"&amp;ADDRESS(MATCH($G$1,Data!$A$1:$A$20,0),MATCH($A144,Data!$2:$2,0)+2,4)),"")</f>
        <v/>
      </c>
      <c r="K144" s="34" t="str" cm="1">
        <f t="array" aca="1" ref="K144" ca="1">IFERROR(INDIRECT("Data"&amp;"!"&amp;ADDRESS(MATCH($K$1,Data!$A$1:$A$20,0),MATCH($A144,Data!$2:$2,0)+2,4)),"")</f>
        <v/>
      </c>
    </row>
    <row r="145" spans="2:11" x14ac:dyDescent="0.25">
      <c r="B145" s="22" t="str" cm="1">
        <f t="array" aca="1" ref="B145" ca="1">IFERROR(INDIRECT("List"&amp;"!"&amp;ADDRESS(MATCH($A145,List!$B:$B,0),MATCH($B$1,List!$1:$1,0),4)),"")</f>
        <v/>
      </c>
      <c r="C145" s="22" t="str" cm="1">
        <f t="array" aca="1" ref="C145" ca="1">IFERROR(INDIRECT("List"&amp;"!"&amp;ADDRESS(MATCH($A145,List!$B:$B,0),MATCH($C$1,List!$1:$1,0),4)),"")</f>
        <v/>
      </c>
      <c r="D145" s="22" t="str" cm="1">
        <f t="array" aca="1" ref="D145" ca="1">IFERROR(INDIRECT("List"&amp;"!"&amp;ADDRESS(MATCH($A145,List!$B:$B,0),MATCH($D$1,List!$1:$1,0),4)),"")</f>
        <v/>
      </c>
      <c r="E145" s="22" t="str" cm="1">
        <f t="array" aca="1" ref="E145" ca="1">IFERROR(INDIRECT("List"&amp;"!"&amp;ADDRESS(MATCH($A145,List!$B:$B,0),MATCH($E$1,List!$1:$1,0),4)),"")</f>
        <v/>
      </c>
      <c r="F145" s="27" t="str" cm="1">
        <f t="array" aca="1" ref="F145" ca="1">IFERROR(INDIRECT("List"&amp;"!"&amp;ADDRESS(MATCH($A145,List!$B:$B,0),MATCH($F$1,List!$1:$1,0),4)),"")</f>
        <v/>
      </c>
      <c r="G145" s="31" t="str" cm="1">
        <f t="array" aca="1" ref="G145" ca="1">IFERROR(INDIRECT("Data"&amp;"!"&amp;ADDRESS(MATCH($G$1,Data!$A$1:$A$20,0),MATCH($A145,Data!$2:$2,0)+3,4)),"")</f>
        <v/>
      </c>
      <c r="H145" s="31" t="str" cm="1">
        <f t="array" aca="1" ref="H145" ca="1">IFERROR(INDIRECT("Data"&amp;"!"&amp;ADDRESS(MATCH($G$1,Data!$A$1:$A$20,0),MATCH($A145,Data!$2:$2,0),4)),"")</f>
        <v/>
      </c>
      <c r="I145" s="31" t="str" cm="1">
        <f t="array" aca="1" ref="I145" ca="1">IFERROR(INDIRECT("Data"&amp;"!"&amp;ADDRESS(MATCH($G$1,Data!$A$1:$A$20,0),MATCH($A145,Data!$2:$2,0)+1,4)),"")</f>
        <v/>
      </c>
      <c r="J145" s="31" t="str" cm="1">
        <f t="array" aca="1" ref="J145" ca="1">IFERROR(INDIRECT("Data"&amp;"!"&amp;ADDRESS(MATCH($G$1,Data!$A$1:$A$20,0),MATCH($A145,Data!$2:$2,0)+2,4)),"")</f>
        <v/>
      </c>
      <c r="K145" s="34" t="str" cm="1">
        <f t="array" aca="1" ref="K145" ca="1">IFERROR(INDIRECT("Data"&amp;"!"&amp;ADDRESS(MATCH($K$1,Data!$A$1:$A$20,0),MATCH($A145,Data!$2:$2,0)+2,4)),"")</f>
        <v/>
      </c>
    </row>
    <row r="146" spans="2:11" x14ac:dyDescent="0.25">
      <c r="B146" s="22" t="str" cm="1">
        <f t="array" aca="1" ref="B146" ca="1">IFERROR(INDIRECT("List"&amp;"!"&amp;ADDRESS(MATCH($A146,List!$B:$B,0),MATCH($B$1,List!$1:$1,0),4)),"")</f>
        <v/>
      </c>
      <c r="C146" s="22" t="str" cm="1">
        <f t="array" aca="1" ref="C146" ca="1">IFERROR(INDIRECT("List"&amp;"!"&amp;ADDRESS(MATCH($A146,List!$B:$B,0),MATCH($C$1,List!$1:$1,0),4)),"")</f>
        <v/>
      </c>
      <c r="D146" s="22" t="str" cm="1">
        <f t="array" aca="1" ref="D146" ca="1">IFERROR(INDIRECT("List"&amp;"!"&amp;ADDRESS(MATCH($A146,List!$B:$B,0),MATCH($D$1,List!$1:$1,0),4)),"")</f>
        <v/>
      </c>
      <c r="E146" s="22" t="str" cm="1">
        <f t="array" aca="1" ref="E146" ca="1">IFERROR(INDIRECT("List"&amp;"!"&amp;ADDRESS(MATCH($A146,List!$B:$B,0),MATCH($E$1,List!$1:$1,0),4)),"")</f>
        <v/>
      </c>
      <c r="F146" s="27" t="str" cm="1">
        <f t="array" aca="1" ref="F146" ca="1">IFERROR(INDIRECT("List"&amp;"!"&amp;ADDRESS(MATCH($A146,List!$B:$B,0),MATCH($F$1,List!$1:$1,0),4)),"")</f>
        <v/>
      </c>
      <c r="G146" s="31" t="str" cm="1">
        <f t="array" aca="1" ref="G146" ca="1">IFERROR(INDIRECT("Data"&amp;"!"&amp;ADDRESS(MATCH($G$1,Data!$A$1:$A$20,0),MATCH($A146,Data!$2:$2,0)+3,4)),"")</f>
        <v/>
      </c>
      <c r="H146" s="31" t="str" cm="1">
        <f t="array" aca="1" ref="H146" ca="1">IFERROR(INDIRECT("Data"&amp;"!"&amp;ADDRESS(MATCH($G$1,Data!$A$1:$A$20,0),MATCH($A146,Data!$2:$2,0),4)),"")</f>
        <v/>
      </c>
      <c r="I146" s="31" t="str" cm="1">
        <f t="array" aca="1" ref="I146" ca="1">IFERROR(INDIRECT("Data"&amp;"!"&amp;ADDRESS(MATCH($G$1,Data!$A$1:$A$20,0),MATCH($A146,Data!$2:$2,0)+1,4)),"")</f>
        <v/>
      </c>
      <c r="J146" s="31" t="str" cm="1">
        <f t="array" aca="1" ref="J146" ca="1">IFERROR(INDIRECT("Data"&amp;"!"&amp;ADDRESS(MATCH($G$1,Data!$A$1:$A$20,0),MATCH($A146,Data!$2:$2,0)+2,4)),"")</f>
        <v/>
      </c>
      <c r="K146" s="34" t="str" cm="1">
        <f t="array" aca="1" ref="K146" ca="1">IFERROR(INDIRECT("Data"&amp;"!"&amp;ADDRESS(MATCH($K$1,Data!$A$1:$A$20,0),MATCH($A146,Data!$2:$2,0)+2,4)),"")</f>
        <v/>
      </c>
    </row>
    <row r="147" spans="2:11" x14ac:dyDescent="0.25">
      <c r="B147" s="22" t="str" cm="1">
        <f t="array" aca="1" ref="B147" ca="1">IFERROR(INDIRECT("List"&amp;"!"&amp;ADDRESS(MATCH($A147,List!$B:$B,0),MATCH($B$1,List!$1:$1,0),4)),"")</f>
        <v/>
      </c>
      <c r="C147" s="22" t="str" cm="1">
        <f t="array" aca="1" ref="C147" ca="1">IFERROR(INDIRECT("List"&amp;"!"&amp;ADDRESS(MATCH($A147,List!$B:$B,0),MATCH($C$1,List!$1:$1,0),4)),"")</f>
        <v/>
      </c>
      <c r="D147" s="22" t="str" cm="1">
        <f t="array" aca="1" ref="D147" ca="1">IFERROR(INDIRECT("List"&amp;"!"&amp;ADDRESS(MATCH($A147,List!$B:$B,0),MATCH($D$1,List!$1:$1,0),4)),"")</f>
        <v/>
      </c>
      <c r="E147" s="22" t="str" cm="1">
        <f t="array" aca="1" ref="E147" ca="1">IFERROR(INDIRECT("List"&amp;"!"&amp;ADDRESS(MATCH($A147,List!$B:$B,0),MATCH($E$1,List!$1:$1,0),4)),"")</f>
        <v/>
      </c>
      <c r="F147" s="27" t="str" cm="1">
        <f t="array" aca="1" ref="F147" ca="1">IFERROR(INDIRECT("List"&amp;"!"&amp;ADDRESS(MATCH($A147,List!$B:$B,0),MATCH($F$1,List!$1:$1,0),4)),"")</f>
        <v/>
      </c>
      <c r="G147" s="31" t="str" cm="1">
        <f t="array" aca="1" ref="G147" ca="1">IFERROR(INDIRECT("Data"&amp;"!"&amp;ADDRESS(MATCH($G$1,Data!$A$1:$A$20,0),MATCH($A147,Data!$2:$2,0)+3,4)),"")</f>
        <v/>
      </c>
      <c r="H147" s="31" t="str" cm="1">
        <f t="array" aca="1" ref="H147" ca="1">IFERROR(INDIRECT("Data"&amp;"!"&amp;ADDRESS(MATCH($G$1,Data!$A$1:$A$20,0),MATCH($A147,Data!$2:$2,0),4)),"")</f>
        <v/>
      </c>
      <c r="I147" s="31" t="str" cm="1">
        <f t="array" aca="1" ref="I147" ca="1">IFERROR(INDIRECT("Data"&amp;"!"&amp;ADDRESS(MATCH($G$1,Data!$A$1:$A$20,0),MATCH($A147,Data!$2:$2,0)+1,4)),"")</f>
        <v/>
      </c>
      <c r="J147" s="31" t="str" cm="1">
        <f t="array" aca="1" ref="J147" ca="1">IFERROR(INDIRECT("Data"&amp;"!"&amp;ADDRESS(MATCH($G$1,Data!$A$1:$A$20,0),MATCH($A147,Data!$2:$2,0)+2,4)),"")</f>
        <v/>
      </c>
      <c r="K147" s="34" t="str" cm="1">
        <f t="array" aca="1" ref="K147" ca="1">IFERROR(INDIRECT("Data"&amp;"!"&amp;ADDRESS(MATCH($K$1,Data!$A$1:$A$20,0),MATCH($A147,Data!$2:$2,0)+2,4)),"")</f>
        <v/>
      </c>
    </row>
    <row r="148" spans="2:11" x14ac:dyDescent="0.25">
      <c r="B148" s="22" t="str" cm="1">
        <f t="array" aca="1" ref="B148" ca="1">IFERROR(INDIRECT("List"&amp;"!"&amp;ADDRESS(MATCH($A148,List!$B:$B,0),MATCH($B$1,List!$1:$1,0),4)),"")</f>
        <v/>
      </c>
      <c r="C148" s="22" t="str" cm="1">
        <f t="array" aca="1" ref="C148" ca="1">IFERROR(INDIRECT("List"&amp;"!"&amp;ADDRESS(MATCH($A148,List!$B:$B,0),MATCH($C$1,List!$1:$1,0),4)),"")</f>
        <v/>
      </c>
      <c r="D148" s="22" t="str" cm="1">
        <f t="array" aca="1" ref="D148" ca="1">IFERROR(INDIRECT("List"&amp;"!"&amp;ADDRESS(MATCH($A148,List!$B:$B,0),MATCH($D$1,List!$1:$1,0),4)),"")</f>
        <v/>
      </c>
      <c r="E148" s="22" t="str" cm="1">
        <f t="array" aca="1" ref="E148" ca="1">IFERROR(INDIRECT("List"&amp;"!"&amp;ADDRESS(MATCH($A148,List!$B:$B,0),MATCH($E$1,List!$1:$1,0),4)),"")</f>
        <v/>
      </c>
      <c r="F148" s="27" t="str" cm="1">
        <f t="array" aca="1" ref="F148" ca="1">IFERROR(INDIRECT("List"&amp;"!"&amp;ADDRESS(MATCH($A148,List!$B:$B,0),MATCH($F$1,List!$1:$1,0),4)),"")</f>
        <v/>
      </c>
      <c r="G148" s="31" t="str" cm="1">
        <f t="array" aca="1" ref="G148" ca="1">IFERROR(INDIRECT("Data"&amp;"!"&amp;ADDRESS(MATCH($G$1,Data!$A$1:$A$20,0),MATCH($A148,Data!$2:$2,0)+3,4)),"")</f>
        <v/>
      </c>
      <c r="H148" s="31" t="str" cm="1">
        <f t="array" aca="1" ref="H148" ca="1">IFERROR(INDIRECT("Data"&amp;"!"&amp;ADDRESS(MATCH($G$1,Data!$A$1:$A$20,0),MATCH($A148,Data!$2:$2,0),4)),"")</f>
        <v/>
      </c>
      <c r="I148" s="31" t="str" cm="1">
        <f t="array" aca="1" ref="I148" ca="1">IFERROR(INDIRECT("Data"&amp;"!"&amp;ADDRESS(MATCH($G$1,Data!$A$1:$A$20,0),MATCH($A148,Data!$2:$2,0)+1,4)),"")</f>
        <v/>
      </c>
      <c r="J148" s="31" t="str" cm="1">
        <f t="array" aca="1" ref="J148" ca="1">IFERROR(INDIRECT("Data"&amp;"!"&amp;ADDRESS(MATCH($G$1,Data!$A$1:$A$20,0),MATCH($A148,Data!$2:$2,0)+2,4)),"")</f>
        <v/>
      </c>
      <c r="K148" s="34" t="str" cm="1">
        <f t="array" aca="1" ref="K148" ca="1">IFERROR(INDIRECT("Data"&amp;"!"&amp;ADDRESS(MATCH($K$1,Data!$A$1:$A$20,0),MATCH($A148,Data!$2:$2,0)+2,4)),"")</f>
        <v/>
      </c>
    </row>
    <row r="149" spans="2:11" x14ac:dyDescent="0.25">
      <c r="B149" s="22" t="str" cm="1">
        <f t="array" aca="1" ref="B149" ca="1">IFERROR(INDIRECT("List"&amp;"!"&amp;ADDRESS(MATCH($A149,List!$B:$B,0),MATCH($B$1,List!$1:$1,0),4)),"")</f>
        <v/>
      </c>
      <c r="C149" s="22" t="str" cm="1">
        <f t="array" aca="1" ref="C149" ca="1">IFERROR(INDIRECT("List"&amp;"!"&amp;ADDRESS(MATCH($A149,List!$B:$B,0),MATCH($C$1,List!$1:$1,0),4)),"")</f>
        <v/>
      </c>
      <c r="D149" s="22" t="str" cm="1">
        <f t="array" aca="1" ref="D149" ca="1">IFERROR(INDIRECT("List"&amp;"!"&amp;ADDRESS(MATCH($A149,List!$B:$B,0),MATCH($D$1,List!$1:$1,0),4)),"")</f>
        <v/>
      </c>
      <c r="E149" s="22" t="str" cm="1">
        <f t="array" aca="1" ref="E149" ca="1">IFERROR(INDIRECT("List"&amp;"!"&amp;ADDRESS(MATCH($A149,List!$B:$B,0),MATCH($E$1,List!$1:$1,0),4)),"")</f>
        <v/>
      </c>
      <c r="F149" s="27" t="str" cm="1">
        <f t="array" aca="1" ref="F149" ca="1">IFERROR(INDIRECT("List"&amp;"!"&amp;ADDRESS(MATCH($A149,List!$B:$B,0),MATCH($F$1,List!$1:$1,0),4)),"")</f>
        <v/>
      </c>
      <c r="G149" s="31" t="str" cm="1">
        <f t="array" aca="1" ref="G149" ca="1">IFERROR(INDIRECT("Data"&amp;"!"&amp;ADDRESS(MATCH($G$1,Data!$A$1:$A$20,0),MATCH($A149,Data!$2:$2,0)+3,4)),"")</f>
        <v/>
      </c>
      <c r="H149" s="31" t="str" cm="1">
        <f t="array" aca="1" ref="H149" ca="1">IFERROR(INDIRECT("Data"&amp;"!"&amp;ADDRESS(MATCH($G$1,Data!$A$1:$A$20,0),MATCH($A149,Data!$2:$2,0),4)),"")</f>
        <v/>
      </c>
      <c r="I149" s="31" t="str" cm="1">
        <f t="array" aca="1" ref="I149" ca="1">IFERROR(INDIRECT("Data"&amp;"!"&amp;ADDRESS(MATCH($G$1,Data!$A$1:$A$20,0),MATCH($A149,Data!$2:$2,0)+1,4)),"")</f>
        <v/>
      </c>
      <c r="J149" s="31" t="str" cm="1">
        <f t="array" aca="1" ref="J149" ca="1">IFERROR(INDIRECT("Data"&amp;"!"&amp;ADDRESS(MATCH($G$1,Data!$A$1:$A$20,0),MATCH($A149,Data!$2:$2,0)+2,4)),"")</f>
        <v/>
      </c>
      <c r="K149" s="34" t="str" cm="1">
        <f t="array" aca="1" ref="K149" ca="1">IFERROR(INDIRECT("Data"&amp;"!"&amp;ADDRESS(MATCH($K$1,Data!$A$1:$A$20,0),MATCH($A149,Data!$2:$2,0)+2,4)),"")</f>
        <v/>
      </c>
    </row>
    <row r="150" spans="2:11" x14ac:dyDescent="0.25">
      <c r="B150" s="22" t="str" cm="1">
        <f t="array" aca="1" ref="B150" ca="1">IFERROR(INDIRECT("List"&amp;"!"&amp;ADDRESS(MATCH($A150,List!$B:$B,0),MATCH($B$1,List!$1:$1,0),4)),"")</f>
        <v/>
      </c>
      <c r="C150" s="22" t="str" cm="1">
        <f t="array" aca="1" ref="C150" ca="1">IFERROR(INDIRECT("List"&amp;"!"&amp;ADDRESS(MATCH($A150,List!$B:$B,0),MATCH($C$1,List!$1:$1,0),4)),"")</f>
        <v/>
      </c>
      <c r="D150" s="22" t="str" cm="1">
        <f t="array" aca="1" ref="D150" ca="1">IFERROR(INDIRECT("List"&amp;"!"&amp;ADDRESS(MATCH($A150,List!$B:$B,0),MATCH($D$1,List!$1:$1,0),4)),"")</f>
        <v/>
      </c>
      <c r="E150" s="22" t="str" cm="1">
        <f t="array" aca="1" ref="E150" ca="1">IFERROR(INDIRECT("List"&amp;"!"&amp;ADDRESS(MATCH($A150,List!$B:$B,0),MATCH($E$1,List!$1:$1,0),4)),"")</f>
        <v/>
      </c>
      <c r="F150" s="27" t="str" cm="1">
        <f t="array" aca="1" ref="F150" ca="1">IFERROR(INDIRECT("List"&amp;"!"&amp;ADDRESS(MATCH($A150,List!$B:$B,0),MATCH($F$1,List!$1:$1,0),4)),"")</f>
        <v/>
      </c>
      <c r="G150" s="31" t="str" cm="1">
        <f t="array" aca="1" ref="G150" ca="1">IFERROR(INDIRECT("Data"&amp;"!"&amp;ADDRESS(MATCH($G$1,Data!$A$1:$A$20,0),MATCH($A150,Data!$2:$2,0)+3,4)),"")</f>
        <v/>
      </c>
      <c r="H150" s="31" t="str" cm="1">
        <f t="array" aca="1" ref="H150" ca="1">IFERROR(INDIRECT("Data"&amp;"!"&amp;ADDRESS(MATCH($G$1,Data!$A$1:$A$20,0),MATCH($A150,Data!$2:$2,0),4)),"")</f>
        <v/>
      </c>
      <c r="I150" s="31" t="str" cm="1">
        <f t="array" aca="1" ref="I150" ca="1">IFERROR(INDIRECT("Data"&amp;"!"&amp;ADDRESS(MATCH($G$1,Data!$A$1:$A$20,0),MATCH($A150,Data!$2:$2,0)+1,4)),"")</f>
        <v/>
      </c>
      <c r="J150" s="31" t="str" cm="1">
        <f t="array" aca="1" ref="J150" ca="1">IFERROR(INDIRECT("Data"&amp;"!"&amp;ADDRESS(MATCH($G$1,Data!$A$1:$A$20,0),MATCH($A150,Data!$2:$2,0)+2,4)),"")</f>
        <v/>
      </c>
      <c r="K150" s="34" t="str" cm="1">
        <f t="array" aca="1" ref="K150" ca="1">IFERROR(INDIRECT("Data"&amp;"!"&amp;ADDRESS(MATCH($K$1,Data!$A$1:$A$20,0),MATCH($A150,Data!$2:$2,0)+2,4)),"")</f>
        <v/>
      </c>
    </row>
    <row r="151" spans="2:11" x14ac:dyDescent="0.25">
      <c r="B151" s="22" t="str" cm="1">
        <f t="array" aca="1" ref="B151" ca="1">IFERROR(INDIRECT("List"&amp;"!"&amp;ADDRESS(MATCH($A151,List!$B:$B,0),MATCH($B$1,List!$1:$1,0),4)),"")</f>
        <v/>
      </c>
      <c r="C151" s="22" t="str" cm="1">
        <f t="array" aca="1" ref="C151" ca="1">IFERROR(INDIRECT("List"&amp;"!"&amp;ADDRESS(MATCH($A151,List!$B:$B,0),MATCH($C$1,List!$1:$1,0),4)),"")</f>
        <v/>
      </c>
      <c r="D151" s="22" t="str" cm="1">
        <f t="array" aca="1" ref="D151" ca="1">IFERROR(INDIRECT("List"&amp;"!"&amp;ADDRESS(MATCH($A151,List!$B:$B,0),MATCH($D$1,List!$1:$1,0),4)),"")</f>
        <v/>
      </c>
      <c r="E151" s="22" t="str" cm="1">
        <f t="array" aca="1" ref="E151" ca="1">IFERROR(INDIRECT("List"&amp;"!"&amp;ADDRESS(MATCH($A151,List!$B:$B,0),MATCH($E$1,List!$1:$1,0),4)),"")</f>
        <v/>
      </c>
      <c r="F151" s="27" t="str" cm="1">
        <f t="array" aca="1" ref="F151" ca="1">IFERROR(INDIRECT("List"&amp;"!"&amp;ADDRESS(MATCH($A151,List!$B:$B,0),MATCH($F$1,List!$1:$1,0),4)),"")</f>
        <v/>
      </c>
      <c r="G151" s="31" t="str" cm="1">
        <f t="array" aca="1" ref="G151" ca="1">IFERROR(INDIRECT("Data"&amp;"!"&amp;ADDRESS(MATCH($G$1,Data!$A$1:$A$20,0),MATCH($A151,Data!$2:$2,0)+3,4)),"")</f>
        <v/>
      </c>
      <c r="H151" s="31" t="str" cm="1">
        <f t="array" aca="1" ref="H151" ca="1">IFERROR(INDIRECT("Data"&amp;"!"&amp;ADDRESS(MATCH($G$1,Data!$A$1:$A$20,0),MATCH($A151,Data!$2:$2,0),4)),"")</f>
        <v/>
      </c>
      <c r="I151" s="31" t="str" cm="1">
        <f t="array" aca="1" ref="I151" ca="1">IFERROR(INDIRECT("Data"&amp;"!"&amp;ADDRESS(MATCH($G$1,Data!$A$1:$A$20,0),MATCH($A151,Data!$2:$2,0)+1,4)),"")</f>
        <v/>
      </c>
      <c r="J151" s="31" t="str" cm="1">
        <f t="array" aca="1" ref="J151" ca="1">IFERROR(INDIRECT("Data"&amp;"!"&amp;ADDRESS(MATCH($G$1,Data!$A$1:$A$20,0),MATCH($A151,Data!$2:$2,0)+2,4)),"")</f>
        <v/>
      </c>
      <c r="K151" s="34" t="str" cm="1">
        <f t="array" aca="1" ref="K151" ca="1">IFERROR(INDIRECT("Data"&amp;"!"&amp;ADDRESS(MATCH($K$1,Data!$A$1:$A$20,0),MATCH($A151,Data!$2:$2,0)+2,4)),"")</f>
        <v/>
      </c>
    </row>
    <row r="152" spans="2:11" x14ac:dyDescent="0.25">
      <c r="B152" s="22" t="str" cm="1">
        <f t="array" aca="1" ref="B152" ca="1">IFERROR(INDIRECT("List"&amp;"!"&amp;ADDRESS(MATCH($A152,List!$B:$B,0),MATCH($B$1,List!$1:$1,0),4)),"")</f>
        <v/>
      </c>
      <c r="C152" s="22" t="str" cm="1">
        <f t="array" aca="1" ref="C152" ca="1">IFERROR(INDIRECT("List"&amp;"!"&amp;ADDRESS(MATCH($A152,List!$B:$B,0),MATCH($C$1,List!$1:$1,0),4)),"")</f>
        <v/>
      </c>
      <c r="D152" s="22" t="str" cm="1">
        <f t="array" aca="1" ref="D152" ca="1">IFERROR(INDIRECT("List"&amp;"!"&amp;ADDRESS(MATCH($A152,List!$B:$B,0),MATCH($D$1,List!$1:$1,0),4)),"")</f>
        <v/>
      </c>
      <c r="E152" s="22" t="str" cm="1">
        <f t="array" aca="1" ref="E152" ca="1">IFERROR(INDIRECT("List"&amp;"!"&amp;ADDRESS(MATCH($A152,List!$B:$B,0),MATCH($E$1,List!$1:$1,0),4)),"")</f>
        <v/>
      </c>
      <c r="F152" s="27" t="str" cm="1">
        <f t="array" aca="1" ref="F152" ca="1">IFERROR(INDIRECT("List"&amp;"!"&amp;ADDRESS(MATCH($A152,List!$B:$B,0),MATCH($F$1,List!$1:$1,0),4)),"")</f>
        <v/>
      </c>
      <c r="G152" s="31" t="str" cm="1">
        <f t="array" aca="1" ref="G152" ca="1">IFERROR(INDIRECT("Data"&amp;"!"&amp;ADDRESS(MATCH($G$1,Data!$A$1:$A$20,0),MATCH($A152,Data!$2:$2,0)+3,4)),"")</f>
        <v/>
      </c>
      <c r="H152" s="31" t="str" cm="1">
        <f t="array" aca="1" ref="H152" ca="1">IFERROR(INDIRECT("Data"&amp;"!"&amp;ADDRESS(MATCH($G$1,Data!$A$1:$A$20,0),MATCH($A152,Data!$2:$2,0),4)),"")</f>
        <v/>
      </c>
      <c r="I152" s="31" t="str" cm="1">
        <f t="array" aca="1" ref="I152" ca="1">IFERROR(INDIRECT("Data"&amp;"!"&amp;ADDRESS(MATCH($G$1,Data!$A$1:$A$20,0),MATCH($A152,Data!$2:$2,0)+1,4)),"")</f>
        <v/>
      </c>
      <c r="J152" s="31" t="str" cm="1">
        <f t="array" aca="1" ref="J152" ca="1">IFERROR(INDIRECT("Data"&amp;"!"&amp;ADDRESS(MATCH($G$1,Data!$A$1:$A$20,0),MATCH($A152,Data!$2:$2,0)+2,4)),"")</f>
        <v/>
      </c>
      <c r="K152" s="34" t="str" cm="1">
        <f t="array" aca="1" ref="K152" ca="1">IFERROR(INDIRECT("Data"&amp;"!"&amp;ADDRESS(MATCH($K$1,Data!$A$1:$A$20,0),MATCH($A152,Data!$2:$2,0)+2,4)),"")</f>
        <v/>
      </c>
    </row>
    <row r="153" spans="2:11" x14ac:dyDescent="0.25">
      <c r="B153" s="22" t="str" cm="1">
        <f t="array" aca="1" ref="B153" ca="1">IFERROR(INDIRECT("List"&amp;"!"&amp;ADDRESS(MATCH($A153,List!$B:$B,0),MATCH($B$1,List!$1:$1,0),4)),"")</f>
        <v/>
      </c>
      <c r="C153" s="22" t="str" cm="1">
        <f t="array" aca="1" ref="C153" ca="1">IFERROR(INDIRECT("List"&amp;"!"&amp;ADDRESS(MATCH($A153,List!$B:$B,0),MATCH($C$1,List!$1:$1,0),4)),"")</f>
        <v/>
      </c>
      <c r="D153" s="22" t="str" cm="1">
        <f t="array" aca="1" ref="D153" ca="1">IFERROR(INDIRECT("List"&amp;"!"&amp;ADDRESS(MATCH($A153,List!$B:$B,0),MATCH($D$1,List!$1:$1,0),4)),"")</f>
        <v/>
      </c>
      <c r="E153" s="22" t="str" cm="1">
        <f t="array" aca="1" ref="E153" ca="1">IFERROR(INDIRECT("List"&amp;"!"&amp;ADDRESS(MATCH($A153,List!$B:$B,0),MATCH($E$1,List!$1:$1,0),4)),"")</f>
        <v/>
      </c>
      <c r="F153" s="27" t="str" cm="1">
        <f t="array" aca="1" ref="F153" ca="1">IFERROR(INDIRECT("List"&amp;"!"&amp;ADDRESS(MATCH($A153,List!$B:$B,0),MATCH($F$1,List!$1:$1,0),4)),"")</f>
        <v/>
      </c>
      <c r="G153" s="31" t="str" cm="1">
        <f t="array" aca="1" ref="G153" ca="1">IFERROR(INDIRECT("Data"&amp;"!"&amp;ADDRESS(MATCH($G$1,Data!$A$1:$A$20,0),MATCH($A153,Data!$2:$2,0)+3,4)),"")</f>
        <v/>
      </c>
      <c r="H153" s="31" t="str" cm="1">
        <f t="array" aca="1" ref="H153" ca="1">IFERROR(INDIRECT("Data"&amp;"!"&amp;ADDRESS(MATCH($G$1,Data!$A$1:$A$20,0),MATCH($A153,Data!$2:$2,0),4)),"")</f>
        <v/>
      </c>
      <c r="I153" s="31" t="str" cm="1">
        <f t="array" aca="1" ref="I153" ca="1">IFERROR(INDIRECT("Data"&amp;"!"&amp;ADDRESS(MATCH($G$1,Data!$A$1:$A$20,0),MATCH($A153,Data!$2:$2,0)+1,4)),"")</f>
        <v/>
      </c>
      <c r="J153" s="31" t="str" cm="1">
        <f t="array" aca="1" ref="J153" ca="1">IFERROR(INDIRECT("Data"&amp;"!"&amp;ADDRESS(MATCH($G$1,Data!$A$1:$A$20,0),MATCH($A153,Data!$2:$2,0)+2,4)),"")</f>
        <v/>
      </c>
      <c r="K153" s="34" t="str" cm="1">
        <f t="array" aca="1" ref="K153" ca="1">IFERROR(INDIRECT("Data"&amp;"!"&amp;ADDRESS(MATCH($K$1,Data!$A$1:$A$20,0),MATCH($A153,Data!$2:$2,0)+2,4)),"")</f>
        <v/>
      </c>
    </row>
    <row r="154" spans="2:11" x14ac:dyDescent="0.25">
      <c r="B154" s="22" t="str" cm="1">
        <f t="array" aca="1" ref="B154" ca="1">IFERROR(INDIRECT("List"&amp;"!"&amp;ADDRESS(MATCH($A154,List!$B:$B,0),MATCH($B$1,List!$1:$1,0),4)),"")</f>
        <v/>
      </c>
      <c r="C154" s="22" t="str" cm="1">
        <f t="array" aca="1" ref="C154" ca="1">IFERROR(INDIRECT("List"&amp;"!"&amp;ADDRESS(MATCH($A154,List!$B:$B,0),MATCH($C$1,List!$1:$1,0),4)),"")</f>
        <v/>
      </c>
      <c r="D154" s="22" t="str" cm="1">
        <f t="array" aca="1" ref="D154" ca="1">IFERROR(INDIRECT("List"&amp;"!"&amp;ADDRESS(MATCH($A154,List!$B:$B,0),MATCH($D$1,List!$1:$1,0),4)),"")</f>
        <v/>
      </c>
      <c r="E154" s="22" t="str" cm="1">
        <f t="array" aca="1" ref="E154" ca="1">IFERROR(INDIRECT("List"&amp;"!"&amp;ADDRESS(MATCH($A154,List!$B:$B,0),MATCH($E$1,List!$1:$1,0),4)),"")</f>
        <v/>
      </c>
      <c r="F154" s="27" t="str" cm="1">
        <f t="array" aca="1" ref="F154" ca="1">IFERROR(INDIRECT("List"&amp;"!"&amp;ADDRESS(MATCH($A154,List!$B:$B,0),MATCH($F$1,List!$1:$1,0),4)),"")</f>
        <v/>
      </c>
      <c r="G154" s="31" t="str" cm="1">
        <f t="array" aca="1" ref="G154" ca="1">IFERROR(INDIRECT("Data"&amp;"!"&amp;ADDRESS(MATCH($G$1,Data!$A$1:$A$20,0),MATCH($A154,Data!$2:$2,0)+3,4)),"")</f>
        <v/>
      </c>
      <c r="H154" s="31" t="str" cm="1">
        <f t="array" aca="1" ref="H154" ca="1">IFERROR(INDIRECT("Data"&amp;"!"&amp;ADDRESS(MATCH($G$1,Data!$A$1:$A$20,0),MATCH($A154,Data!$2:$2,0),4)),"")</f>
        <v/>
      </c>
      <c r="I154" s="31" t="str" cm="1">
        <f t="array" aca="1" ref="I154" ca="1">IFERROR(INDIRECT("Data"&amp;"!"&amp;ADDRESS(MATCH($G$1,Data!$A$1:$A$20,0),MATCH($A154,Data!$2:$2,0)+1,4)),"")</f>
        <v/>
      </c>
      <c r="J154" s="31" t="str" cm="1">
        <f t="array" aca="1" ref="J154" ca="1">IFERROR(INDIRECT("Data"&amp;"!"&amp;ADDRESS(MATCH($G$1,Data!$A$1:$A$20,0),MATCH($A154,Data!$2:$2,0)+2,4)),"")</f>
        <v/>
      </c>
      <c r="K154" s="34" t="str" cm="1">
        <f t="array" aca="1" ref="K154" ca="1">IFERROR(INDIRECT("Data"&amp;"!"&amp;ADDRESS(MATCH($K$1,Data!$A$1:$A$20,0),MATCH($A154,Data!$2:$2,0)+2,4)),"")</f>
        <v/>
      </c>
    </row>
    <row r="155" spans="2:11" x14ac:dyDescent="0.25">
      <c r="B155" s="22" t="str" cm="1">
        <f t="array" aca="1" ref="B155" ca="1">IFERROR(INDIRECT("List"&amp;"!"&amp;ADDRESS(MATCH($A155,List!$B:$B,0),MATCH($B$1,List!$1:$1,0),4)),"")</f>
        <v/>
      </c>
      <c r="C155" s="22" t="str" cm="1">
        <f t="array" aca="1" ref="C155" ca="1">IFERROR(INDIRECT("List"&amp;"!"&amp;ADDRESS(MATCH($A155,List!$B:$B,0),MATCH($C$1,List!$1:$1,0),4)),"")</f>
        <v/>
      </c>
      <c r="D155" s="22" t="str" cm="1">
        <f t="array" aca="1" ref="D155" ca="1">IFERROR(INDIRECT("List"&amp;"!"&amp;ADDRESS(MATCH($A155,List!$B:$B,0),MATCH($D$1,List!$1:$1,0),4)),"")</f>
        <v/>
      </c>
      <c r="E155" s="22" t="str" cm="1">
        <f t="array" aca="1" ref="E155" ca="1">IFERROR(INDIRECT("List"&amp;"!"&amp;ADDRESS(MATCH($A155,List!$B:$B,0),MATCH($E$1,List!$1:$1,0),4)),"")</f>
        <v/>
      </c>
      <c r="F155" s="27" t="str" cm="1">
        <f t="array" aca="1" ref="F155" ca="1">IFERROR(INDIRECT("List"&amp;"!"&amp;ADDRESS(MATCH($A155,List!$B:$B,0),MATCH($F$1,List!$1:$1,0),4)),"")</f>
        <v/>
      </c>
      <c r="G155" s="31" t="str" cm="1">
        <f t="array" aca="1" ref="G155" ca="1">IFERROR(INDIRECT("Data"&amp;"!"&amp;ADDRESS(MATCH($G$1,Data!$A$1:$A$20,0),MATCH($A155,Data!$2:$2,0)+3,4)),"")</f>
        <v/>
      </c>
      <c r="H155" s="31" t="str" cm="1">
        <f t="array" aca="1" ref="H155" ca="1">IFERROR(INDIRECT("Data"&amp;"!"&amp;ADDRESS(MATCH($G$1,Data!$A$1:$A$20,0),MATCH($A155,Data!$2:$2,0),4)),"")</f>
        <v/>
      </c>
      <c r="I155" s="31" t="str" cm="1">
        <f t="array" aca="1" ref="I155" ca="1">IFERROR(INDIRECT("Data"&amp;"!"&amp;ADDRESS(MATCH($G$1,Data!$A$1:$A$20,0),MATCH($A155,Data!$2:$2,0)+1,4)),"")</f>
        <v/>
      </c>
      <c r="J155" s="31" t="str" cm="1">
        <f t="array" aca="1" ref="J155" ca="1">IFERROR(INDIRECT("Data"&amp;"!"&amp;ADDRESS(MATCH($G$1,Data!$A$1:$A$20,0),MATCH($A155,Data!$2:$2,0)+2,4)),"")</f>
        <v/>
      </c>
      <c r="K155" s="34" t="str" cm="1">
        <f t="array" aca="1" ref="K155" ca="1">IFERROR(INDIRECT("Data"&amp;"!"&amp;ADDRESS(MATCH($K$1,Data!$A$1:$A$20,0),MATCH($A155,Data!$2:$2,0)+2,4)),"")</f>
        <v/>
      </c>
    </row>
    <row r="156" spans="2:11" x14ac:dyDescent="0.25">
      <c r="B156" s="22" t="str" cm="1">
        <f t="array" aca="1" ref="B156" ca="1">IFERROR(INDIRECT("List"&amp;"!"&amp;ADDRESS(MATCH($A156,List!$B:$B,0),MATCH($B$1,List!$1:$1,0),4)),"")</f>
        <v/>
      </c>
      <c r="C156" s="22" t="str" cm="1">
        <f t="array" aca="1" ref="C156" ca="1">IFERROR(INDIRECT("List"&amp;"!"&amp;ADDRESS(MATCH($A156,List!$B:$B,0),MATCH($C$1,List!$1:$1,0),4)),"")</f>
        <v/>
      </c>
      <c r="D156" s="22" t="str" cm="1">
        <f t="array" aca="1" ref="D156" ca="1">IFERROR(INDIRECT("List"&amp;"!"&amp;ADDRESS(MATCH($A156,List!$B:$B,0),MATCH($D$1,List!$1:$1,0),4)),"")</f>
        <v/>
      </c>
      <c r="E156" s="22" t="str" cm="1">
        <f t="array" aca="1" ref="E156" ca="1">IFERROR(INDIRECT("List"&amp;"!"&amp;ADDRESS(MATCH($A156,List!$B:$B,0),MATCH($E$1,List!$1:$1,0),4)),"")</f>
        <v/>
      </c>
      <c r="F156" s="27" t="str" cm="1">
        <f t="array" aca="1" ref="F156" ca="1">IFERROR(INDIRECT("List"&amp;"!"&amp;ADDRESS(MATCH($A156,List!$B:$B,0),MATCH($F$1,List!$1:$1,0),4)),"")</f>
        <v/>
      </c>
      <c r="G156" s="31" t="str" cm="1">
        <f t="array" aca="1" ref="G156" ca="1">IFERROR(INDIRECT("Data"&amp;"!"&amp;ADDRESS(MATCH($G$1,Data!$A$1:$A$20,0),MATCH($A156,Data!$2:$2,0)+3,4)),"")</f>
        <v/>
      </c>
      <c r="H156" s="31" t="str" cm="1">
        <f t="array" aca="1" ref="H156" ca="1">IFERROR(INDIRECT("Data"&amp;"!"&amp;ADDRESS(MATCH($G$1,Data!$A$1:$A$20,0),MATCH($A156,Data!$2:$2,0),4)),"")</f>
        <v/>
      </c>
      <c r="I156" s="31" t="str" cm="1">
        <f t="array" aca="1" ref="I156" ca="1">IFERROR(INDIRECT("Data"&amp;"!"&amp;ADDRESS(MATCH($G$1,Data!$A$1:$A$20,0),MATCH($A156,Data!$2:$2,0)+1,4)),"")</f>
        <v/>
      </c>
      <c r="J156" s="31" t="str" cm="1">
        <f t="array" aca="1" ref="J156" ca="1">IFERROR(INDIRECT("Data"&amp;"!"&amp;ADDRESS(MATCH($G$1,Data!$A$1:$A$20,0),MATCH($A156,Data!$2:$2,0)+2,4)),"")</f>
        <v/>
      </c>
      <c r="K156" s="34" t="str" cm="1">
        <f t="array" aca="1" ref="K156" ca="1">IFERROR(INDIRECT("Data"&amp;"!"&amp;ADDRESS(MATCH($K$1,Data!$A$1:$A$20,0),MATCH($A156,Data!$2:$2,0)+2,4)),"")</f>
        <v/>
      </c>
    </row>
    <row r="157" spans="2:11" x14ac:dyDescent="0.25">
      <c r="B157" s="22" t="str" cm="1">
        <f t="array" aca="1" ref="B157" ca="1">IFERROR(INDIRECT("List"&amp;"!"&amp;ADDRESS(MATCH($A157,List!$B:$B,0),MATCH($B$1,List!$1:$1,0),4)),"")</f>
        <v/>
      </c>
      <c r="C157" s="22" t="str" cm="1">
        <f t="array" aca="1" ref="C157" ca="1">IFERROR(INDIRECT("List"&amp;"!"&amp;ADDRESS(MATCH($A157,List!$B:$B,0),MATCH($C$1,List!$1:$1,0),4)),"")</f>
        <v/>
      </c>
      <c r="D157" s="22" t="str" cm="1">
        <f t="array" aca="1" ref="D157" ca="1">IFERROR(INDIRECT("List"&amp;"!"&amp;ADDRESS(MATCH($A157,List!$B:$B,0),MATCH($D$1,List!$1:$1,0),4)),"")</f>
        <v/>
      </c>
      <c r="E157" s="22" t="str" cm="1">
        <f t="array" aca="1" ref="E157" ca="1">IFERROR(INDIRECT("List"&amp;"!"&amp;ADDRESS(MATCH($A157,List!$B:$B,0),MATCH($E$1,List!$1:$1,0),4)),"")</f>
        <v/>
      </c>
      <c r="F157" s="27" t="str" cm="1">
        <f t="array" aca="1" ref="F157" ca="1">IFERROR(INDIRECT("List"&amp;"!"&amp;ADDRESS(MATCH($A157,List!$B:$B,0),MATCH($F$1,List!$1:$1,0),4)),"")</f>
        <v/>
      </c>
      <c r="G157" s="31" t="str" cm="1">
        <f t="array" aca="1" ref="G157" ca="1">IFERROR(INDIRECT("Data"&amp;"!"&amp;ADDRESS(MATCH($G$1,Data!$A$1:$A$20,0),MATCH($A157,Data!$2:$2,0)+3,4)),"")</f>
        <v/>
      </c>
      <c r="H157" s="31" t="str" cm="1">
        <f t="array" aca="1" ref="H157" ca="1">IFERROR(INDIRECT("Data"&amp;"!"&amp;ADDRESS(MATCH($G$1,Data!$A$1:$A$20,0),MATCH($A157,Data!$2:$2,0),4)),"")</f>
        <v/>
      </c>
      <c r="I157" s="31" t="str" cm="1">
        <f t="array" aca="1" ref="I157" ca="1">IFERROR(INDIRECT("Data"&amp;"!"&amp;ADDRESS(MATCH($G$1,Data!$A$1:$A$20,0),MATCH($A157,Data!$2:$2,0)+1,4)),"")</f>
        <v/>
      </c>
      <c r="J157" s="31" t="str" cm="1">
        <f t="array" aca="1" ref="J157" ca="1">IFERROR(INDIRECT("Data"&amp;"!"&amp;ADDRESS(MATCH($G$1,Data!$A$1:$A$20,0),MATCH($A157,Data!$2:$2,0)+2,4)),"")</f>
        <v/>
      </c>
      <c r="K157" s="34" t="str" cm="1">
        <f t="array" aca="1" ref="K157" ca="1">IFERROR(INDIRECT("Data"&amp;"!"&amp;ADDRESS(MATCH($K$1,Data!$A$1:$A$20,0),MATCH($A157,Data!$2:$2,0)+2,4)),"")</f>
        <v/>
      </c>
    </row>
    <row r="158" spans="2:11" x14ac:dyDescent="0.25">
      <c r="B158" s="22" t="str" cm="1">
        <f t="array" aca="1" ref="B158" ca="1">IFERROR(INDIRECT("List"&amp;"!"&amp;ADDRESS(MATCH($A158,List!$B:$B,0),MATCH($B$1,List!$1:$1,0),4)),"")</f>
        <v/>
      </c>
      <c r="C158" s="22" t="str" cm="1">
        <f t="array" aca="1" ref="C158" ca="1">IFERROR(INDIRECT("List"&amp;"!"&amp;ADDRESS(MATCH($A158,List!$B:$B,0),MATCH($C$1,List!$1:$1,0),4)),"")</f>
        <v/>
      </c>
      <c r="D158" s="22" t="str" cm="1">
        <f t="array" aca="1" ref="D158" ca="1">IFERROR(INDIRECT("List"&amp;"!"&amp;ADDRESS(MATCH($A158,List!$B:$B,0),MATCH($D$1,List!$1:$1,0),4)),"")</f>
        <v/>
      </c>
      <c r="E158" s="22" t="str" cm="1">
        <f t="array" aca="1" ref="E158" ca="1">IFERROR(INDIRECT("List"&amp;"!"&amp;ADDRESS(MATCH($A158,List!$B:$B,0),MATCH($E$1,List!$1:$1,0),4)),"")</f>
        <v/>
      </c>
      <c r="F158" s="27" t="str" cm="1">
        <f t="array" aca="1" ref="F158" ca="1">IFERROR(INDIRECT("List"&amp;"!"&amp;ADDRESS(MATCH($A158,List!$B:$B,0),MATCH($F$1,List!$1:$1,0),4)),"")</f>
        <v/>
      </c>
      <c r="G158" s="31" t="str" cm="1">
        <f t="array" aca="1" ref="G158" ca="1">IFERROR(INDIRECT("Data"&amp;"!"&amp;ADDRESS(MATCH($G$1,Data!$A$1:$A$20,0),MATCH($A158,Data!$2:$2,0)+3,4)),"")</f>
        <v/>
      </c>
      <c r="H158" s="31" t="str" cm="1">
        <f t="array" aca="1" ref="H158" ca="1">IFERROR(INDIRECT("Data"&amp;"!"&amp;ADDRESS(MATCH($G$1,Data!$A$1:$A$20,0),MATCH($A158,Data!$2:$2,0),4)),"")</f>
        <v/>
      </c>
      <c r="I158" s="31" t="str" cm="1">
        <f t="array" aca="1" ref="I158" ca="1">IFERROR(INDIRECT("Data"&amp;"!"&amp;ADDRESS(MATCH($G$1,Data!$A$1:$A$20,0),MATCH($A158,Data!$2:$2,0)+1,4)),"")</f>
        <v/>
      </c>
      <c r="J158" s="31" t="str" cm="1">
        <f t="array" aca="1" ref="J158" ca="1">IFERROR(INDIRECT("Data"&amp;"!"&amp;ADDRESS(MATCH($G$1,Data!$A$1:$A$20,0),MATCH($A158,Data!$2:$2,0)+2,4)),"")</f>
        <v/>
      </c>
      <c r="K158" s="34" t="str" cm="1">
        <f t="array" aca="1" ref="K158" ca="1">IFERROR(INDIRECT("Data"&amp;"!"&amp;ADDRESS(MATCH($K$1,Data!$A$1:$A$20,0),MATCH($A158,Data!$2:$2,0)+2,4)),"")</f>
        <v/>
      </c>
    </row>
    <row r="159" spans="2:11" x14ac:dyDescent="0.25">
      <c r="B159" s="22" t="str" cm="1">
        <f t="array" aca="1" ref="B159" ca="1">IFERROR(INDIRECT("List"&amp;"!"&amp;ADDRESS(MATCH($A159,List!$B:$B,0),MATCH($B$1,List!$1:$1,0),4)),"")</f>
        <v/>
      </c>
      <c r="C159" s="22" t="str" cm="1">
        <f t="array" aca="1" ref="C159" ca="1">IFERROR(INDIRECT("List"&amp;"!"&amp;ADDRESS(MATCH($A159,List!$B:$B,0),MATCH($C$1,List!$1:$1,0),4)),"")</f>
        <v/>
      </c>
      <c r="D159" s="22" t="str" cm="1">
        <f t="array" aca="1" ref="D159" ca="1">IFERROR(INDIRECT("List"&amp;"!"&amp;ADDRESS(MATCH($A159,List!$B:$B,0),MATCH($D$1,List!$1:$1,0),4)),"")</f>
        <v/>
      </c>
      <c r="E159" s="22" t="str" cm="1">
        <f t="array" aca="1" ref="E159" ca="1">IFERROR(INDIRECT("List"&amp;"!"&amp;ADDRESS(MATCH($A159,List!$B:$B,0),MATCH($E$1,List!$1:$1,0),4)),"")</f>
        <v/>
      </c>
      <c r="F159" s="27" t="str" cm="1">
        <f t="array" aca="1" ref="F159" ca="1">IFERROR(INDIRECT("List"&amp;"!"&amp;ADDRESS(MATCH($A159,List!$B:$B,0),MATCH($F$1,List!$1:$1,0),4)),"")</f>
        <v/>
      </c>
      <c r="G159" s="31" t="str" cm="1">
        <f t="array" aca="1" ref="G159" ca="1">IFERROR(INDIRECT("Data"&amp;"!"&amp;ADDRESS(MATCH($G$1,Data!$A$1:$A$20,0),MATCH($A159,Data!$2:$2,0)+3,4)),"")</f>
        <v/>
      </c>
      <c r="H159" s="31" t="str" cm="1">
        <f t="array" aca="1" ref="H159" ca="1">IFERROR(INDIRECT("Data"&amp;"!"&amp;ADDRESS(MATCH($G$1,Data!$A$1:$A$20,0),MATCH($A159,Data!$2:$2,0),4)),"")</f>
        <v/>
      </c>
      <c r="I159" s="31" t="str" cm="1">
        <f t="array" aca="1" ref="I159" ca="1">IFERROR(INDIRECT("Data"&amp;"!"&amp;ADDRESS(MATCH($G$1,Data!$A$1:$A$20,0),MATCH($A159,Data!$2:$2,0)+1,4)),"")</f>
        <v/>
      </c>
      <c r="J159" s="31" t="str" cm="1">
        <f t="array" aca="1" ref="J159" ca="1">IFERROR(INDIRECT("Data"&amp;"!"&amp;ADDRESS(MATCH($G$1,Data!$A$1:$A$20,0),MATCH($A159,Data!$2:$2,0)+2,4)),"")</f>
        <v/>
      </c>
      <c r="K159" s="34" t="str" cm="1">
        <f t="array" aca="1" ref="K159" ca="1">IFERROR(INDIRECT("Data"&amp;"!"&amp;ADDRESS(MATCH($K$1,Data!$A$1:$A$20,0),MATCH($A159,Data!$2:$2,0)+2,4)),"")</f>
        <v/>
      </c>
    </row>
    <row r="160" spans="2:11" x14ac:dyDescent="0.25">
      <c r="B160" s="22" t="str" cm="1">
        <f t="array" aca="1" ref="B160" ca="1">IFERROR(INDIRECT("List"&amp;"!"&amp;ADDRESS(MATCH($A160,List!$B:$B,0),MATCH($B$1,List!$1:$1,0),4)),"")</f>
        <v/>
      </c>
      <c r="C160" s="22" t="str" cm="1">
        <f t="array" aca="1" ref="C160" ca="1">IFERROR(INDIRECT("List"&amp;"!"&amp;ADDRESS(MATCH($A160,List!$B:$B,0),MATCH($C$1,List!$1:$1,0),4)),"")</f>
        <v/>
      </c>
      <c r="D160" s="22" t="str" cm="1">
        <f t="array" aca="1" ref="D160" ca="1">IFERROR(INDIRECT("List"&amp;"!"&amp;ADDRESS(MATCH($A160,List!$B:$B,0),MATCH($D$1,List!$1:$1,0),4)),"")</f>
        <v/>
      </c>
      <c r="E160" s="22" t="str" cm="1">
        <f t="array" aca="1" ref="E160" ca="1">IFERROR(INDIRECT("List"&amp;"!"&amp;ADDRESS(MATCH($A160,List!$B:$B,0),MATCH($E$1,List!$1:$1,0),4)),"")</f>
        <v/>
      </c>
      <c r="F160" s="27" t="str" cm="1">
        <f t="array" aca="1" ref="F160" ca="1">IFERROR(INDIRECT("List"&amp;"!"&amp;ADDRESS(MATCH($A160,List!$B:$B,0),MATCH($F$1,List!$1:$1,0),4)),"")</f>
        <v/>
      </c>
      <c r="G160" s="31" t="str" cm="1">
        <f t="array" aca="1" ref="G160" ca="1">IFERROR(INDIRECT("Data"&amp;"!"&amp;ADDRESS(MATCH($G$1,Data!$A$1:$A$20,0),MATCH($A160,Data!$2:$2,0)+3,4)),"")</f>
        <v/>
      </c>
      <c r="H160" s="31" t="str" cm="1">
        <f t="array" aca="1" ref="H160" ca="1">IFERROR(INDIRECT("Data"&amp;"!"&amp;ADDRESS(MATCH($G$1,Data!$A$1:$A$20,0),MATCH($A160,Data!$2:$2,0),4)),"")</f>
        <v/>
      </c>
      <c r="I160" s="31" t="str" cm="1">
        <f t="array" aca="1" ref="I160" ca="1">IFERROR(INDIRECT("Data"&amp;"!"&amp;ADDRESS(MATCH($G$1,Data!$A$1:$A$20,0),MATCH($A160,Data!$2:$2,0)+1,4)),"")</f>
        <v/>
      </c>
      <c r="J160" s="31" t="str" cm="1">
        <f t="array" aca="1" ref="J160" ca="1">IFERROR(INDIRECT("Data"&amp;"!"&amp;ADDRESS(MATCH($G$1,Data!$A$1:$A$20,0),MATCH($A160,Data!$2:$2,0)+2,4)),"")</f>
        <v/>
      </c>
      <c r="K160" s="34" t="str" cm="1">
        <f t="array" aca="1" ref="K160" ca="1">IFERROR(INDIRECT("Data"&amp;"!"&amp;ADDRESS(MATCH($K$1,Data!$A$1:$A$20,0),MATCH($A160,Data!$2:$2,0)+2,4)),"")</f>
        <v/>
      </c>
    </row>
    <row r="161" spans="2:11" x14ac:dyDescent="0.25">
      <c r="B161" s="22" t="str" cm="1">
        <f t="array" aca="1" ref="B161" ca="1">IFERROR(INDIRECT("List"&amp;"!"&amp;ADDRESS(MATCH($A161,List!$B:$B,0),MATCH($B$1,List!$1:$1,0),4)),"")</f>
        <v/>
      </c>
      <c r="C161" s="22" t="str" cm="1">
        <f t="array" aca="1" ref="C161" ca="1">IFERROR(INDIRECT("List"&amp;"!"&amp;ADDRESS(MATCH($A161,List!$B:$B,0),MATCH($C$1,List!$1:$1,0),4)),"")</f>
        <v/>
      </c>
      <c r="D161" s="22" t="str" cm="1">
        <f t="array" aca="1" ref="D161" ca="1">IFERROR(INDIRECT("List"&amp;"!"&amp;ADDRESS(MATCH($A161,List!$B:$B,0),MATCH($D$1,List!$1:$1,0),4)),"")</f>
        <v/>
      </c>
      <c r="E161" s="22" t="str" cm="1">
        <f t="array" aca="1" ref="E161" ca="1">IFERROR(INDIRECT("List"&amp;"!"&amp;ADDRESS(MATCH($A161,List!$B:$B,0),MATCH($E$1,List!$1:$1,0),4)),"")</f>
        <v/>
      </c>
      <c r="F161" s="27" t="str" cm="1">
        <f t="array" aca="1" ref="F161" ca="1">IFERROR(INDIRECT("List"&amp;"!"&amp;ADDRESS(MATCH($A161,List!$B:$B,0),MATCH($F$1,List!$1:$1,0),4)),"")</f>
        <v/>
      </c>
      <c r="G161" s="31" t="str" cm="1">
        <f t="array" aca="1" ref="G161" ca="1">IFERROR(INDIRECT("Data"&amp;"!"&amp;ADDRESS(MATCH($G$1,Data!$A$1:$A$20,0),MATCH($A161,Data!$2:$2,0)+3,4)),"")</f>
        <v/>
      </c>
      <c r="H161" s="31" t="str" cm="1">
        <f t="array" aca="1" ref="H161" ca="1">IFERROR(INDIRECT("Data"&amp;"!"&amp;ADDRESS(MATCH($G$1,Data!$A$1:$A$20,0),MATCH($A161,Data!$2:$2,0),4)),"")</f>
        <v/>
      </c>
      <c r="I161" s="31" t="str" cm="1">
        <f t="array" aca="1" ref="I161" ca="1">IFERROR(INDIRECT("Data"&amp;"!"&amp;ADDRESS(MATCH($G$1,Data!$A$1:$A$20,0),MATCH($A161,Data!$2:$2,0)+1,4)),"")</f>
        <v/>
      </c>
      <c r="J161" s="31" t="str" cm="1">
        <f t="array" aca="1" ref="J161" ca="1">IFERROR(INDIRECT("Data"&amp;"!"&amp;ADDRESS(MATCH($G$1,Data!$A$1:$A$20,0),MATCH($A161,Data!$2:$2,0)+2,4)),"")</f>
        <v/>
      </c>
      <c r="K161" s="34" t="str" cm="1">
        <f t="array" aca="1" ref="K161" ca="1">IFERROR(INDIRECT("Data"&amp;"!"&amp;ADDRESS(MATCH($K$1,Data!$A$1:$A$20,0),MATCH($A161,Data!$2:$2,0)+2,4)),"")</f>
        <v/>
      </c>
    </row>
    <row r="162" spans="2:11" x14ac:dyDescent="0.25">
      <c r="B162" s="22" t="str" cm="1">
        <f t="array" aca="1" ref="B162" ca="1">IFERROR(INDIRECT("List"&amp;"!"&amp;ADDRESS(MATCH($A162,List!$B:$B,0),MATCH($B$1,List!$1:$1,0),4)),"")</f>
        <v/>
      </c>
      <c r="C162" s="22" t="str" cm="1">
        <f t="array" aca="1" ref="C162" ca="1">IFERROR(INDIRECT("List"&amp;"!"&amp;ADDRESS(MATCH($A162,List!$B:$B,0),MATCH($C$1,List!$1:$1,0),4)),"")</f>
        <v/>
      </c>
      <c r="D162" s="22" t="str" cm="1">
        <f t="array" aca="1" ref="D162" ca="1">IFERROR(INDIRECT("List"&amp;"!"&amp;ADDRESS(MATCH($A162,List!$B:$B,0),MATCH($D$1,List!$1:$1,0),4)),"")</f>
        <v/>
      </c>
      <c r="E162" s="22" t="str" cm="1">
        <f t="array" aca="1" ref="E162" ca="1">IFERROR(INDIRECT("List"&amp;"!"&amp;ADDRESS(MATCH($A162,List!$B:$B,0),MATCH($E$1,List!$1:$1,0),4)),"")</f>
        <v/>
      </c>
      <c r="F162" s="27" t="str" cm="1">
        <f t="array" aca="1" ref="F162" ca="1">IFERROR(INDIRECT("List"&amp;"!"&amp;ADDRESS(MATCH($A162,List!$B:$B,0),MATCH($F$1,List!$1:$1,0),4)),"")</f>
        <v/>
      </c>
      <c r="G162" s="31" t="str" cm="1">
        <f t="array" aca="1" ref="G162" ca="1">IFERROR(INDIRECT("Data"&amp;"!"&amp;ADDRESS(MATCH($G$1,Data!$A$1:$A$20,0),MATCH($A162,Data!$2:$2,0)+3,4)),"")</f>
        <v/>
      </c>
      <c r="H162" s="31" t="str" cm="1">
        <f t="array" aca="1" ref="H162" ca="1">IFERROR(INDIRECT("Data"&amp;"!"&amp;ADDRESS(MATCH($G$1,Data!$A$1:$A$20,0),MATCH($A162,Data!$2:$2,0),4)),"")</f>
        <v/>
      </c>
      <c r="I162" s="31" t="str" cm="1">
        <f t="array" aca="1" ref="I162" ca="1">IFERROR(INDIRECT("Data"&amp;"!"&amp;ADDRESS(MATCH($G$1,Data!$A$1:$A$20,0),MATCH($A162,Data!$2:$2,0)+1,4)),"")</f>
        <v/>
      </c>
      <c r="J162" s="31" t="str" cm="1">
        <f t="array" aca="1" ref="J162" ca="1">IFERROR(INDIRECT("Data"&amp;"!"&amp;ADDRESS(MATCH($G$1,Data!$A$1:$A$20,0),MATCH($A162,Data!$2:$2,0)+2,4)),"")</f>
        <v/>
      </c>
      <c r="K162" s="34" t="str" cm="1">
        <f t="array" aca="1" ref="K162" ca="1">IFERROR(INDIRECT("Data"&amp;"!"&amp;ADDRESS(MATCH($K$1,Data!$A$1:$A$20,0),MATCH($A162,Data!$2:$2,0)+2,4)),"")</f>
        <v/>
      </c>
    </row>
    <row r="163" spans="2:11" x14ac:dyDescent="0.25">
      <c r="B163" s="22" t="str" cm="1">
        <f t="array" aca="1" ref="B163" ca="1">IFERROR(INDIRECT("List"&amp;"!"&amp;ADDRESS(MATCH($A163,List!$B:$B,0),MATCH($B$1,List!$1:$1,0),4)),"")</f>
        <v/>
      </c>
      <c r="C163" s="22" t="str" cm="1">
        <f t="array" aca="1" ref="C163" ca="1">IFERROR(INDIRECT("List"&amp;"!"&amp;ADDRESS(MATCH($A163,List!$B:$B,0),MATCH($C$1,List!$1:$1,0),4)),"")</f>
        <v/>
      </c>
      <c r="D163" s="22" t="str" cm="1">
        <f t="array" aca="1" ref="D163" ca="1">IFERROR(INDIRECT("List"&amp;"!"&amp;ADDRESS(MATCH($A163,List!$B:$B,0),MATCH($D$1,List!$1:$1,0),4)),"")</f>
        <v/>
      </c>
      <c r="E163" s="22" t="str" cm="1">
        <f t="array" aca="1" ref="E163" ca="1">IFERROR(INDIRECT("List"&amp;"!"&amp;ADDRESS(MATCH($A163,List!$B:$B,0),MATCH($E$1,List!$1:$1,0),4)),"")</f>
        <v/>
      </c>
      <c r="F163" s="27" t="str" cm="1">
        <f t="array" aca="1" ref="F163" ca="1">IFERROR(INDIRECT("List"&amp;"!"&amp;ADDRESS(MATCH($A163,List!$B:$B,0),MATCH($F$1,List!$1:$1,0),4)),"")</f>
        <v/>
      </c>
      <c r="G163" s="31" t="str" cm="1">
        <f t="array" aca="1" ref="G163" ca="1">IFERROR(INDIRECT("Data"&amp;"!"&amp;ADDRESS(MATCH($G$1,Data!$A$1:$A$20,0),MATCH($A163,Data!$2:$2,0)+3,4)),"")</f>
        <v/>
      </c>
      <c r="H163" s="31" t="str" cm="1">
        <f t="array" aca="1" ref="H163" ca="1">IFERROR(INDIRECT("Data"&amp;"!"&amp;ADDRESS(MATCH($G$1,Data!$A$1:$A$20,0),MATCH($A163,Data!$2:$2,0),4)),"")</f>
        <v/>
      </c>
      <c r="I163" s="31" t="str" cm="1">
        <f t="array" aca="1" ref="I163" ca="1">IFERROR(INDIRECT("Data"&amp;"!"&amp;ADDRESS(MATCH($G$1,Data!$A$1:$A$20,0),MATCH($A163,Data!$2:$2,0)+1,4)),"")</f>
        <v/>
      </c>
      <c r="J163" s="31" t="str" cm="1">
        <f t="array" aca="1" ref="J163" ca="1">IFERROR(INDIRECT("Data"&amp;"!"&amp;ADDRESS(MATCH($G$1,Data!$A$1:$A$20,0),MATCH($A163,Data!$2:$2,0)+2,4)),"")</f>
        <v/>
      </c>
      <c r="K163" s="34" t="str" cm="1">
        <f t="array" aca="1" ref="K163" ca="1">IFERROR(INDIRECT("Data"&amp;"!"&amp;ADDRESS(MATCH($K$1,Data!$A$1:$A$20,0),MATCH($A163,Data!$2:$2,0)+2,4)),"")</f>
        <v/>
      </c>
    </row>
    <row r="164" spans="2:11" x14ac:dyDescent="0.25">
      <c r="B164" s="22" t="str" cm="1">
        <f t="array" aca="1" ref="B164" ca="1">IFERROR(INDIRECT("List"&amp;"!"&amp;ADDRESS(MATCH($A164,List!$B:$B,0),MATCH($B$1,List!$1:$1,0),4)),"")</f>
        <v/>
      </c>
      <c r="C164" s="22" t="str" cm="1">
        <f t="array" aca="1" ref="C164" ca="1">IFERROR(INDIRECT("List"&amp;"!"&amp;ADDRESS(MATCH($A164,List!$B:$B,0),MATCH($C$1,List!$1:$1,0),4)),"")</f>
        <v/>
      </c>
      <c r="D164" s="22" t="str" cm="1">
        <f t="array" aca="1" ref="D164" ca="1">IFERROR(INDIRECT("List"&amp;"!"&amp;ADDRESS(MATCH($A164,List!$B:$B,0),MATCH($D$1,List!$1:$1,0),4)),"")</f>
        <v/>
      </c>
      <c r="E164" s="22" t="str" cm="1">
        <f t="array" aca="1" ref="E164" ca="1">IFERROR(INDIRECT("List"&amp;"!"&amp;ADDRESS(MATCH($A164,List!$B:$B,0),MATCH($E$1,List!$1:$1,0),4)),"")</f>
        <v/>
      </c>
      <c r="F164" s="27" t="str" cm="1">
        <f t="array" aca="1" ref="F164" ca="1">IFERROR(INDIRECT("List"&amp;"!"&amp;ADDRESS(MATCH($A164,List!$B:$B,0),MATCH($F$1,List!$1:$1,0),4)),"")</f>
        <v/>
      </c>
      <c r="G164" s="31" t="str" cm="1">
        <f t="array" aca="1" ref="G164" ca="1">IFERROR(INDIRECT("Data"&amp;"!"&amp;ADDRESS(MATCH($G$1,Data!$A$1:$A$20,0),MATCH($A164,Data!$2:$2,0)+3,4)),"")</f>
        <v/>
      </c>
      <c r="H164" s="31" t="str" cm="1">
        <f t="array" aca="1" ref="H164" ca="1">IFERROR(INDIRECT("Data"&amp;"!"&amp;ADDRESS(MATCH($G$1,Data!$A$1:$A$20,0),MATCH($A164,Data!$2:$2,0),4)),"")</f>
        <v/>
      </c>
      <c r="I164" s="31" t="str" cm="1">
        <f t="array" aca="1" ref="I164" ca="1">IFERROR(INDIRECT("Data"&amp;"!"&amp;ADDRESS(MATCH($G$1,Data!$A$1:$A$20,0),MATCH($A164,Data!$2:$2,0)+1,4)),"")</f>
        <v/>
      </c>
      <c r="J164" s="31" t="str" cm="1">
        <f t="array" aca="1" ref="J164" ca="1">IFERROR(INDIRECT("Data"&amp;"!"&amp;ADDRESS(MATCH($G$1,Data!$A$1:$A$20,0),MATCH($A164,Data!$2:$2,0)+2,4)),"")</f>
        <v/>
      </c>
      <c r="K164" s="34" t="str" cm="1">
        <f t="array" aca="1" ref="K164" ca="1">IFERROR(INDIRECT("Data"&amp;"!"&amp;ADDRESS(MATCH($K$1,Data!$A$1:$A$20,0),MATCH($A164,Data!$2:$2,0)+2,4)),"")</f>
        <v/>
      </c>
    </row>
    <row r="165" spans="2:11" x14ac:dyDescent="0.25">
      <c r="B165" s="22" t="str" cm="1">
        <f t="array" aca="1" ref="B165" ca="1">IFERROR(INDIRECT("List"&amp;"!"&amp;ADDRESS(MATCH($A165,List!$B:$B,0),MATCH($B$1,List!$1:$1,0),4)),"")</f>
        <v/>
      </c>
      <c r="C165" s="22" t="str" cm="1">
        <f t="array" aca="1" ref="C165" ca="1">IFERROR(INDIRECT("List"&amp;"!"&amp;ADDRESS(MATCH($A165,List!$B:$B,0),MATCH($C$1,List!$1:$1,0),4)),"")</f>
        <v/>
      </c>
      <c r="D165" s="22" t="str" cm="1">
        <f t="array" aca="1" ref="D165" ca="1">IFERROR(INDIRECT("List"&amp;"!"&amp;ADDRESS(MATCH($A165,List!$B:$B,0),MATCH($D$1,List!$1:$1,0),4)),"")</f>
        <v/>
      </c>
      <c r="E165" s="22" t="str" cm="1">
        <f t="array" aca="1" ref="E165" ca="1">IFERROR(INDIRECT("List"&amp;"!"&amp;ADDRESS(MATCH($A165,List!$B:$B,0),MATCH($E$1,List!$1:$1,0),4)),"")</f>
        <v/>
      </c>
      <c r="F165" s="27" t="str" cm="1">
        <f t="array" aca="1" ref="F165" ca="1">IFERROR(INDIRECT("List"&amp;"!"&amp;ADDRESS(MATCH($A165,List!$B:$B,0),MATCH($F$1,List!$1:$1,0),4)),"")</f>
        <v/>
      </c>
      <c r="G165" s="31" t="str" cm="1">
        <f t="array" aca="1" ref="G165" ca="1">IFERROR(INDIRECT("Data"&amp;"!"&amp;ADDRESS(MATCH($G$1,Data!$A$1:$A$20,0),MATCH($A165,Data!$2:$2,0)+3,4)),"")</f>
        <v/>
      </c>
      <c r="H165" s="31" t="str" cm="1">
        <f t="array" aca="1" ref="H165" ca="1">IFERROR(INDIRECT("Data"&amp;"!"&amp;ADDRESS(MATCH($G$1,Data!$A$1:$A$20,0),MATCH($A165,Data!$2:$2,0),4)),"")</f>
        <v/>
      </c>
      <c r="I165" s="31" t="str" cm="1">
        <f t="array" aca="1" ref="I165" ca="1">IFERROR(INDIRECT("Data"&amp;"!"&amp;ADDRESS(MATCH($G$1,Data!$A$1:$A$20,0),MATCH($A165,Data!$2:$2,0)+1,4)),"")</f>
        <v/>
      </c>
      <c r="J165" s="31" t="str" cm="1">
        <f t="array" aca="1" ref="J165" ca="1">IFERROR(INDIRECT("Data"&amp;"!"&amp;ADDRESS(MATCH($G$1,Data!$A$1:$A$20,0),MATCH($A165,Data!$2:$2,0)+2,4)),"")</f>
        <v/>
      </c>
      <c r="K165" s="34" t="str" cm="1">
        <f t="array" aca="1" ref="K165" ca="1">IFERROR(INDIRECT("Data"&amp;"!"&amp;ADDRESS(MATCH($K$1,Data!$A$1:$A$20,0),MATCH($A165,Data!$2:$2,0)+2,4)),"")</f>
        <v/>
      </c>
    </row>
    <row r="166" spans="2:11" x14ac:dyDescent="0.25">
      <c r="B166" s="22" t="str" cm="1">
        <f t="array" aca="1" ref="B166" ca="1">IFERROR(INDIRECT("List"&amp;"!"&amp;ADDRESS(MATCH($A166,List!$B:$B,0),MATCH($B$1,List!$1:$1,0),4)),"")</f>
        <v/>
      </c>
      <c r="C166" s="22" t="str" cm="1">
        <f t="array" aca="1" ref="C166" ca="1">IFERROR(INDIRECT("List"&amp;"!"&amp;ADDRESS(MATCH($A166,List!$B:$B,0),MATCH($C$1,List!$1:$1,0),4)),"")</f>
        <v/>
      </c>
      <c r="D166" s="22" t="str" cm="1">
        <f t="array" aca="1" ref="D166" ca="1">IFERROR(INDIRECT("List"&amp;"!"&amp;ADDRESS(MATCH($A166,List!$B:$B,0),MATCH($D$1,List!$1:$1,0),4)),"")</f>
        <v/>
      </c>
      <c r="E166" s="22" t="str" cm="1">
        <f t="array" aca="1" ref="E166" ca="1">IFERROR(INDIRECT("List"&amp;"!"&amp;ADDRESS(MATCH($A166,List!$B:$B,0),MATCH($E$1,List!$1:$1,0),4)),"")</f>
        <v/>
      </c>
      <c r="F166" s="27" t="str" cm="1">
        <f t="array" aca="1" ref="F166" ca="1">IFERROR(INDIRECT("List"&amp;"!"&amp;ADDRESS(MATCH($A166,List!$B:$B,0),MATCH($F$1,List!$1:$1,0),4)),"")</f>
        <v/>
      </c>
      <c r="G166" s="31" t="str" cm="1">
        <f t="array" aca="1" ref="G166" ca="1">IFERROR(INDIRECT("Data"&amp;"!"&amp;ADDRESS(MATCH($G$1,Data!$A$1:$A$20,0),MATCH($A166,Data!$2:$2,0)+3,4)),"")</f>
        <v/>
      </c>
      <c r="H166" s="31" t="str" cm="1">
        <f t="array" aca="1" ref="H166" ca="1">IFERROR(INDIRECT("Data"&amp;"!"&amp;ADDRESS(MATCH($G$1,Data!$A$1:$A$20,0),MATCH($A166,Data!$2:$2,0),4)),"")</f>
        <v/>
      </c>
      <c r="I166" s="31" t="str" cm="1">
        <f t="array" aca="1" ref="I166" ca="1">IFERROR(INDIRECT("Data"&amp;"!"&amp;ADDRESS(MATCH($G$1,Data!$A$1:$A$20,0),MATCH($A166,Data!$2:$2,0)+1,4)),"")</f>
        <v/>
      </c>
      <c r="J166" s="31" t="str" cm="1">
        <f t="array" aca="1" ref="J166" ca="1">IFERROR(INDIRECT("Data"&amp;"!"&amp;ADDRESS(MATCH($G$1,Data!$A$1:$A$20,0),MATCH($A166,Data!$2:$2,0)+2,4)),"")</f>
        <v/>
      </c>
      <c r="K166" s="34" t="str" cm="1">
        <f t="array" aca="1" ref="K166" ca="1">IFERROR(INDIRECT("Data"&amp;"!"&amp;ADDRESS(MATCH($K$1,Data!$A$1:$A$20,0),MATCH($A166,Data!$2:$2,0)+2,4)),"")</f>
        <v/>
      </c>
    </row>
    <row r="167" spans="2:11" x14ac:dyDescent="0.25">
      <c r="B167" s="22" t="str" cm="1">
        <f t="array" aca="1" ref="B167" ca="1">IFERROR(INDIRECT("List"&amp;"!"&amp;ADDRESS(MATCH($A167,List!$B:$B,0),MATCH($B$1,List!$1:$1,0),4)),"")</f>
        <v/>
      </c>
      <c r="C167" s="22" t="str" cm="1">
        <f t="array" aca="1" ref="C167" ca="1">IFERROR(INDIRECT("List"&amp;"!"&amp;ADDRESS(MATCH($A167,List!$B:$B,0),MATCH($C$1,List!$1:$1,0),4)),"")</f>
        <v/>
      </c>
      <c r="D167" s="22" t="str" cm="1">
        <f t="array" aca="1" ref="D167" ca="1">IFERROR(INDIRECT("List"&amp;"!"&amp;ADDRESS(MATCH($A167,List!$B:$B,0),MATCH($D$1,List!$1:$1,0),4)),"")</f>
        <v/>
      </c>
      <c r="E167" s="22" t="str" cm="1">
        <f t="array" aca="1" ref="E167" ca="1">IFERROR(INDIRECT("List"&amp;"!"&amp;ADDRESS(MATCH($A167,List!$B:$B,0),MATCH($E$1,List!$1:$1,0),4)),"")</f>
        <v/>
      </c>
      <c r="F167" s="27" t="str" cm="1">
        <f t="array" aca="1" ref="F167" ca="1">IFERROR(INDIRECT("List"&amp;"!"&amp;ADDRESS(MATCH($A167,List!$B:$B,0),MATCH($F$1,List!$1:$1,0),4)),"")</f>
        <v/>
      </c>
      <c r="G167" s="31" t="str" cm="1">
        <f t="array" aca="1" ref="G167" ca="1">IFERROR(INDIRECT("Data"&amp;"!"&amp;ADDRESS(MATCH($G$1,Data!$A$1:$A$20,0),MATCH($A167,Data!$2:$2,0)+3,4)),"")</f>
        <v/>
      </c>
      <c r="H167" s="31" t="str" cm="1">
        <f t="array" aca="1" ref="H167" ca="1">IFERROR(INDIRECT("Data"&amp;"!"&amp;ADDRESS(MATCH($G$1,Data!$A$1:$A$20,0),MATCH($A167,Data!$2:$2,0),4)),"")</f>
        <v/>
      </c>
      <c r="I167" s="31" t="str" cm="1">
        <f t="array" aca="1" ref="I167" ca="1">IFERROR(INDIRECT("Data"&amp;"!"&amp;ADDRESS(MATCH($G$1,Data!$A$1:$A$20,0),MATCH($A167,Data!$2:$2,0)+1,4)),"")</f>
        <v/>
      </c>
      <c r="J167" s="31" t="str" cm="1">
        <f t="array" aca="1" ref="J167" ca="1">IFERROR(INDIRECT("Data"&amp;"!"&amp;ADDRESS(MATCH($G$1,Data!$A$1:$A$20,0),MATCH($A167,Data!$2:$2,0)+2,4)),"")</f>
        <v/>
      </c>
      <c r="K167" s="34" t="str" cm="1">
        <f t="array" aca="1" ref="K167" ca="1">IFERROR(INDIRECT("Data"&amp;"!"&amp;ADDRESS(MATCH($K$1,Data!$A$1:$A$20,0),MATCH($A167,Data!$2:$2,0)+2,4)),"")</f>
        <v/>
      </c>
    </row>
    <row r="168" spans="2:11" x14ac:dyDescent="0.25">
      <c r="B168" s="22" t="str" cm="1">
        <f t="array" aca="1" ref="B168" ca="1">IFERROR(INDIRECT("List"&amp;"!"&amp;ADDRESS(MATCH($A168,List!$B:$B,0),MATCH($B$1,List!$1:$1,0),4)),"")</f>
        <v/>
      </c>
      <c r="C168" s="22" t="str" cm="1">
        <f t="array" aca="1" ref="C168" ca="1">IFERROR(INDIRECT("List"&amp;"!"&amp;ADDRESS(MATCH($A168,List!$B:$B,0),MATCH($C$1,List!$1:$1,0),4)),"")</f>
        <v/>
      </c>
      <c r="D168" s="22" t="str" cm="1">
        <f t="array" aca="1" ref="D168" ca="1">IFERROR(INDIRECT("List"&amp;"!"&amp;ADDRESS(MATCH($A168,List!$B:$B,0),MATCH($D$1,List!$1:$1,0),4)),"")</f>
        <v/>
      </c>
      <c r="E168" s="22" t="str" cm="1">
        <f t="array" aca="1" ref="E168" ca="1">IFERROR(INDIRECT("List"&amp;"!"&amp;ADDRESS(MATCH($A168,List!$B:$B,0),MATCH($E$1,List!$1:$1,0),4)),"")</f>
        <v/>
      </c>
      <c r="F168" s="27" t="str" cm="1">
        <f t="array" aca="1" ref="F168" ca="1">IFERROR(INDIRECT("List"&amp;"!"&amp;ADDRESS(MATCH($A168,List!$B:$B,0),MATCH($F$1,List!$1:$1,0),4)),"")</f>
        <v/>
      </c>
      <c r="G168" s="31" t="str" cm="1">
        <f t="array" aca="1" ref="G168" ca="1">IFERROR(INDIRECT("Data"&amp;"!"&amp;ADDRESS(MATCH($G$1,Data!$A$1:$A$20,0),MATCH($A168,Data!$2:$2,0)+3,4)),"")</f>
        <v/>
      </c>
      <c r="H168" s="31" t="str" cm="1">
        <f t="array" aca="1" ref="H168" ca="1">IFERROR(INDIRECT("Data"&amp;"!"&amp;ADDRESS(MATCH($G$1,Data!$A$1:$A$20,0),MATCH($A168,Data!$2:$2,0),4)),"")</f>
        <v/>
      </c>
      <c r="I168" s="31" t="str" cm="1">
        <f t="array" aca="1" ref="I168" ca="1">IFERROR(INDIRECT("Data"&amp;"!"&amp;ADDRESS(MATCH($G$1,Data!$A$1:$A$20,0),MATCH($A168,Data!$2:$2,0)+1,4)),"")</f>
        <v/>
      </c>
      <c r="J168" s="31" t="str" cm="1">
        <f t="array" aca="1" ref="J168" ca="1">IFERROR(INDIRECT("Data"&amp;"!"&amp;ADDRESS(MATCH($G$1,Data!$A$1:$A$20,0),MATCH($A168,Data!$2:$2,0)+2,4)),"")</f>
        <v/>
      </c>
      <c r="K168" s="34" t="str" cm="1">
        <f t="array" aca="1" ref="K168" ca="1">IFERROR(INDIRECT("Data"&amp;"!"&amp;ADDRESS(MATCH($K$1,Data!$A$1:$A$20,0),MATCH($A168,Data!$2:$2,0)+2,4)),"")</f>
        <v/>
      </c>
    </row>
    <row r="169" spans="2:11" x14ac:dyDescent="0.25">
      <c r="B169" s="22" t="str" cm="1">
        <f t="array" aca="1" ref="B169" ca="1">IFERROR(INDIRECT("List"&amp;"!"&amp;ADDRESS(MATCH($A169,List!$B:$B,0),MATCH($B$1,List!$1:$1,0),4)),"")</f>
        <v/>
      </c>
      <c r="C169" s="22" t="str" cm="1">
        <f t="array" aca="1" ref="C169" ca="1">IFERROR(INDIRECT("List"&amp;"!"&amp;ADDRESS(MATCH($A169,List!$B:$B,0),MATCH($C$1,List!$1:$1,0),4)),"")</f>
        <v/>
      </c>
      <c r="D169" s="22" t="str" cm="1">
        <f t="array" aca="1" ref="D169" ca="1">IFERROR(INDIRECT("List"&amp;"!"&amp;ADDRESS(MATCH($A169,List!$B:$B,0),MATCH($D$1,List!$1:$1,0),4)),"")</f>
        <v/>
      </c>
      <c r="E169" s="22" t="str" cm="1">
        <f t="array" aca="1" ref="E169" ca="1">IFERROR(INDIRECT("List"&amp;"!"&amp;ADDRESS(MATCH($A169,List!$B:$B,0),MATCH($E$1,List!$1:$1,0),4)),"")</f>
        <v/>
      </c>
      <c r="F169" s="27" t="str" cm="1">
        <f t="array" aca="1" ref="F169" ca="1">IFERROR(INDIRECT("List"&amp;"!"&amp;ADDRESS(MATCH($A169,List!$B:$B,0),MATCH($F$1,List!$1:$1,0),4)),"")</f>
        <v/>
      </c>
      <c r="G169" s="31" t="str" cm="1">
        <f t="array" aca="1" ref="G169" ca="1">IFERROR(INDIRECT("Data"&amp;"!"&amp;ADDRESS(MATCH($G$1,Data!$A$1:$A$20,0),MATCH($A169,Data!$2:$2,0)+3,4)),"")</f>
        <v/>
      </c>
      <c r="H169" s="31" t="str" cm="1">
        <f t="array" aca="1" ref="H169" ca="1">IFERROR(INDIRECT("Data"&amp;"!"&amp;ADDRESS(MATCH($G$1,Data!$A$1:$A$20,0),MATCH($A169,Data!$2:$2,0),4)),"")</f>
        <v/>
      </c>
      <c r="I169" s="31" t="str" cm="1">
        <f t="array" aca="1" ref="I169" ca="1">IFERROR(INDIRECT("Data"&amp;"!"&amp;ADDRESS(MATCH($G$1,Data!$A$1:$A$20,0),MATCH($A169,Data!$2:$2,0)+1,4)),"")</f>
        <v/>
      </c>
      <c r="J169" s="31" t="str" cm="1">
        <f t="array" aca="1" ref="J169" ca="1">IFERROR(INDIRECT("Data"&amp;"!"&amp;ADDRESS(MATCH($G$1,Data!$A$1:$A$20,0),MATCH($A169,Data!$2:$2,0)+2,4)),"")</f>
        <v/>
      </c>
      <c r="K169" s="34" t="str" cm="1">
        <f t="array" aca="1" ref="K169" ca="1">IFERROR(INDIRECT("Data"&amp;"!"&amp;ADDRESS(MATCH($K$1,Data!$A$1:$A$20,0),MATCH($A169,Data!$2:$2,0)+2,4)),"")</f>
        <v/>
      </c>
    </row>
    <row r="170" spans="2:11" x14ac:dyDescent="0.25">
      <c r="B170" s="22" t="str" cm="1">
        <f t="array" aca="1" ref="B170" ca="1">IFERROR(INDIRECT("List"&amp;"!"&amp;ADDRESS(MATCH($A170,List!$B:$B,0),MATCH($B$1,List!$1:$1,0),4)),"")</f>
        <v/>
      </c>
      <c r="C170" s="22" t="str" cm="1">
        <f t="array" aca="1" ref="C170" ca="1">IFERROR(INDIRECT("List"&amp;"!"&amp;ADDRESS(MATCH($A170,List!$B:$B,0),MATCH($C$1,List!$1:$1,0),4)),"")</f>
        <v/>
      </c>
      <c r="D170" s="22" t="str" cm="1">
        <f t="array" aca="1" ref="D170" ca="1">IFERROR(INDIRECT("List"&amp;"!"&amp;ADDRESS(MATCH($A170,List!$B:$B,0),MATCH($D$1,List!$1:$1,0),4)),"")</f>
        <v/>
      </c>
      <c r="E170" s="22" t="str" cm="1">
        <f t="array" aca="1" ref="E170" ca="1">IFERROR(INDIRECT("List"&amp;"!"&amp;ADDRESS(MATCH($A170,List!$B:$B,0),MATCH($E$1,List!$1:$1,0),4)),"")</f>
        <v/>
      </c>
      <c r="F170" s="27" t="str" cm="1">
        <f t="array" aca="1" ref="F170" ca="1">IFERROR(INDIRECT("List"&amp;"!"&amp;ADDRESS(MATCH($A170,List!$B:$B,0),MATCH($F$1,List!$1:$1,0),4)),"")</f>
        <v/>
      </c>
      <c r="G170" s="31" t="str" cm="1">
        <f t="array" aca="1" ref="G170" ca="1">IFERROR(INDIRECT("Data"&amp;"!"&amp;ADDRESS(MATCH($G$1,Data!$A$1:$A$20,0),MATCH($A170,Data!$2:$2,0)+3,4)),"")</f>
        <v/>
      </c>
      <c r="H170" s="31" t="str" cm="1">
        <f t="array" aca="1" ref="H170" ca="1">IFERROR(INDIRECT("Data"&amp;"!"&amp;ADDRESS(MATCH($G$1,Data!$A$1:$A$20,0),MATCH($A170,Data!$2:$2,0),4)),"")</f>
        <v/>
      </c>
      <c r="I170" s="31" t="str" cm="1">
        <f t="array" aca="1" ref="I170" ca="1">IFERROR(INDIRECT("Data"&amp;"!"&amp;ADDRESS(MATCH($G$1,Data!$A$1:$A$20,0),MATCH($A170,Data!$2:$2,0)+1,4)),"")</f>
        <v/>
      </c>
      <c r="J170" s="31" t="str" cm="1">
        <f t="array" aca="1" ref="J170" ca="1">IFERROR(INDIRECT("Data"&amp;"!"&amp;ADDRESS(MATCH($G$1,Data!$A$1:$A$20,0),MATCH($A170,Data!$2:$2,0)+2,4)),"")</f>
        <v/>
      </c>
      <c r="K170" s="34" t="str" cm="1">
        <f t="array" aca="1" ref="K170" ca="1">IFERROR(INDIRECT("Data"&amp;"!"&amp;ADDRESS(MATCH($K$1,Data!$A$1:$A$20,0),MATCH($A170,Data!$2:$2,0)+2,4)),"")</f>
        <v/>
      </c>
    </row>
    <row r="171" spans="2:11" x14ac:dyDescent="0.25">
      <c r="B171" s="22" t="str" cm="1">
        <f t="array" aca="1" ref="B171" ca="1">IFERROR(INDIRECT("List"&amp;"!"&amp;ADDRESS(MATCH($A171,List!$B:$B,0),MATCH($B$1,List!$1:$1,0),4)),"")</f>
        <v/>
      </c>
      <c r="C171" s="22" t="str" cm="1">
        <f t="array" aca="1" ref="C171" ca="1">IFERROR(INDIRECT("List"&amp;"!"&amp;ADDRESS(MATCH($A171,List!$B:$B,0),MATCH($C$1,List!$1:$1,0),4)),"")</f>
        <v/>
      </c>
      <c r="D171" s="22" t="str" cm="1">
        <f t="array" aca="1" ref="D171" ca="1">IFERROR(INDIRECT("List"&amp;"!"&amp;ADDRESS(MATCH($A171,List!$B:$B,0),MATCH($D$1,List!$1:$1,0),4)),"")</f>
        <v/>
      </c>
      <c r="E171" s="22" t="str" cm="1">
        <f t="array" aca="1" ref="E171" ca="1">IFERROR(INDIRECT("List"&amp;"!"&amp;ADDRESS(MATCH($A171,List!$B:$B,0),MATCH($E$1,List!$1:$1,0),4)),"")</f>
        <v/>
      </c>
      <c r="F171" s="27" t="str" cm="1">
        <f t="array" aca="1" ref="F171" ca="1">IFERROR(INDIRECT("List"&amp;"!"&amp;ADDRESS(MATCH($A171,List!$B:$B,0),MATCH($F$1,List!$1:$1,0),4)),"")</f>
        <v/>
      </c>
      <c r="G171" s="31" t="str" cm="1">
        <f t="array" aca="1" ref="G171" ca="1">IFERROR(INDIRECT("Data"&amp;"!"&amp;ADDRESS(MATCH($G$1,Data!$A$1:$A$20,0),MATCH($A171,Data!$2:$2,0)+3,4)),"")</f>
        <v/>
      </c>
      <c r="H171" s="31" t="str" cm="1">
        <f t="array" aca="1" ref="H171" ca="1">IFERROR(INDIRECT("Data"&amp;"!"&amp;ADDRESS(MATCH($G$1,Data!$A$1:$A$20,0),MATCH($A171,Data!$2:$2,0),4)),"")</f>
        <v/>
      </c>
      <c r="I171" s="31" t="str" cm="1">
        <f t="array" aca="1" ref="I171" ca="1">IFERROR(INDIRECT("Data"&amp;"!"&amp;ADDRESS(MATCH($G$1,Data!$A$1:$A$20,0),MATCH($A171,Data!$2:$2,0)+1,4)),"")</f>
        <v/>
      </c>
      <c r="J171" s="31" t="str" cm="1">
        <f t="array" aca="1" ref="J171" ca="1">IFERROR(INDIRECT("Data"&amp;"!"&amp;ADDRESS(MATCH($G$1,Data!$A$1:$A$20,0),MATCH($A171,Data!$2:$2,0)+2,4)),"")</f>
        <v/>
      </c>
      <c r="K171" s="34" t="str" cm="1">
        <f t="array" aca="1" ref="K171" ca="1">IFERROR(INDIRECT("Data"&amp;"!"&amp;ADDRESS(MATCH($K$1,Data!$A$1:$A$20,0),MATCH($A171,Data!$2:$2,0)+2,4)),"")</f>
        <v/>
      </c>
    </row>
    <row r="172" spans="2:11" x14ac:dyDescent="0.25">
      <c r="B172" s="22" t="str" cm="1">
        <f t="array" aca="1" ref="B172" ca="1">IFERROR(INDIRECT("List"&amp;"!"&amp;ADDRESS(MATCH($A172,List!$B:$B,0),MATCH($B$1,List!$1:$1,0),4)),"")</f>
        <v/>
      </c>
      <c r="C172" s="22" t="str" cm="1">
        <f t="array" aca="1" ref="C172" ca="1">IFERROR(INDIRECT("List"&amp;"!"&amp;ADDRESS(MATCH($A172,List!$B:$B,0),MATCH($C$1,List!$1:$1,0),4)),"")</f>
        <v/>
      </c>
      <c r="D172" s="22" t="str" cm="1">
        <f t="array" aca="1" ref="D172" ca="1">IFERROR(INDIRECT("List"&amp;"!"&amp;ADDRESS(MATCH($A172,List!$B:$B,0),MATCH($D$1,List!$1:$1,0),4)),"")</f>
        <v/>
      </c>
      <c r="E172" s="22" t="str" cm="1">
        <f t="array" aca="1" ref="E172" ca="1">IFERROR(INDIRECT("List"&amp;"!"&amp;ADDRESS(MATCH($A172,List!$B:$B,0),MATCH($E$1,List!$1:$1,0),4)),"")</f>
        <v/>
      </c>
      <c r="F172" s="27" t="str" cm="1">
        <f t="array" aca="1" ref="F172" ca="1">IFERROR(INDIRECT("List"&amp;"!"&amp;ADDRESS(MATCH($A172,List!$B:$B,0),MATCH($F$1,List!$1:$1,0),4)),"")</f>
        <v/>
      </c>
      <c r="G172" s="31" t="str" cm="1">
        <f t="array" aca="1" ref="G172" ca="1">IFERROR(INDIRECT("Data"&amp;"!"&amp;ADDRESS(MATCH($G$1,Data!$A$1:$A$20,0),MATCH($A172,Data!$2:$2,0)+3,4)),"")</f>
        <v/>
      </c>
      <c r="H172" s="31" t="str" cm="1">
        <f t="array" aca="1" ref="H172" ca="1">IFERROR(INDIRECT("Data"&amp;"!"&amp;ADDRESS(MATCH($G$1,Data!$A$1:$A$20,0),MATCH($A172,Data!$2:$2,0),4)),"")</f>
        <v/>
      </c>
      <c r="I172" s="31" t="str" cm="1">
        <f t="array" aca="1" ref="I172" ca="1">IFERROR(INDIRECT("Data"&amp;"!"&amp;ADDRESS(MATCH($G$1,Data!$A$1:$A$20,0),MATCH($A172,Data!$2:$2,0)+1,4)),"")</f>
        <v/>
      </c>
      <c r="J172" s="31" t="str" cm="1">
        <f t="array" aca="1" ref="J172" ca="1">IFERROR(INDIRECT("Data"&amp;"!"&amp;ADDRESS(MATCH($G$1,Data!$A$1:$A$20,0),MATCH($A172,Data!$2:$2,0)+2,4)),"")</f>
        <v/>
      </c>
      <c r="K172" s="34" t="str" cm="1">
        <f t="array" aca="1" ref="K172" ca="1">IFERROR(INDIRECT("Data"&amp;"!"&amp;ADDRESS(MATCH($K$1,Data!$A$1:$A$20,0),MATCH($A172,Data!$2:$2,0)+2,4)),"")</f>
        <v/>
      </c>
    </row>
    <row r="173" spans="2:11" x14ac:dyDescent="0.25">
      <c r="B173" s="22" t="str" cm="1">
        <f t="array" aca="1" ref="B173" ca="1">IFERROR(INDIRECT("List"&amp;"!"&amp;ADDRESS(MATCH($A173,List!$B:$B,0),MATCH($B$1,List!$1:$1,0),4)),"")</f>
        <v/>
      </c>
      <c r="C173" s="22" t="str" cm="1">
        <f t="array" aca="1" ref="C173" ca="1">IFERROR(INDIRECT("List"&amp;"!"&amp;ADDRESS(MATCH($A173,List!$B:$B,0),MATCH($C$1,List!$1:$1,0),4)),"")</f>
        <v/>
      </c>
      <c r="D173" s="22" t="str" cm="1">
        <f t="array" aca="1" ref="D173" ca="1">IFERROR(INDIRECT("List"&amp;"!"&amp;ADDRESS(MATCH($A173,List!$B:$B,0),MATCH($D$1,List!$1:$1,0),4)),"")</f>
        <v/>
      </c>
      <c r="E173" s="22" t="str" cm="1">
        <f t="array" aca="1" ref="E173" ca="1">IFERROR(INDIRECT("List"&amp;"!"&amp;ADDRESS(MATCH($A173,List!$B:$B,0),MATCH($E$1,List!$1:$1,0),4)),"")</f>
        <v/>
      </c>
      <c r="F173" s="27" t="str" cm="1">
        <f t="array" aca="1" ref="F173" ca="1">IFERROR(INDIRECT("List"&amp;"!"&amp;ADDRESS(MATCH($A173,List!$B:$B,0),MATCH($F$1,List!$1:$1,0),4)),"")</f>
        <v/>
      </c>
      <c r="G173" s="31" t="str" cm="1">
        <f t="array" aca="1" ref="G173" ca="1">IFERROR(INDIRECT("Data"&amp;"!"&amp;ADDRESS(MATCH($G$1,Data!$A$1:$A$20,0),MATCH($A173,Data!$2:$2,0)+3,4)),"")</f>
        <v/>
      </c>
      <c r="H173" s="31" t="str" cm="1">
        <f t="array" aca="1" ref="H173" ca="1">IFERROR(INDIRECT("Data"&amp;"!"&amp;ADDRESS(MATCH($G$1,Data!$A$1:$A$20,0),MATCH($A173,Data!$2:$2,0),4)),"")</f>
        <v/>
      </c>
      <c r="I173" s="31" t="str" cm="1">
        <f t="array" aca="1" ref="I173" ca="1">IFERROR(INDIRECT("Data"&amp;"!"&amp;ADDRESS(MATCH($G$1,Data!$A$1:$A$20,0),MATCH($A173,Data!$2:$2,0)+1,4)),"")</f>
        <v/>
      </c>
      <c r="J173" s="31" t="str" cm="1">
        <f t="array" aca="1" ref="J173" ca="1">IFERROR(INDIRECT("Data"&amp;"!"&amp;ADDRESS(MATCH($G$1,Data!$A$1:$A$20,0),MATCH($A173,Data!$2:$2,0)+2,4)),"")</f>
        <v/>
      </c>
      <c r="K173" s="34" t="str" cm="1">
        <f t="array" aca="1" ref="K173" ca="1">IFERROR(INDIRECT("Data"&amp;"!"&amp;ADDRESS(MATCH($K$1,Data!$A$1:$A$20,0),MATCH($A173,Data!$2:$2,0)+2,4)),"")</f>
        <v/>
      </c>
    </row>
    <row r="174" spans="2:11" x14ac:dyDescent="0.25">
      <c r="B174" s="22" t="str" cm="1">
        <f t="array" aca="1" ref="B174" ca="1">IFERROR(INDIRECT("List"&amp;"!"&amp;ADDRESS(MATCH($A174,List!$B:$B,0),MATCH($B$1,List!$1:$1,0),4)),"")</f>
        <v/>
      </c>
      <c r="C174" s="22" t="str" cm="1">
        <f t="array" aca="1" ref="C174" ca="1">IFERROR(INDIRECT("List"&amp;"!"&amp;ADDRESS(MATCH($A174,List!$B:$B,0),MATCH($C$1,List!$1:$1,0),4)),"")</f>
        <v/>
      </c>
      <c r="D174" s="22" t="str" cm="1">
        <f t="array" aca="1" ref="D174" ca="1">IFERROR(INDIRECT("List"&amp;"!"&amp;ADDRESS(MATCH($A174,List!$B:$B,0),MATCH($D$1,List!$1:$1,0),4)),"")</f>
        <v/>
      </c>
      <c r="E174" s="22" t="str" cm="1">
        <f t="array" aca="1" ref="E174" ca="1">IFERROR(INDIRECT("List"&amp;"!"&amp;ADDRESS(MATCH($A174,List!$B:$B,0),MATCH($E$1,List!$1:$1,0),4)),"")</f>
        <v/>
      </c>
      <c r="F174" s="27" t="str" cm="1">
        <f t="array" aca="1" ref="F174" ca="1">IFERROR(INDIRECT("List"&amp;"!"&amp;ADDRESS(MATCH($A174,List!$B:$B,0),MATCH($F$1,List!$1:$1,0),4)),"")</f>
        <v/>
      </c>
      <c r="G174" s="31" t="str" cm="1">
        <f t="array" aca="1" ref="G174" ca="1">IFERROR(INDIRECT("Data"&amp;"!"&amp;ADDRESS(MATCH($G$1,Data!$A$1:$A$20,0),MATCH($A174,Data!$2:$2,0)+3,4)),"")</f>
        <v/>
      </c>
      <c r="H174" s="31" t="str" cm="1">
        <f t="array" aca="1" ref="H174" ca="1">IFERROR(INDIRECT("Data"&amp;"!"&amp;ADDRESS(MATCH($G$1,Data!$A$1:$A$20,0),MATCH($A174,Data!$2:$2,0),4)),"")</f>
        <v/>
      </c>
      <c r="I174" s="31" t="str" cm="1">
        <f t="array" aca="1" ref="I174" ca="1">IFERROR(INDIRECT("Data"&amp;"!"&amp;ADDRESS(MATCH($G$1,Data!$A$1:$A$20,0),MATCH($A174,Data!$2:$2,0)+1,4)),"")</f>
        <v/>
      </c>
      <c r="J174" s="31" t="str" cm="1">
        <f t="array" aca="1" ref="J174" ca="1">IFERROR(INDIRECT("Data"&amp;"!"&amp;ADDRESS(MATCH($G$1,Data!$A$1:$A$20,0),MATCH($A174,Data!$2:$2,0)+2,4)),"")</f>
        <v/>
      </c>
      <c r="K174" s="34" t="str" cm="1">
        <f t="array" aca="1" ref="K174" ca="1">IFERROR(INDIRECT("Data"&amp;"!"&amp;ADDRESS(MATCH($K$1,Data!$A$1:$A$20,0),MATCH($A174,Data!$2:$2,0)+2,4)),"")</f>
        <v/>
      </c>
    </row>
    <row r="175" spans="2:11" x14ac:dyDescent="0.25">
      <c r="B175" s="22" t="str" cm="1">
        <f t="array" aca="1" ref="B175" ca="1">IFERROR(INDIRECT("List"&amp;"!"&amp;ADDRESS(MATCH($A175,List!$B:$B,0),MATCH($B$1,List!$1:$1,0),4)),"")</f>
        <v/>
      </c>
      <c r="C175" s="22" t="str" cm="1">
        <f t="array" aca="1" ref="C175" ca="1">IFERROR(INDIRECT("List"&amp;"!"&amp;ADDRESS(MATCH($A175,List!$B:$B,0),MATCH($C$1,List!$1:$1,0),4)),"")</f>
        <v/>
      </c>
      <c r="D175" s="22" t="str" cm="1">
        <f t="array" aca="1" ref="D175" ca="1">IFERROR(INDIRECT("List"&amp;"!"&amp;ADDRESS(MATCH($A175,List!$B:$B,0),MATCH($D$1,List!$1:$1,0),4)),"")</f>
        <v/>
      </c>
      <c r="E175" s="22" t="str" cm="1">
        <f t="array" aca="1" ref="E175" ca="1">IFERROR(INDIRECT("List"&amp;"!"&amp;ADDRESS(MATCH($A175,List!$B:$B,0),MATCH($E$1,List!$1:$1,0),4)),"")</f>
        <v/>
      </c>
      <c r="F175" s="27" t="str" cm="1">
        <f t="array" aca="1" ref="F175" ca="1">IFERROR(INDIRECT("List"&amp;"!"&amp;ADDRESS(MATCH($A175,List!$B:$B,0),MATCH($F$1,List!$1:$1,0),4)),"")</f>
        <v/>
      </c>
      <c r="G175" s="31" t="str" cm="1">
        <f t="array" aca="1" ref="G175" ca="1">IFERROR(INDIRECT("Data"&amp;"!"&amp;ADDRESS(MATCH($G$1,Data!$A$1:$A$20,0),MATCH($A175,Data!$2:$2,0)+3,4)),"")</f>
        <v/>
      </c>
      <c r="H175" s="31" t="str" cm="1">
        <f t="array" aca="1" ref="H175" ca="1">IFERROR(INDIRECT("Data"&amp;"!"&amp;ADDRESS(MATCH($G$1,Data!$A$1:$A$20,0),MATCH($A175,Data!$2:$2,0),4)),"")</f>
        <v/>
      </c>
      <c r="I175" s="31" t="str" cm="1">
        <f t="array" aca="1" ref="I175" ca="1">IFERROR(INDIRECT("Data"&amp;"!"&amp;ADDRESS(MATCH($G$1,Data!$A$1:$A$20,0),MATCH($A175,Data!$2:$2,0)+1,4)),"")</f>
        <v/>
      </c>
      <c r="J175" s="31" t="str" cm="1">
        <f t="array" aca="1" ref="J175" ca="1">IFERROR(INDIRECT("Data"&amp;"!"&amp;ADDRESS(MATCH($G$1,Data!$A$1:$A$20,0),MATCH($A175,Data!$2:$2,0)+2,4)),"")</f>
        <v/>
      </c>
      <c r="K175" s="34" t="str" cm="1">
        <f t="array" aca="1" ref="K175" ca="1">IFERROR(INDIRECT("Data"&amp;"!"&amp;ADDRESS(MATCH($K$1,Data!$A$1:$A$20,0),MATCH($A175,Data!$2:$2,0)+2,4)),"")</f>
        <v/>
      </c>
    </row>
    <row r="176" spans="2:11" x14ac:dyDescent="0.25">
      <c r="B176" s="22" t="str" cm="1">
        <f t="array" aca="1" ref="B176" ca="1">IFERROR(INDIRECT("List"&amp;"!"&amp;ADDRESS(MATCH($A176,List!$B:$B,0),MATCH($B$1,List!$1:$1,0),4)),"")</f>
        <v/>
      </c>
      <c r="C176" s="22" t="str" cm="1">
        <f t="array" aca="1" ref="C176" ca="1">IFERROR(INDIRECT("List"&amp;"!"&amp;ADDRESS(MATCH($A176,List!$B:$B,0),MATCH($C$1,List!$1:$1,0),4)),"")</f>
        <v/>
      </c>
      <c r="D176" s="22" t="str" cm="1">
        <f t="array" aca="1" ref="D176" ca="1">IFERROR(INDIRECT("List"&amp;"!"&amp;ADDRESS(MATCH($A176,List!$B:$B,0),MATCH($D$1,List!$1:$1,0),4)),"")</f>
        <v/>
      </c>
      <c r="E176" s="22" t="str" cm="1">
        <f t="array" aca="1" ref="E176" ca="1">IFERROR(INDIRECT("List"&amp;"!"&amp;ADDRESS(MATCH($A176,List!$B:$B,0),MATCH($E$1,List!$1:$1,0),4)),"")</f>
        <v/>
      </c>
      <c r="F176" s="27" t="str" cm="1">
        <f t="array" aca="1" ref="F176" ca="1">IFERROR(INDIRECT("List"&amp;"!"&amp;ADDRESS(MATCH($A176,List!$B:$B,0),MATCH($F$1,List!$1:$1,0),4)),"")</f>
        <v/>
      </c>
      <c r="G176" s="31" t="str" cm="1">
        <f t="array" aca="1" ref="G176" ca="1">IFERROR(INDIRECT("Data"&amp;"!"&amp;ADDRESS(MATCH($G$1,Data!$A$1:$A$20,0),MATCH($A176,Data!$2:$2,0)+3,4)),"")</f>
        <v/>
      </c>
      <c r="H176" s="31" t="str" cm="1">
        <f t="array" aca="1" ref="H176" ca="1">IFERROR(INDIRECT("Data"&amp;"!"&amp;ADDRESS(MATCH($G$1,Data!$A$1:$A$20,0),MATCH($A176,Data!$2:$2,0),4)),"")</f>
        <v/>
      </c>
      <c r="I176" s="31" t="str" cm="1">
        <f t="array" aca="1" ref="I176" ca="1">IFERROR(INDIRECT("Data"&amp;"!"&amp;ADDRESS(MATCH($G$1,Data!$A$1:$A$20,0),MATCH($A176,Data!$2:$2,0)+1,4)),"")</f>
        <v/>
      </c>
      <c r="J176" s="31" t="str" cm="1">
        <f t="array" aca="1" ref="J176" ca="1">IFERROR(INDIRECT("Data"&amp;"!"&amp;ADDRESS(MATCH($G$1,Data!$A$1:$A$20,0),MATCH($A176,Data!$2:$2,0)+2,4)),"")</f>
        <v/>
      </c>
      <c r="K176" s="34" t="str" cm="1">
        <f t="array" aca="1" ref="K176" ca="1">IFERROR(INDIRECT("Data"&amp;"!"&amp;ADDRESS(MATCH($K$1,Data!$A$1:$A$20,0),MATCH($A176,Data!$2:$2,0)+2,4)),"")</f>
        <v/>
      </c>
    </row>
    <row r="177" spans="2:11" x14ac:dyDescent="0.25">
      <c r="B177" s="22" t="str" cm="1">
        <f t="array" aca="1" ref="B177" ca="1">IFERROR(INDIRECT("List"&amp;"!"&amp;ADDRESS(MATCH($A177,List!$B:$B,0),MATCH($B$1,List!$1:$1,0),4)),"")</f>
        <v/>
      </c>
      <c r="C177" s="22" t="str" cm="1">
        <f t="array" aca="1" ref="C177" ca="1">IFERROR(INDIRECT("List"&amp;"!"&amp;ADDRESS(MATCH($A177,List!$B:$B,0),MATCH($C$1,List!$1:$1,0),4)),"")</f>
        <v/>
      </c>
      <c r="D177" s="22" t="str" cm="1">
        <f t="array" aca="1" ref="D177" ca="1">IFERROR(INDIRECT("List"&amp;"!"&amp;ADDRESS(MATCH($A177,List!$B:$B,0),MATCH($D$1,List!$1:$1,0),4)),"")</f>
        <v/>
      </c>
      <c r="E177" s="22" t="str" cm="1">
        <f t="array" aca="1" ref="E177" ca="1">IFERROR(INDIRECT("List"&amp;"!"&amp;ADDRESS(MATCH($A177,List!$B:$B,0),MATCH($E$1,List!$1:$1,0),4)),"")</f>
        <v/>
      </c>
      <c r="F177" s="27" t="str" cm="1">
        <f t="array" aca="1" ref="F177" ca="1">IFERROR(INDIRECT("List"&amp;"!"&amp;ADDRESS(MATCH($A177,List!$B:$B,0),MATCH($F$1,List!$1:$1,0),4)),"")</f>
        <v/>
      </c>
      <c r="G177" s="31" t="str" cm="1">
        <f t="array" aca="1" ref="G177" ca="1">IFERROR(INDIRECT("Data"&amp;"!"&amp;ADDRESS(MATCH($G$1,Data!$A$1:$A$20,0),MATCH($A177,Data!$2:$2,0)+3,4)),"")</f>
        <v/>
      </c>
      <c r="H177" s="31" t="str" cm="1">
        <f t="array" aca="1" ref="H177" ca="1">IFERROR(INDIRECT("Data"&amp;"!"&amp;ADDRESS(MATCH($G$1,Data!$A$1:$A$20,0),MATCH($A177,Data!$2:$2,0),4)),"")</f>
        <v/>
      </c>
      <c r="I177" s="31" t="str" cm="1">
        <f t="array" aca="1" ref="I177" ca="1">IFERROR(INDIRECT("Data"&amp;"!"&amp;ADDRESS(MATCH($G$1,Data!$A$1:$A$20,0),MATCH($A177,Data!$2:$2,0)+1,4)),"")</f>
        <v/>
      </c>
      <c r="J177" s="31" t="str" cm="1">
        <f t="array" aca="1" ref="J177" ca="1">IFERROR(INDIRECT("Data"&amp;"!"&amp;ADDRESS(MATCH($G$1,Data!$A$1:$A$20,0),MATCH($A177,Data!$2:$2,0)+2,4)),"")</f>
        <v/>
      </c>
      <c r="K177" s="34" t="str" cm="1">
        <f t="array" aca="1" ref="K177" ca="1">IFERROR(INDIRECT("Data"&amp;"!"&amp;ADDRESS(MATCH($K$1,Data!$A$1:$A$20,0),MATCH($A177,Data!$2:$2,0)+2,4)),"")</f>
        <v/>
      </c>
    </row>
    <row r="178" spans="2:11" x14ac:dyDescent="0.25">
      <c r="B178" s="22" t="str" cm="1">
        <f t="array" aca="1" ref="B178" ca="1">IFERROR(INDIRECT("List"&amp;"!"&amp;ADDRESS(MATCH($A178,List!$B:$B,0),MATCH($B$1,List!$1:$1,0),4)),"")</f>
        <v/>
      </c>
      <c r="C178" s="22" t="str" cm="1">
        <f t="array" aca="1" ref="C178" ca="1">IFERROR(INDIRECT("List"&amp;"!"&amp;ADDRESS(MATCH($A178,List!$B:$B,0),MATCH($C$1,List!$1:$1,0),4)),"")</f>
        <v/>
      </c>
      <c r="D178" s="22" t="str" cm="1">
        <f t="array" aca="1" ref="D178" ca="1">IFERROR(INDIRECT("List"&amp;"!"&amp;ADDRESS(MATCH($A178,List!$B:$B,0),MATCH($D$1,List!$1:$1,0),4)),"")</f>
        <v/>
      </c>
      <c r="E178" s="22" t="str" cm="1">
        <f t="array" aca="1" ref="E178" ca="1">IFERROR(INDIRECT("List"&amp;"!"&amp;ADDRESS(MATCH($A178,List!$B:$B,0),MATCH($E$1,List!$1:$1,0),4)),"")</f>
        <v/>
      </c>
      <c r="F178" s="27" t="str" cm="1">
        <f t="array" aca="1" ref="F178" ca="1">IFERROR(INDIRECT("List"&amp;"!"&amp;ADDRESS(MATCH($A178,List!$B:$B,0),MATCH($F$1,List!$1:$1,0),4)),"")</f>
        <v/>
      </c>
      <c r="G178" s="31" t="str" cm="1">
        <f t="array" aca="1" ref="G178" ca="1">IFERROR(INDIRECT("Data"&amp;"!"&amp;ADDRESS(MATCH($G$1,Data!$A$1:$A$20,0),MATCH($A178,Data!$2:$2,0)+3,4)),"")</f>
        <v/>
      </c>
      <c r="H178" s="31" t="str" cm="1">
        <f t="array" aca="1" ref="H178" ca="1">IFERROR(INDIRECT("Data"&amp;"!"&amp;ADDRESS(MATCH($G$1,Data!$A$1:$A$20,0),MATCH($A178,Data!$2:$2,0),4)),"")</f>
        <v/>
      </c>
      <c r="I178" s="31" t="str" cm="1">
        <f t="array" aca="1" ref="I178" ca="1">IFERROR(INDIRECT("Data"&amp;"!"&amp;ADDRESS(MATCH($G$1,Data!$A$1:$A$20,0),MATCH($A178,Data!$2:$2,0)+1,4)),"")</f>
        <v/>
      </c>
      <c r="J178" s="31" t="str" cm="1">
        <f t="array" aca="1" ref="J178" ca="1">IFERROR(INDIRECT("Data"&amp;"!"&amp;ADDRESS(MATCH($G$1,Data!$A$1:$A$20,0),MATCH($A178,Data!$2:$2,0)+2,4)),"")</f>
        <v/>
      </c>
      <c r="K178" s="34" t="str" cm="1">
        <f t="array" aca="1" ref="K178" ca="1">IFERROR(INDIRECT("Data"&amp;"!"&amp;ADDRESS(MATCH($K$1,Data!$A$1:$A$20,0),MATCH($A178,Data!$2:$2,0)+2,4)),"")</f>
        <v/>
      </c>
    </row>
    <row r="179" spans="2:11" x14ac:dyDescent="0.25">
      <c r="B179" s="22" t="str" cm="1">
        <f t="array" aca="1" ref="B179" ca="1">IFERROR(INDIRECT("List"&amp;"!"&amp;ADDRESS(MATCH($A179,List!$B:$B,0),MATCH($B$1,List!$1:$1,0),4)),"")</f>
        <v/>
      </c>
      <c r="C179" s="22" t="str" cm="1">
        <f t="array" aca="1" ref="C179" ca="1">IFERROR(INDIRECT("List"&amp;"!"&amp;ADDRESS(MATCH($A179,List!$B:$B,0),MATCH($C$1,List!$1:$1,0),4)),"")</f>
        <v/>
      </c>
      <c r="D179" s="22" t="str" cm="1">
        <f t="array" aca="1" ref="D179" ca="1">IFERROR(INDIRECT("List"&amp;"!"&amp;ADDRESS(MATCH($A179,List!$B:$B,0),MATCH($D$1,List!$1:$1,0),4)),"")</f>
        <v/>
      </c>
      <c r="E179" s="22" t="str" cm="1">
        <f t="array" aca="1" ref="E179" ca="1">IFERROR(INDIRECT("List"&amp;"!"&amp;ADDRESS(MATCH($A179,List!$B:$B,0),MATCH($E$1,List!$1:$1,0),4)),"")</f>
        <v/>
      </c>
      <c r="F179" s="27" t="str" cm="1">
        <f t="array" aca="1" ref="F179" ca="1">IFERROR(INDIRECT("List"&amp;"!"&amp;ADDRESS(MATCH($A179,List!$B:$B,0),MATCH($F$1,List!$1:$1,0),4)),"")</f>
        <v/>
      </c>
      <c r="G179" s="31" t="str" cm="1">
        <f t="array" aca="1" ref="G179" ca="1">IFERROR(INDIRECT("Data"&amp;"!"&amp;ADDRESS(MATCH($G$1,Data!$A$1:$A$20,0),MATCH($A179,Data!$2:$2,0)+3,4)),"")</f>
        <v/>
      </c>
      <c r="H179" s="31" t="str" cm="1">
        <f t="array" aca="1" ref="H179" ca="1">IFERROR(INDIRECT("Data"&amp;"!"&amp;ADDRESS(MATCH($G$1,Data!$A$1:$A$20,0),MATCH($A179,Data!$2:$2,0),4)),"")</f>
        <v/>
      </c>
      <c r="I179" s="31" t="str" cm="1">
        <f t="array" aca="1" ref="I179" ca="1">IFERROR(INDIRECT("Data"&amp;"!"&amp;ADDRESS(MATCH($G$1,Data!$A$1:$A$20,0),MATCH($A179,Data!$2:$2,0)+1,4)),"")</f>
        <v/>
      </c>
      <c r="J179" s="31" t="str" cm="1">
        <f t="array" aca="1" ref="J179" ca="1">IFERROR(INDIRECT("Data"&amp;"!"&amp;ADDRESS(MATCH($G$1,Data!$A$1:$A$20,0),MATCH($A179,Data!$2:$2,0)+2,4)),"")</f>
        <v/>
      </c>
      <c r="K179" s="34" t="str" cm="1">
        <f t="array" aca="1" ref="K179" ca="1">IFERROR(INDIRECT("Data"&amp;"!"&amp;ADDRESS(MATCH($K$1,Data!$A$1:$A$20,0),MATCH($A179,Data!$2:$2,0)+2,4)),"")</f>
        <v/>
      </c>
    </row>
    <row r="180" spans="2:11" x14ac:dyDescent="0.25">
      <c r="B180" s="22" t="str" cm="1">
        <f t="array" aca="1" ref="B180" ca="1">IFERROR(INDIRECT("List"&amp;"!"&amp;ADDRESS(MATCH($A180,List!$B:$B,0),MATCH($B$1,List!$1:$1,0),4)),"")</f>
        <v/>
      </c>
      <c r="C180" s="22" t="str" cm="1">
        <f t="array" aca="1" ref="C180" ca="1">IFERROR(INDIRECT("List"&amp;"!"&amp;ADDRESS(MATCH($A180,List!$B:$B,0),MATCH($C$1,List!$1:$1,0),4)),"")</f>
        <v/>
      </c>
      <c r="D180" s="22" t="str" cm="1">
        <f t="array" aca="1" ref="D180" ca="1">IFERROR(INDIRECT("List"&amp;"!"&amp;ADDRESS(MATCH($A180,List!$B:$B,0),MATCH($D$1,List!$1:$1,0),4)),"")</f>
        <v/>
      </c>
      <c r="E180" s="22" t="str" cm="1">
        <f t="array" aca="1" ref="E180" ca="1">IFERROR(INDIRECT("List"&amp;"!"&amp;ADDRESS(MATCH($A180,List!$B:$B,0),MATCH($E$1,List!$1:$1,0),4)),"")</f>
        <v/>
      </c>
      <c r="F180" s="27" t="str" cm="1">
        <f t="array" aca="1" ref="F180" ca="1">IFERROR(INDIRECT("List"&amp;"!"&amp;ADDRESS(MATCH($A180,List!$B:$B,0),MATCH($F$1,List!$1:$1,0),4)),"")</f>
        <v/>
      </c>
      <c r="G180" s="31" t="str" cm="1">
        <f t="array" aca="1" ref="G180" ca="1">IFERROR(INDIRECT("Data"&amp;"!"&amp;ADDRESS(MATCH($G$1,Data!$A$1:$A$20,0),MATCH($A180,Data!$2:$2,0)+3,4)),"")</f>
        <v/>
      </c>
      <c r="H180" s="31" t="str" cm="1">
        <f t="array" aca="1" ref="H180" ca="1">IFERROR(INDIRECT("Data"&amp;"!"&amp;ADDRESS(MATCH($G$1,Data!$A$1:$A$20,0),MATCH($A180,Data!$2:$2,0),4)),"")</f>
        <v/>
      </c>
      <c r="I180" s="31" t="str" cm="1">
        <f t="array" aca="1" ref="I180" ca="1">IFERROR(INDIRECT("Data"&amp;"!"&amp;ADDRESS(MATCH($G$1,Data!$A$1:$A$20,0),MATCH($A180,Data!$2:$2,0)+1,4)),"")</f>
        <v/>
      </c>
      <c r="J180" s="31" t="str" cm="1">
        <f t="array" aca="1" ref="J180" ca="1">IFERROR(INDIRECT("Data"&amp;"!"&amp;ADDRESS(MATCH($G$1,Data!$A$1:$A$20,0),MATCH($A180,Data!$2:$2,0)+2,4)),"")</f>
        <v/>
      </c>
      <c r="K180" s="34" t="str" cm="1">
        <f t="array" aca="1" ref="K180" ca="1">IFERROR(INDIRECT("Data"&amp;"!"&amp;ADDRESS(MATCH($K$1,Data!$A$1:$A$20,0),MATCH($A180,Data!$2:$2,0)+2,4)),"")</f>
        <v/>
      </c>
    </row>
    <row r="181" spans="2:11" x14ac:dyDescent="0.25">
      <c r="B181" s="22" t="str" cm="1">
        <f t="array" aca="1" ref="B181" ca="1">IFERROR(INDIRECT("List"&amp;"!"&amp;ADDRESS(MATCH($A181,List!$B:$B,0),MATCH($B$1,List!$1:$1,0),4)),"")</f>
        <v/>
      </c>
      <c r="C181" s="22" t="str" cm="1">
        <f t="array" aca="1" ref="C181" ca="1">IFERROR(INDIRECT("List"&amp;"!"&amp;ADDRESS(MATCH($A181,List!$B:$B,0),MATCH($C$1,List!$1:$1,0),4)),"")</f>
        <v/>
      </c>
      <c r="D181" s="22" t="str" cm="1">
        <f t="array" aca="1" ref="D181" ca="1">IFERROR(INDIRECT("List"&amp;"!"&amp;ADDRESS(MATCH($A181,List!$B:$B,0),MATCH($D$1,List!$1:$1,0),4)),"")</f>
        <v/>
      </c>
      <c r="E181" s="22" t="str" cm="1">
        <f t="array" aca="1" ref="E181" ca="1">IFERROR(INDIRECT("List"&amp;"!"&amp;ADDRESS(MATCH($A181,List!$B:$B,0),MATCH($E$1,List!$1:$1,0),4)),"")</f>
        <v/>
      </c>
      <c r="F181" s="27" t="str" cm="1">
        <f t="array" aca="1" ref="F181" ca="1">IFERROR(INDIRECT("List"&amp;"!"&amp;ADDRESS(MATCH($A181,List!$B:$B,0),MATCH($F$1,List!$1:$1,0),4)),"")</f>
        <v/>
      </c>
      <c r="G181" s="31" t="str" cm="1">
        <f t="array" aca="1" ref="G181" ca="1">IFERROR(INDIRECT("Data"&amp;"!"&amp;ADDRESS(MATCH($G$1,Data!$A$1:$A$20,0),MATCH($A181,Data!$2:$2,0)+3,4)),"")</f>
        <v/>
      </c>
      <c r="H181" s="31" t="str" cm="1">
        <f t="array" aca="1" ref="H181" ca="1">IFERROR(INDIRECT("Data"&amp;"!"&amp;ADDRESS(MATCH($G$1,Data!$A$1:$A$20,0),MATCH($A181,Data!$2:$2,0),4)),"")</f>
        <v/>
      </c>
      <c r="I181" s="31" t="str" cm="1">
        <f t="array" aca="1" ref="I181" ca="1">IFERROR(INDIRECT("Data"&amp;"!"&amp;ADDRESS(MATCH($G$1,Data!$A$1:$A$20,0),MATCH($A181,Data!$2:$2,0)+1,4)),"")</f>
        <v/>
      </c>
      <c r="J181" s="31" t="str" cm="1">
        <f t="array" aca="1" ref="J181" ca="1">IFERROR(INDIRECT("Data"&amp;"!"&amp;ADDRESS(MATCH($G$1,Data!$A$1:$A$20,0),MATCH($A181,Data!$2:$2,0)+2,4)),"")</f>
        <v/>
      </c>
      <c r="K181" s="34" t="str" cm="1">
        <f t="array" aca="1" ref="K181" ca="1">IFERROR(INDIRECT("Data"&amp;"!"&amp;ADDRESS(MATCH($K$1,Data!$A$1:$A$20,0),MATCH($A181,Data!$2:$2,0)+2,4)),"")</f>
        <v/>
      </c>
    </row>
    <row r="182" spans="2:11" x14ac:dyDescent="0.25">
      <c r="B182" s="22" t="str" cm="1">
        <f t="array" aca="1" ref="B182" ca="1">IFERROR(INDIRECT("List"&amp;"!"&amp;ADDRESS(MATCH($A182,List!$B:$B,0),MATCH($B$1,List!$1:$1,0),4)),"")</f>
        <v/>
      </c>
      <c r="C182" s="22" t="str" cm="1">
        <f t="array" aca="1" ref="C182" ca="1">IFERROR(INDIRECT("List"&amp;"!"&amp;ADDRESS(MATCH($A182,List!$B:$B,0),MATCH($C$1,List!$1:$1,0),4)),"")</f>
        <v/>
      </c>
      <c r="D182" s="22" t="str" cm="1">
        <f t="array" aca="1" ref="D182" ca="1">IFERROR(INDIRECT("List"&amp;"!"&amp;ADDRESS(MATCH($A182,List!$B:$B,0),MATCH($D$1,List!$1:$1,0),4)),"")</f>
        <v/>
      </c>
      <c r="E182" s="22" t="str" cm="1">
        <f t="array" aca="1" ref="E182" ca="1">IFERROR(INDIRECT("List"&amp;"!"&amp;ADDRESS(MATCH($A182,List!$B:$B,0),MATCH($E$1,List!$1:$1,0),4)),"")</f>
        <v/>
      </c>
      <c r="F182" s="27" t="str" cm="1">
        <f t="array" aca="1" ref="F182" ca="1">IFERROR(INDIRECT("List"&amp;"!"&amp;ADDRESS(MATCH($A182,List!$B:$B,0),MATCH($F$1,List!$1:$1,0),4)),"")</f>
        <v/>
      </c>
      <c r="G182" s="31" t="str" cm="1">
        <f t="array" aca="1" ref="G182" ca="1">IFERROR(INDIRECT("Data"&amp;"!"&amp;ADDRESS(MATCH($G$1,Data!$A$1:$A$20,0),MATCH($A182,Data!$2:$2,0)+3,4)),"")</f>
        <v/>
      </c>
      <c r="H182" s="31" t="str" cm="1">
        <f t="array" aca="1" ref="H182" ca="1">IFERROR(INDIRECT("Data"&amp;"!"&amp;ADDRESS(MATCH($G$1,Data!$A$1:$A$20,0),MATCH($A182,Data!$2:$2,0),4)),"")</f>
        <v/>
      </c>
      <c r="I182" s="31" t="str" cm="1">
        <f t="array" aca="1" ref="I182" ca="1">IFERROR(INDIRECT("Data"&amp;"!"&amp;ADDRESS(MATCH($G$1,Data!$A$1:$A$20,0),MATCH($A182,Data!$2:$2,0)+1,4)),"")</f>
        <v/>
      </c>
      <c r="J182" s="31" t="str" cm="1">
        <f t="array" aca="1" ref="J182" ca="1">IFERROR(INDIRECT("Data"&amp;"!"&amp;ADDRESS(MATCH($G$1,Data!$A$1:$A$20,0),MATCH($A182,Data!$2:$2,0)+2,4)),"")</f>
        <v/>
      </c>
      <c r="K182" s="34" t="str" cm="1">
        <f t="array" aca="1" ref="K182" ca="1">IFERROR(INDIRECT("Data"&amp;"!"&amp;ADDRESS(MATCH($K$1,Data!$A$1:$A$20,0),MATCH($A182,Data!$2:$2,0)+2,4)),"")</f>
        <v/>
      </c>
    </row>
    <row r="183" spans="2:11" x14ac:dyDescent="0.25">
      <c r="B183" s="22" t="str" cm="1">
        <f t="array" aca="1" ref="B183" ca="1">IFERROR(INDIRECT("List"&amp;"!"&amp;ADDRESS(MATCH($A183,List!$B:$B,0),MATCH($B$1,List!$1:$1,0),4)),"")</f>
        <v/>
      </c>
      <c r="C183" s="22" t="str" cm="1">
        <f t="array" aca="1" ref="C183" ca="1">IFERROR(INDIRECT("List"&amp;"!"&amp;ADDRESS(MATCH($A183,List!$B:$B,0),MATCH($C$1,List!$1:$1,0),4)),"")</f>
        <v/>
      </c>
      <c r="D183" s="22" t="str" cm="1">
        <f t="array" aca="1" ref="D183" ca="1">IFERROR(INDIRECT("List"&amp;"!"&amp;ADDRESS(MATCH($A183,List!$B:$B,0),MATCH($D$1,List!$1:$1,0),4)),"")</f>
        <v/>
      </c>
      <c r="E183" s="22" t="str" cm="1">
        <f t="array" aca="1" ref="E183" ca="1">IFERROR(INDIRECT("List"&amp;"!"&amp;ADDRESS(MATCH($A183,List!$B:$B,0),MATCH($E$1,List!$1:$1,0),4)),"")</f>
        <v/>
      </c>
      <c r="F183" s="27" t="str" cm="1">
        <f t="array" aca="1" ref="F183" ca="1">IFERROR(INDIRECT("List"&amp;"!"&amp;ADDRESS(MATCH($A183,List!$B:$B,0),MATCH($F$1,List!$1:$1,0),4)),"")</f>
        <v/>
      </c>
      <c r="G183" s="31" t="str" cm="1">
        <f t="array" aca="1" ref="G183" ca="1">IFERROR(INDIRECT("Data"&amp;"!"&amp;ADDRESS(MATCH($G$1,Data!$A$1:$A$20,0),MATCH($A183,Data!$2:$2,0)+3,4)),"")</f>
        <v/>
      </c>
      <c r="H183" s="31" t="str" cm="1">
        <f t="array" aca="1" ref="H183" ca="1">IFERROR(INDIRECT("Data"&amp;"!"&amp;ADDRESS(MATCH($G$1,Data!$A$1:$A$20,0),MATCH($A183,Data!$2:$2,0),4)),"")</f>
        <v/>
      </c>
      <c r="I183" s="31" t="str" cm="1">
        <f t="array" aca="1" ref="I183" ca="1">IFERROR(INDIRECT("Data"&amp;"!"&amp;ADDRESS(MATCH($G$1,Data!$A$1:$A$20,0),MATCH($A183,Data!$2:$2,0)+1,4)),"")</f>
        <v/>
      </c>
      <c r="J183" s="31" t="str" cm="1">
        <f t="array" aca="1" ref="J183" ca="1">IFERROR(INDIRECT("Data"&amp;"!"&amp;ADDRESS(MATCH($G$1,Data!$A$1:$A$20,0),MATCH($A183,Data!$2:$2,0)+2,4)),"")</f>
        <v/>
      </c>
      <c r="K183" s="34" t="str" cm="1">
        <f t="array" aca="1" ref="K183" ca="1">IFERROR(INDIRECT("Data"&amp;"!"&amp;ADDRESS(MATCH($K$1,Data!$A$1:$A$20,0),MATCH($A183,Data!$2:$2,0)+2,4)),"")</f>
        <v/>
      </c>
    </row>
    <row r="184" spans="2:11" x14ac:dyDescent="0.25">
      <c r="B184" s="22" t="str" cm="1">
        <f t="array" aca="1" ref="B184" ca="1">IFERROR(INDIRECT("List"&amp;"!"&amp;ADDRESS(MATCH($A184,List!$B:$B,0),MATCH($B$1,List!$1:$1,0),4)),"")</f>
        <v/>
      </c>
      <c r="C184" s="22" t="str" cm="1">
        <f t="array" aca="1" ref="C184" ca="1">IFERROR(INDIRECT("List"&amp;"!"&amp;ADDRESS(MATCH($A184,List!$B:$B,0),MATCH($C$1,List!$1:$1,0),4)),"")</f>
        <v/>
      </c>
      <c r="D184" s="22" t="str" cm="1">
        <f t="array" aca="1" ref="D184" ca="1">IFERROR(INDIRECT("List"&amp;"!"&amp;ADDRESS(MATCH($A184,List!$B:$B,0),MATCH($D$1,List!$1:$1,0),4)),"")</f>
        <v/>
      </c>
      <c r="E184" s="22" t="str" cm="1">
        <f t="array" aca="1" ref="E184" ca="1">IFERROR(INDIRECT("List"&amp;"!"&amp;ADDRESS(MATCH($A184,List!$B:$B,0),MATCH($E$1,List!$1:$1,0),4)),"")</f>
        <v/>
      </c>
      <c r="F184" s="27" t="str" cm="1">
        <f t="array" aca="1" ref="F184" ca="1">IFERROR(INDIRECT("List"&amp;"!"&amp;ADDRESS(MATCH($A184,List!$B:$B,0),MATCH($F$1,List!$1:$1,0),4)),"")</f>
        <v/>
      </c>
      <c r="G184" s="31" t="str" cm="1">
        <f t="array" aca="1" ref="G184" ca="1">IFERROR(INDIRECT("Data"&amp;"!"&amp;ADDRESS(MATCH($G$1,Data!$A$1:$A$20,0),MATCH($A184,Data!$2:$2,0)+3,4)),"")</f>
        <v/>
      </c>
      <c r="H184" s="31" t="str" cm="1">
        <f t="array" aca="1" ref="H184" ca="1">IFERROR(INDIRECT("Data"&amp;"!"&amp;ADDRESS(MATCH($G$1,Data!$A$1:$A$20,0),MATCH($A184,Data!$2:$2,0),4)),"")</f>
        <v/>
      </c>
      <c r="I184" s="31" t="str" cm="1">
        <f t="array" aca="1" ref="I184" ca="1">IFERROR(INDIRECT("Data"&amp;"!"&amp;ADDRESS(MATCH($G$1,Data!$A$1:$A$20,0),MATCH($A184,Data!$2:$2,0)+1,4)),"")</f>
        <v/>
      </c>
      <c r="J184" s="31" t="str" cm="1">
        <f t="array" aca="1" ref="J184" ca="1">IFERROR(INDIRECT("Data"&amp;"!"&amp;ADDRESS(MATCH($G$1,Data!$A$1:$A$20,0),MATCH($A184,Data!$2:$2,0)+2,4)),"")</f>
        <v/>
      </c>
      <c r="K184" s="34" t="str" cm="1">
        <f t="array" aca="1" ref="K184" ca="1">IFERROR(INDIRECT("Data"&amp;"!"&amp;ADDRESS(MATCH($K$1,Data!$A$1:$A$20,0),MATCH($A184,Data!$2:$2,0)+2,4)),"")</f>
        <v/>
      </c>
    </row>
    <row r="185" spans="2:11" x14ac:dyDescent="0.25">
      <c r="B185" s="22" t="str" cm="1">
        <f t="array" aca="1" ref="B185" ca="1">IFERROR(INDIRECT("List"&amp;"!"&amp;ADDRESS(MATCH($A185,List!$B:$B,0),MATCH($B$1,List!$1:$1,0),4)),"")</f>
        <v/>
      </c>
      <c r="C185" s="22" t="str" cm="1">
        <f t="array" aca="1" ref="C185" ca="1">IFERROR(INDIRECT("List"&amp;"!"&amp;ADDRESS(MATCH($A185,List!$B:$B,0),MATCH($C$1,List!$1:$1,0),4)),"")</f>
        <v/>
      </c>
      <c r="D185" s="22" t="str" cm="1">
        <f t="array" aca="1" ref="D185" ca="1">IFERROR(INDIRECT("List"&amp;"!"&amp;ADDRESS(MATCH($A185,List!$B:$B,0),MATCH($D$1,List!$1:$1,0),4)),"")</f>
        <v/>
      </c>
      <c r="E185" s="22" t="str" cm="1">
        <f t="array" aca="1" ref="E185" ca="1">IFERROR(INDIRECT("List"&amp;"!"&amp;ADDRESS(MATCH($A185,List!$B:$B,0),MATCH($E$1,List!$1:$1,0),4)),"")</f>
        <v/>
      </c>
      <c r="F185" s="27" t="str" cm="1">
        <f t="array" aca="1" ref="F185" ca="1">IFERROR(INDIRECT("List"&amp;"!"&amp;ADDRESS(MATCH($A185,List!$B:$B,0),MATCH($F$1,List!$1:$1,0),4)),"")</f>
        <v/>
      </c>
      <c r="G185" s="31" t="str" cm="1">
        <f t="array" aca="1" ref="G185" ca="1">IFERROR(INDIRECT("Data"&amp;"!"&amp;ADDRESS(MATCH($G$1,Data!$A$1:$A$20,0),MATCH($A185,Data!$2:$2,0)+3,4)),"")</f>
        <v/>
      </c>
      <c r="H185" s="31" t="str" cm="1">
        <f t="array" aca="1" ref="H185" ca="1">IFERROR(INDIRECT("Data"&amp;"!"&amp;ADDRESS(MATCH($G$1,Data!$A$1:$A$20,0),MATCH($A185,Data!$2:$2,0),4)),"")</f>
        <v/>
      </c>
      <c r="I185" s="31" t="str" cm="1">
        <f t="array" aca="1" ref="I185" ca="1">IFERROR(INDIRECT("Data"&amp;"!"&amp;ADDRESS(MATCH($G$1,Data!$A$1:$A$20,0),MATCH($A185,Data!$2:$2,0)+1,4)),"")</f>
        <v/>
      </c>
      <c r="J185" s="31" t="str" cm="1">
        <f t="array" aca="1" ref="J185" ca="1">IFERROR(INDIRECT("Data"&amp;"!"&amp;ADDRESS(MATCH($G$1,Data!$A$1:$A$20,0),MATCH($A185,Data!$2:$2,0)+2,4)),"")</f>
        <v/>
      </c>
      <c r="K185" s="34" t="str" cm="1">
        <f t="array" aca="1" ref="K185" ca="1">IFERROR(INDIRECT("Data"&amp;"!"&amp;ADDRESS(MATCH($K$1,Data!$A$1:$A$20,0),MATCH($A185,Data!$2:$2,0)+2,4)),"")</f>
        <v/>
      </c>
    </row>
    <row r="186" spans="2:11" x14ac:dyDescent="0.25">
      <c r="B186" s="22" t="str" cm="1">
        <f t="array" aca="1" ref="B186" ca="1">IFERROR(INDIRECT("List"&amp;"!"&amp;ADDRESS(MATCH($A186,List!$B:$B,0),MATCH($B$1,List!$1:$1,0),4)),"")</f>
        <v/>
      </c>
      <c r="C186" s="22" t="str" cm="1">
        <f t="array" aca="1" ref="C186" ca="1">IFERROR(INDIRECT("List"&amp;"!"&amp;ADDRESS(MATCH($A186,List!$B:$B,0),MATCH($C$1,List!$1:$1,0),4)),"")</f>
        <v/>
      </c>
      <c r="D186" s="22" t="str" cm="1">
        <f t="array" aca="1" ref="D186" ca="1">IFERROR(INDIRECT("List"&amp;"!"&amp;ADDRESS(MATCH($A186,List!$B:$B,0),MATCH($D$1,List!$1:$1,0),4)),"")</f>
        <v/>
      </c>
      <c r="E186" s="22" t="str" cm="1">
        <f t="array" aca="1" ref="E186" ca="1">IFERROR(INDIRECT("List"&amp;"!"&amp;ADDRESS(MATCH($A186,List!$B:$B,0),MATCH($E$1,List!$1:$1,0),4)),"")</f>
        <v/>
      </c>
      <c r="F186" s="27" t="str" cm="1">
        <f t="array" aca="1" ref="F186" ca="1">IFERROR(INDIRECT("List"&amp;"!"&amp;ADDRESS(MATCH($A186,List!$B:$B,0),MATCH($F$1,List!$1:$1,0),4)),"")</f>
        <v/>
      </c>
      <c r="G186" s="31" t="str" cm="1">
        <f t="array" aca="1" ref="G186" ca="1">IFERROR(INDIRECT("Data"&amp;"!"&amp;ADDRESS(MATCH($G$1,Data!$A$1:$A$20,0),MATCH($A186,Data!$2:$2,0)+3,4)),"")</f>
        <v/>
      </c>
      <c r="H186" s="31" t="str" cm="1">
        <f t="array" aca="1" ref="H186" ca="1">IFERROR(INDIRECT("Data"&amp;"!"&amp;ADDRESS(MATCH($G$1,Data!$A$1:$A$20,0),MATCH($A186,Data!$2:$2,0),4)),"")</f>
        <v/>
      </c>
      <c r="I186" s="31" t="str" cm="1">
        <f t="array" aca="1" ref="I186" ca="1">IFERROR(INDIRECT("Data"&amp;"!"&amp;ADDRESS(MATCH($G$1,Data!$A$1:$A$20,0),MATCH($A186,Data!$2:$2,0)+1,4)),"")</f>
        <v/>
      </c>
      <c r="J186" s="31" t="str" cm="1">
        <f t="array" aca="1" ref="J186" ca="1">IFERROR(INDIRECT("Data"&amp;"!"&amp;ADDRESS(MATCH($G$1,Data!$A$1:$A$20,0),MATCH($A186,Data!$2:$2,0)+2,4)),"")</f>
        <v/>
      </c>
      <c r="K186" s="34" t="str" cm="1">
        <f t="array" aca="1" ref="K186" ca="1">IFERROR(INDIRECT("Data"&amp;"!"&amp;ADDRESS(MATCH($K$1,Data!$A$1:$A$20,0),MATCH($A186,Data!$2:$2,0)+2,4)),"")</f>
        <v/>
      </c>
    </row>
    <row r="187" spans="2:11" x14ac:dyDescent="0.25">
      <c r="B187" s="22" t="str" cm="1">
        <f t="array" aca="1" ref="B187" ca="1">IFERROR(INDIRECT("List"&amp;"!"&amp;ADDRESS(MATCH($A187,List!$B:$B,0),MATCH($B$1,List!$1:$1,0),4)),"")</f>
        <v/>
      </c>
      <c r="C187" s="22" t="str" cm="1">
        <f t="array" aca="1" ref="C187" ca="1">IFERROR(INDIRECT("List"&amp;"!"&amp;ADDRESS(MATCH($A187,List!$B:$B,0),MATCH($C$1,List!$1:$1,0),4)),"")</f>
        <v/>
      </c>
      <c r="D187" s="22" t="str" cm="1">
        <f t="array" aca="1" ref="D187" ca="1">IFERROR(INDIRECT("List"&amp;"!"&amp;ADDRESS(MATCH($A187,List!$B:$B,0),MATCH($D$1,List!$1:$1,0),4)),"")</f>
        <v/>
      </c>
      <c r="E187" s="22" t="str" cm="1">
        <f t="array" aca="1" ref="E187" ca="1">IFERROR(INDIRECT("List"&amp;"!"&amp;ADDRESS(MATCH($A187,List!$B:$B,0),MATCH($E$1,List!$1:$1,0),4)),"")</f>
        <v/>
      </c>
      <c r="F187" s="27" t="str" cm="1">
        <f t="array" aca="1" ref="F187" ca="1">IFERROR(INDIRECT("List"&amp;"!"&amp;ADDRESS(MATCH($A187,List!$B:$B,0),MATCH($F$1,List!$1:$1,0),4)),"")</f>
        <v/>
      </c>
      <c r="G187" s="31" t="str" cm="1">
        <f t="array" aca="1" ref="G187" ca="1">IFERROR(INDIRECT("Data"&amp;"!"&amp;ADDRESS(MATCH($G$1,Data!$A$1:$A$20,0),MATCH($A187,Data!$2:$2,0)+3,4)),"")</f>
        <v/>
      </c>
      <c r="H187" s="31" t="str" cm="1">
        <f t="array" aca="1" ref="H187" ca="1">IFERROR(INDIRECT("Data"&amp;"!"&amp;ADDRESS(MATCH($G$1,Data!$A$1:$A$20,0),MATCH($A187,Data!$2:$2,0),4)),"")</f>
        <v/>
      </c>
      <c r="I187" s="31" t="str" cm="1">
        <f t="array" aca="1" ref="I187" ca="1">IFERROR(INDIRECT("Data"&amp;"!"&amp;ADDRESS(MATCH($G$1,Data!$A$1:$A$20,0),MATCH($A187,Data!$2:$2,0)+1,4)),"")</f>
        <v/>
      </c>
      <c r="J187" s="31" t="str" cm="1">
        <f t="array" aca="1" ref="J187" ca="1">IFERROR(INDIRECT("Data"&amp;"!"&amp;ADDRESS(MATCH($G$1,Data!$A$1:$A$20,0),MATCH($A187,Data!$2:$2,0)+2,4)),"")</f>
        <v/>
      </c>
      <c r="K187" s="34" t="str" cm="1">
        <f t="array" aca="1" ref="K187" ca="1">IFERROR(INDIRECT("Data"&amp;"!"&amp;ADDRESS(MATCH($K$1,Data!$A$1:$A$20,0),MATCH($A187,Data!$2:$2,0)+2,4)),"")</f>
        <v/>
      </c>
    </row>
    <row r="188" spans="2:11" x14ac:dyDescent="0.25">
      <c r="B188" s="22" t="str" cm="1">
        <f t="array" aca="1" ref="B188" ca="1">IFERROR(INDIRECT("List"&amp;"!"&amp;ADDRESS(MATCH($A188,List!$B:$B,0),MATCH($B$1,List!$1:$1,0),4)),"")</f>
        <v/>
      </c>
      <c r="C188" s="22" t="str" cm="1">
        <f t="array" aca="1" ref="C188" ca="1">IFERROR(INDIRECT("List"&amp;"!"&amp;ADDRESS(MATCH($A188,List!$B:$B,0),MATCH($C$1,List!$1:$1,0),4)),"")</f>
        <v/>
      </c>
      <c r="D188" s="22" t="str" cm="1">
        <f t="array" aca="1" ref="D188" ca="1">IFERROR(INDIRECT("List"&amp;"!"&amp;ADDRESS(MATCH($A188,List!$B:$B,0),MATCH($D$1,List!$1:$1,0),4)),"")</f>
        <v/>
      </c>
      <c r="E188" s="22" t="str" cm="1">
        <f t="array" aca="1" ref="E188" ca="1">IFERROR(INDIRECT("List"&amp;"!"&amp;ADDRESS(MATCH($A188,List!$B:$B,0),MATCH($E$1,List!$1:$1,0),4)),"")</f>
        <v/>
      </c>
      <c r="F188" s="27" t="str" cm="1">
        <f t="array" aca="1" ref="F188" ca="1">IFERROR(INDIRECT("List"&amp;"!"&amp;ADDRESS(MATCH($A188,List!$B:$B,0),MATCH($F$1,List!$1:$1,0),4)),"")</f>
        <v/>
      </c>
      <c r="G188" s="31" t="str" cm="1">
        <f t="array" aca="1" ref="G188" ca="1">IFERROR(INDIRECT("Data"&amp;"!"&amp;ADDRESS(MATCH($G$1,Data!$A$1:$A$20,0),MATCH($A188,Data!$2:$2,0)+3,4)),"")</f>
        <v/>
      </c>
      <c r="H188" s="31" t="str" cm="1">
        <f t="array" aca="1" ref="H188" ca="1">IFERROR(INDIRECT("Data"&amp;"!"&amp;ADDRESS(MATCH($G$1,Data!$A$1:$A$20,0),MATCH($A188,Data!$2:$2,0),4)),"")</f>
        <v/>
      </c>
      <c r="I188" s="31" t="str" cm="1">
        <f t="array" aca="1" ref="I188" ca="1">IFERROR(INDIRECT("Data"&amp;"!"&amp;ADDRESS(MATCH($G$1,Data!$A$1:$A$20,0),MATCH($A188,Data!$2:$2,0)+1,4)),"")</f>
        <v/>
      </c>
      <c r="J188" s="31" t="str" cm="1">
        <f t="array" aca="1" ref="J188" ca="1">IFERROR(INDIRECT("Data"&amp;"!"&amp;ADDRESS(MATCH($G$1,Data!$A$1:$A$20,0),MATCH($A188,Data!$2:$2,0)+2,4)),"")</f>
        <v/>
      </c>
      <c r="K188" s="34" t="str" cm="1">
        <f t="array" aca="1" ref="K188" ca="1">IFERROR(INDIRECT("Data"&amp;"!"&amp;ADDRESS(MATCH($K$1,Data!$A$1:$A$20,0),MATCH($A188,Data!$2:$2,0)+2,4)),"")</f>
        <v/>
      </c>
    </row>
    <row r="189" spans="2:11" x14ac:dyDescent="0.25">
      <c r="B189" s="22" t="str" cm="1">
        <f t="array" aca="1" ref="B189" ca="1">IFERROR(INDIRECT("List"&amp;"!"&amp;ADDRESS(MATCH($A189,List!$B:$B,0),MATCH($B$1,List!$1:$1,0),4)),"")</f>
        <v/>
      </c>
      <c r="C189" s="22" t="str" cm="1">
        <f t="array" aca="1" ref="C189" ca="1">IFERROR(INDIRECT("List"&amp;"!"&amp;ADDRESS(MATCH($A189,List!$B:$B,0),MATCH($C$1,List!$1:$1,0),4)),"")</f>
        <v/>
      </c>
      <c r="D189" s="22" t="str" cm="1">
        <f t="array" aca="1" ref="D189" ca="1">IFERROR(INDIRECT("List"&amp;"!"&amp;ADDRESS(MATCH($A189,List!$B:$B,0),MATCH($D$1,List!$1:$1,0),4)),"")</f>
        <v/>
      </c>
      <c r="E189" s="22" t="str" cm="1">
        <f t="array" aca="1" ref="E189" ca="1">IFERROR(INDIRECT("List"&amp;"!"&amp;ADDRESS(MATCH($A189,List!$B:$B,0),MATCH($E$1,List!$1:$1,0),4)),"")</f>
        <v/>
      </c>
      <c r="F189" s="27" t="str" cm="1">
        <f t="array" aca="1" ref="F189" ca="1">IFERROR(INDIRECT("List"&amp;"!"&amp;ADDRESS(MATCH($A189,List!$B:$B,0),MATCH($F$1,List!$1:$1,0),4)),"")</f>
        <v/>
      </c>
      <c r="G189" s="31" t="str" cm="1">
        <f t="array" aca="1" ref="G189" ca="1">IFERROR(INDIRECT("Data"&amp;"!"&amp;ADDRESS(MATCH($G$1,Data!$A$1:$A$20,0),MATCH($A189,Data!$2:$2,0)+3,4)),"")</f>
        <v/>
      </c>
      <c r="H189" s="31" t="str" cm="1">
        <f t="array" aca="1" ref="H189" ca="1">IFERROR(INDIRECT("Data"&amp;"!"&amp;ADDRESS(MATCH($G$1,Data!$A$1:$A$20,0),MATCH($A189,Data!$2:$2,0),4)),"")</f>
        <v/>
      </c>
      <c r="I189" s="31" t="str" cm="1">
        <f t="array" aca="1" ref="I189" ca="1">IFERROR(INDIRECT("Data"&amp;"!"&amp;ADDRESS(MATCH($G$1,Data!$A$1:$A$20,0),MATCH($A189,Data!$2:$2,0)+1,4)),"")</f>
        <v/>
      </c>
      <c r="J189" s="31" t="str" cm="1">
        <f t="array" aca="1" ref="J189" ca="1">IFERROR(INDIRECT("Data"&amp;"!"&amp;ADDRESS(MATCH($G$1,Data!$A$1:$A$20,0),MATCH($A189,Data!$2:$2,0)+2,4)),"")</f>
        <v/>
      </c>
      <c r="K189" s="34" t="str" cm="1">
        <f t="array" aca="1" ref="K189" ca="1">IFERROR(INDIRECT("Data"&amp;"!"&amp;ADDRESS(MATCH($K$1,Data!$A$1:$A$20,0),MATCH($A189,Data!$2:$2,0)+2,4)),"")</f>
        <v/>
      </c>
    </row>
    <row r="190" spans="2:11" x14ac:dyDescent="0.25">
      <c r="B190" s="22" t="str" cm="1">
        <f t="array" aca="1" ref="B190" ca="1">IFERROR(INDIRECT("List"&amp;"!"&amp;ADDRESS(MATCH($A190,List!$B:$B,0),MATCH($B$1,List!$1:$1,0),4)),"")</f>
        <v/>
      </c>
      <c r="C190" s="22" t="str" cm="1">
        <f t="array" aca="1" ref="C190" ca="1">IFERROR(INDIRECT("List"&amp;"!"&amp;ADDRESS(MATCH($A190,List!$B:$B,0),MATCH($C$1,List!$1:$1,0),4)),"")</f>
        <v/>
      </c>
      <c r="D190" s="22" t="str" cm="1">
        <f t="array" aca="1" ref="D190" ca="1">IFERROR(INDIRECT("List"&amp;"!"&amp;ADDRESS(MATCH($A190,List!$B:$B,0),MATCH($D$1,List!$1:$1,0),4)),"")</f>
        <v/>
      </c>
      <c r="E190" s="22" t="str" cm="1">
        <f t="array" aca="1" ref="E190" ca="1">IFERROR(INDIRECT("List"&amp;"!"&amp;ADDRESS(MATCH($A190,List!$B:$B,0),MATCH($E$1,List!$1:$1,0),4)),"")</f>
        <v/>
      </c>
      <c r="F190" s="27" t="str" cm="1">
        <f t="array" aca="1" ref="F190" ca="1">IFERROR(INDIRECT("List"&amp;"!"&amp;ADDRESS(MATCH($A190,List!$B:$B,0),MATCH($F$1,List!$1:$1,0),4)),"")</f>
        <v/>
      </c>
      <c r="G190" s="31" t="str" cm="1">
        <f t="array" aca="1" ref="G190" ca="1">IFERROR(INDIRECT("Data"&amp;"!"&amp;ADDRESS(MATCH($G$1,Data!$A$1:$A$20,0),MATCH($A190,Data!$2:$2,0)+3,4)),"")</f>
        <v/>
      </c>
      <c r="H190" s="31" t="str" cm="1">
        <f t="array" aca="1" ref="H190" ca="1">IFERROR(INDIRECT("Data"&amp;"!"&amp;ADDRESS(MATCH($G$1,Data!$A$1:$A$20,0),MATCH($A190,Data!$2:$2,0),4)),"")</f>
        <v/>
      </c>
      <c r="I190" s="31" t="str" cm="1">
        <f t="array" aca="1" ref="I190" ca="1">IFERROR(INDIRECT("Data"&amp;"!"&amp;ADDRESS(MATCH($G$1,Data!$A$1:$A$20,0),MATCH($A190,Data!$2:$2,0)+1,4)),"")</f>
        <v/>
      </c>
      <c r="J190" s="31" t="str" cm="1">
        <f t="array" aca="1" ref="J190" ca="1">IFERROR(INDIRECT("Data"&amp;"!"&amp;ADDRESS(MATCH($G$1,Data!$A$1:$A$20,0),MATCH($A190,Data!$2:$2,0)+2,4)),"")</f>
        <v/>
      </c>
      <c r="K190" s="34" t="str" cm="1">
        <f t="array" aca="1" ref="K190" ca="1">IFERROR(INDIRECT("Data"&amp;"!"&amp;ADDRESS(MATCH($K$1,Data!$A$1:$A$20,0),MATCH($A190,Data!$2:$2,0)+2,4)),"")</f>
        <v/>
      </c>
    </row>
    <row r="191" spans="2:11" x14ac:dyDescent="0.25">
      <c r="B191" s="22" t="str" cm="1">
        <f t="array" aca="1" ref="B191" ca="1">IFERROR(INDIRECT("List"&amp;"!"&amp;ADDRESS(MATCH($A191,List!$B:$B,0),MATCH($B$1,List!$1:$1,0),4)),"")</f>
        <v/>
      </c>
      <c r="C191" s="22" t="str" cm="1">
        <f t="array" aca="1" ref="C191" ca="1">IFERROR(INDIRECT("List"&amp;"!"&amp;ADDRESS(MATCH($A191,List!$B:$B,0),MATCH($C$1,List!$1:$1,0),4)),"")</f>
        <v/>
      </c>
      <c r="D191" s="22" t="str" cm="1">
        <f t="array" aca="1" ref="D191" ca="1">IFERROR(INDIRECT("List"&amp;"!"&amp;ADDRESS(MATCH($A191,List!$B:$B,0),MATCH($D$1,List!$1:$1,0),4)),"")</f>
        <v/>
      </c>
      <c r="E191" s="22" t="str" cm="1">
        <f t="array" aca="1" ref="E191" ca="1">IFERROR(INDIRECT("List"&amp;"!"&amp;ADDRESS(MATCH($A191,List!$B:$B,0),MATCH($E$1,List!$1:$1,0),4)),"")</f>
        <v/>
      </c>
      <c r="F191" s="27" t="str" cm="1">
        <f t="array" aca="1" ref="F191" ca="1">IFERROR(INDIRECT("List"&amp;"!"&amp;ADDRESS(MATCH($A191,List!$B:$B,0),MATCH($F$1,List!$1:$1,0),4)),"")</f>
        <v/>
      </c>
      <c r="G191" s="31" t="str" cm="1">
        <f t="array" aca="1" ref="G191" ca="1">IFERROR(INDIRECT("Data"&amp;"!"&amp;ADDRESS(MATCH($G$1,Data!$A$1:$A$20,0),MATCH($A191,Data!$2:$2,0)+3,4)),"")</f>
        <v/>
      </c>
      <c r="H191" s="31" t="str" cm="1">
        <f t="array" aca="1" ref="H191" ca="1">IFERROR(INDIRECT("Data"&amp;"!"&amp;ADDRESS(MATCH($G$1,Data!$A$1:$A$20,0),MATCH($A191,Data!$2:$2,0),4)),"")</f>
        <v/>
      </c>
      <c r="I191" s="31" t="str" cm="1">
        <f t="array" aca="1" ref="I191" ca="1">IFERROR(INDIRECT("Data"&amp;"!"&amp;ADDRESS(MATCH($G$1,Data!$A$1:$A$20,0),MATCH($A191,Data!$2:$2,0)+1,4)),"")</f>
        <v/>
      </c>
      <c r="J191" s="31" t="str" cm="1">
        <f t="array" aca="1" ref="J191" ca="1">IFERROR(INDIRECT("Data"&amp;"!"&amp;ADDRESS(MATCH($G$1,Data!$A$1:$A$20,0),MATCH($A191,Data!$2:$2,0)+2,4)),"")</f>
        <v/>
      </c>
      <c r="K191" s="34" t="str" cm="1">
        <f t="array" aca="1" ref="K191" ca="1">IFERROR(INDIRECT("Data"&amp;"!"&amp;ADDRESS(MATCH($K$1,Data!$A$1:$A$20,0),MATCH($A191,Data!$2:$2,0)+2,4)),"")</f>
        <v/>
      </c>
    </row>
    <row r="192" spans="2:11" x14ac:dyDescent="0.25">
      <c r="B192" s="22" t="str" cm="1">
        <f t="array" aca="1" ref="B192" ca="1">IFERROR(INDIRECT("List"&amp;"!"&amp;ADDRESS(MATCH($A192,List!$B:$B,0),MATCH($B$1,List!$1:$1,0),4)),"")</f>
        <v/>
      </c>
      <c r="C192" s="22" t="str" cm="1">
        <f t="array" aca="1" ref="C192" ca="1">IFERROR(INDIRECT("List"&amp;"!"&amp;ADDRESS(MATCH($A192,List!$B:$B,0),MATCH($C$1,List!$1:$1,0),4)),"")</f>
        <v/>
      </c>
      <c r="D192" s="22" t="str" cm="1">
        <f t="array" aca="1" ref="D192" ca="1">IFERROR(INDIRECT("List"&amp;"!"&amp;ADDRESS(MATCH($A192,List!$B:$B,0),MATCH($D$1,List!$1:$1,0),4)),"")</f>
        <v/>
      </c>
      <c r="E192" s="22" t="str" cm="1">
        <f t="array" aca="1" ref="E192" ca="1">IFERROR(INDIRECT("List"&amp;"!"&amp;ADDRESS(MATCH($A192,List!$B:$B,0),MATCH($E$1,List!$1:$1,0),4)),"")</f>
        <v/>
      </c>
      <c r="F192" s="27" t="str" cm="1">
        <f t="array" aca="1" ref="F192" ca="1">IFERROR(INDIRECT("List"&amp;"!"&amp;ADDRESS(MATCH($A192,List!$B:$B,0),MATCH($F$1,List!$1:$1,0),4)),"")</f>
        <v/>
      </c>
      <c r="G192" s="31" t="str" cm="1">
        <f t="array" aca="1" ref="G192" ca="1">IFERROR(INDIRECT("Data"&amp;"!"&amp;ADDRESS(MATCH($G$1,Data!$A$1:$A$20,0),MATCH($A192,Data!$2:$2,0)+3,4)),"")</f>
        <v/>
      </c>
      <c r="H192" s="31" t="str" cm="1">
        <f t="array" aca="1" ref="H192" ca="1">IFERROR(INDIRECT("Data"&amp;"!"&amp;ADDRESS(MATCH($G$1,Data!$A$1:$A$20,0),MATCH($A192,Data!$2:$2,0),4)),"")</f>
        <v/>
      </c>
      <c r="I192" s="31" t="str" cm="1">
        <f t="array" aca="1" ref="I192" ca="1">IFERROR(INDIRECT("Data"&amp;"!"&amp;ADDRESS(MATCH($G$1,Data!$A$1:$A$20,0),MATCH($A192,Data!$2:$2,0)+1,4)),"")</f>
        <v/>
      </c>
      <c r="J192" s="31" t="str" cm="1">
        <f t="array" aca="1" ref="J192" ca="1">IFERROR(INDIRECT("Data"&amp;"!"&amp;ADDRESS(MATCH($G$1,Data!$A$1:$A$20,0),MATCH($A192,Data!$2:$2,0)+2,4)),"")</f>
        <v/>
      </c>
      <c r="K192" s="34" t="str" cm="1">
        <f t="array" aca="1" ref="K192" ca="1">IFERROR(INDIRECT("Data"&amp;"!"&amp;ADDRESS(MATCH($K$1,Data!$A$1:$A$20,0),MATCH($A192,Data!$2:$2,0)+2,4)),"")</f>
        <v/>
      </c>
    </row>
    <row r="193" spans="2:11" x14ac:dyDescent="0.25">
      <c r="B193" s="22" t="str" cm="1">
        <f t="array" aca="1" ref="B193" ca="1">IFERROR(INDIRECT("List"&amp;"!"&amp;ADDRESS(MATCH($A193,List!$B:$B,0),MATCH($B$1,List!$1:$1,0),4)),"")</f>
        <v/>
      </c>
      <c r="C193" s="22" t="str" cm="1">
        <f t="array" aca="1" ref="C193" ca="1">IFERROR(INDIRECT("List"&amp;"!"&amp;ADDRESS(MATCH($A193,List!$B:$B,0),MATCH($C$1,List!$1:$1,0),4)),"")</f>
        <v/>
      </c>
      <c r="D193" s="22" t="str" cm="1">
        <f t="array" aca="1" ref="D193" ca="1">IFERROR(INDIRECT("List"&amp;"!"&amp;ADDRESS(MATCH($A193,List!$B:$B,0),MATCH($D$1,List!$1:$1,0),4)),"")</f>
        <v/>
      </c>
      <c r="E193" s="22" t="str" cm="1">
        <f t="array" aca="1" ref="E193" ca="1">IFERROR(INDIRECT("List"&amp;"!"&amp;ADDRESS(MATCH($A193,List!$B:$B,0),MATCH($E$1,List!$1:$1,0),4)),"")</f>
        <v/>
      </c>
      <c r="F193" s="27" t="str" cm="1">
        <f t="array" aca="1" ref="F193" ca="1">IFERROR(INDIRECT("List"&amp;"!"&amp;ADDRESS(MATCH($A193,List!$B:$B,0),MATCH($F$1,List!$1:$1,0),4)),"")</f>
        <v/>
      </c>
      <c r="G193" s="31" t="str" cm="1">
        <f t="array" aca="1" ref="G193" ca="1">IFERROR(INDIRECT("Data"&amp;"!"&amp;ADDRESS(MATCH($G$1,Data!$A$1:$A$20,0),MATCH($A193,Data!$2:$2,0)+3,4)),"")</f>
        <v/>
      </c>
      <c r="H193" s="31" t="str" cm="1">
        <f t="array" aca="1" ref="H193" ca="1">IFERROR(INDIRECT("Data"&amp;"!"&amp;ADDRESS(MATCH($G$1,Data!$A$1:$A$20,0),MATCH($A193,Data!$2:$2,0),4)),"")</f>
        <v/>
      </c>
      <c r="I193" s="31" t="str" cm="1">
        <f t="array" aca="1" ref="I193" ca="1">IFERROR(INDIRECT("Data"&amp;"!"&amp;ADDRESS(MATCH($G$1,Data!$A$1:$A$20,0),MATCH($A193,Data!$2:$2,0)+1,4)),"")</f>
        <v/>
      </c>
      <c r="J193" s="31" t="str" cm="1">
        <f t="array" aca="1" ref="J193" ca="1">IFERROR(INDIRECT("Data"&amp;"!"&amp;ADDRESS(MATCH($G$1,Data!$A$1:$A$20,0),MATCH($A193,Data!$2:$2,0)+2,4)),"")</f>
        <v/>
      </c>
      <c r="K193" s="34" t="str" cm="1">
        <f t="array" aca="1" ref="K193" ca="1">IFERROR(INDIRECT("Data"&amp;"!"&amp;ADDRESS(MATCH($K$1,Data!$A$1:$A$20,0),MATCH($A193,Data!$2:$2,0)+2,4)),"")</f>
        <v/>
      </c>
    </row>
    <row r="194" spans="2:11" x14ac:dyDescent="0.25">
      <c r="B194" s="22" t="str" cm="1">
        <f t="array" aca="1" ref="B194" ca="1">IFERROR(INDIRECT("List"&amp;"!"&amp;ADDRESS(MATCH($A194,List!$B:$B,0),MATCH($B$1,List!$1:$1,0),4)),"")</f>
        <v/>
      </c>
      <c r="C194" s="22" t="str" cm="1">
        <f t="array" aca="1" ref="C194" ca="1">IFERROR(INDIRECT("List"&amp;"!"&amp;ADDRESS(MATCH($A194,List!$B:$B,0),MATCH($C$1,List!$1:$1,0),4)),"")</f>
        <v/>
      </c>
      <c r="D194" s="22" t="str" cm="1">
        <f t="array" aca="1" ref="D194" ca="1">IFERROR(INDIRECT("List"&amp;"!"&amp;ADDRESS(MATCH($A194,List!$B:$B,0),MATCH($D$1,List!$1:$1,0),4)),"")</f>
        <v/>
      </c>
      <c r="E194" s="22" t="str" cm="1">
        <f t="array" aca="1" ref="E194" ca="1">IFERROR(INDIRECT("List"&amp;"!"&amp;ADDRESS(MATCH($A194,List!$B:$B,0),MATCH($E$1,List!$1:$1,0),4)),"")</f>
        <v/>
      </c>
      <c r="F194" s="27" t="str" cm="1">
        <f t="array" aca="1" ref="F194" ca="1">IFERROR(INDIRECT("List"&amp;"!"&amp;ADDRESS(MATCH($A194,List!$B:$B,0),MATCH($F$1,List!$1:$1,0),4)),"")</f>
        <v/>
      </c>
      <c r="G194" s="31" t="str" cm="1">
        <f t="array" aca="1" ref="G194" ca="1">IFERROR(INDIRECT("Data"&amp;"!"&amp;ADDRESS(MATCH($G$1,Data!$A$1:$A$20,0),MATCH($A194,Data!$2:$2,0)+3,4)),"")</f>
        <v/>
      </c>
      <c r="H194" s="31" t="str" cm="1">
        <f t="array" aca="1" ref="H194" ca="1">IFERROR(INDIRECT("Data"&amp;"!"&amp;ADDRESS(MATCH($G$1,Data!$A$1:$A$20,0),MATCH($A194,Data!$2:$2,0),4)),"")</f>
        <v/>
      </c>
      <c r="I194" s="31" t="str" cm="1">
        <f t="array" aca="1" ref="I194" ca="1">IFERROR(INDIRECT("Data"&amp;"!"&amp;ADDRESS(MATCH($G$1,Data!$A$1:$A$20,0),MATCH($A194,Data!$2:$2,0)+1,4)),"")</f>
        <v/>
      </c>
      <c r="J194" s="31" t="str" cm="1">
        <f t="array" aca="1" ref="J194" ca="1">IFERROR(INDIRECT("Data"&amp;"!"&amp;ADDRESS(MATCH($G$1,Data!$A$1:$A$20,0),MATCH($A194,Data!$2:$2,0)+2,4)),"")</f>
        <v/>
      </c>
      <c r="K194" s="34" t="str" cm="1">
        <f t="array" aca="1" ref="K194" ca="1">IFERROR(INDIRECT("Data"&amp;"!"&amp;ADDRESS(MATCH($K$1,Data!$A$1:$A$20,0),MATCH($A194,Data!$2:$2,0)+2,4)),"")</f>
        <v/>
      </c>
    </row>
    <row r="195" spans="2:11" x14ac:dyDescent="0.25">
      <c r="B195" s="22" t="str" cm="1">
        <f t="array" aca="1" ref="B195" ca="1">IFERROR(INDIRECT("List"&amp;"!"&amp;ADDRESS(MATCH($A195,List!$B:$B,0),MATCH($B$1,List!$1:$1,0),4)),"")</f>
        <v/>
      </c>
      <c r="C195" s="22" t="str" cm="1">
        <f t="array" aca="1" ref="C195" ca="1">IFERROR(INDIRECT("List"&amp;"!"&amp;ADDRESS(MATCH($A195,List!$B:$B,0),MATCH($C$1,List!$1:$1,0),4)),"")</f>
        <v/>
      </c>
      <c r="D195" s="22" t="str" cm="1">
        <f t="array" aca="1" ref="D195" ca="1">IFERROR(INDIRECT("List"&amp;"!"&amp;ADDRESS(MATCH($A195,List!$B:$B,0),MATCH($D$1,List!$1:$1,0),4)),"")</f>
        <v/>
      </c>
      <c r="E195" s="22" t="str" cm="1">
        <f t="array" aca="1" ref="E195" ca="1">IFERROR(INDIRECT("List"&amp;"!"&amp;ADDRESS(MATCH($A195,List!$B:$B,0),MATCH($E$1,List!$1:$1,0),4)),"")</f>
        <v/>
      </c>
      <c r="F195" s="27" t="str" cm="1">
        <f t="array" aca="1" ref="F195" ca="1">IFERROR(INDIRECT("List"&amp;"!"&amp;ADDRESS(MATCH($A195,List!$B:$B,0),MATCH($F$1,List!$1:$1,0),4)),"")</f>
        <v/>
      </c>
      <c r="G195" s="31" t="str" cm="1">
        <f t="array" aca="1" ref="G195" ca="1">IFERROR(INDIRECT("Data"&amp;"!"&amp;ADDRESS(MATCH($G$1,Data!$A$1:$A$20,0),MATCH($A195,Data!$2:$2,0)+3,4)),"")</f>
        <v/>
      </c>
      <c r="H195" s="31" t="str" cm="1">
        <f t="array" aca="1" ref="H195" ca="1">IFERROR(INDIRECT("Data"&amp;"!"&amp;ADDRESS(MATCH($G$1,Data!$A$1:$A$20,0),MATCH($A195,Data!$2:$2,0),4)),"")</f>
        <v/>
      </c>
      <c r="I195" s="31" t="str" cm="1">
        <f t="array" aca="1" ref="I195" ca="1">IFERROR(INDIRECT("Data"&amp;"!"&amp;ADDRESS(MATCH($G$1,Data!$A$1:$A$20,0),MATCH($A195,Data!$2:$2,0)+1,4)),"")</f>
        <v/>
      </c>
      <c r="J195" s="31" t="str" cm="1">
        <f t="array" aca="1" ref="J195" ca="1">IFERROR(INDIRECT("Data"&amp;"!"&amp;ADDRESS(MATCH($G$1,Data!$A$1:$A$20,0),MATCH($A195,Data!$2:$2,0)+2,4)),"")</f>
        <v/>
      </c>
      <c r="K195" s="34" t="str" cm="1">
        <f t="array" aca="1" ref="K195" ca="1">IFERROR(INDIRECT("Data"&amp;"!"&amp;ADDRESS(MATCH($K$1,Data!$A$1:$A$20,0),MATCH($A195,Data!$2:$2,0)+2,4)),"")</f>
        <v/>
      </c>
    </row>
    <row r="196" spans="2:11" x14ac:dyDescent="0.25">
      <c r="B196" s="22" t="str" cm="1">
        <f t="array" aca="1" ref="B196" ca="1">IFERROR(INDIRECT("List"&amp;"!"&amp;ADDRESS(MATCH($A196,List!$B:$B,0),MATCH($B$1,List!$1:$1,0),4)),"")</f>
        <v/>
      </c>
      <c r="C196" s="22" t="str" cm="1">
        <f t="array" aca="1" ref="C196" ca="1">IFERROR(INDIRECT("List"&amp;"!"&amp;ADDRESS(MATCH($A196,List!$B:$B,0),MATCH($C$1,List!$1:$1,0),4)),"")</f>
        <v/>
      </c>
      <c r="D196" s="22" t="str" cm="1">
        <f t="array" aca="1" ref="D196" ca="1">IFERROR(INDIRECT("List"&amp;"!"&amp;ADDRESS(MATCH($A196,List!$B:$B,0),MATCH($D$1,List!$1:$1,0),4)),"")</f>
        <v/>
      </c>
      <c r="E196" s="22" t="str" cm="1">
        <f t="array" aca="1" ref="E196" ca="1">IFERROR(INDIRECT("List"&amp;"!"&amp;ADDRESS(MATCH($A196,List!$B:$B,0),MATCH($E$1,List!$1:$1,0),4)),"")</f>
        <v/>
      </c>
      <c r="F196" s="27" t="str" cm="1">
        <f t="array" aca="1" ref="F196" ca="1">IFERROR(INDIRECT("List"&amp;"!"&amp;ADDRESS(MATCH($A196,List!$B:$B,0),MATCH($F$1,List!$1:$1,0),4)),"")</f>
        <v/>
      </c>
      <c r="G196" s="31" t="str" cm="1">
        <f t="array" aca="1" ref="G196" ca="1">IFERROR(INDIRECT("Data"&amp;"!"&amp;ADDRESS(MATCH($G$1,Data!$A$1:$A$20,0),MATCH($A196,Data!$2:$2,0)+3,4)),"")</f>
        <v/>
      </c>
      <c r="H196" s="31" t="str" cm="1">
        <f t="array" aca="1" ref="H196" ca="1">IFERROR(INDIRECT("Data"&amp;"!"&amp;ADDRESS(MATCH($G$1,Data!$A$1:$A$20,0),MATCH($A196,Data!$2:$2,0),4)),"")</f>
        <v/>
      </c>
      <c r="I196" s="31" t="str" cm="1">
        <f t="array" aca="1" ref="I196" ca="1">IFERROR(INDIRECT("Data"&amp;"!"&amp;ADDRESS(MATCH($G$1,Data!$A$1:$A$20,0),MATCH($A196,Data!$2:$2,0)+1,4)),"")</f>
        <v/>
      </c>
      <c r="J196" s="31" t="str" cm="1">
        <f t="array" aca="1" ref="J196" ca="1">IFERROR(INDIRECT("Data"&amp;"!"&amp;ADDRESS(MATCH($G$1,Data!$A$1:$A$20,0),MATCH($A196,Data!$2:$2,0)+2,4)),"")</f>
        <v/>
      </c>
      <c r="K196" s="34" t="str" cm="1">
        <f t="array" aca="1" ref="K196" ca="1">IFERROR(INDIRECT("Data"&amp;"!"&amp;ADDRESS(MATCH($K$1,Data!$A$1:$A$20,0),MATCH($A196,Data!$2:$2,0)+2,4)),"")</f>
        <v/>
      </c>
    </row>
    <row r="197" spans="2:11" x14ac:dyDescent="0.25">
      <c r="B197" s="22" t="str" cm="1">
        <f t="array" aca="1" ref="B197" ca="1">IFERROR(INDIRECT("List"&amp;"!"&amp;ADDRESS(MATCH($A197,List!$B:$B,0),MATCH($B$1,List!$1:$1,0),4)),"")</f>
        <v/>
      </c>
      <c r="C197" s="22" t="str" cm="1">
        <f t="array" aca="1" ref="C197" ca="1">IFERROR(INDIRECT("List"&amp;"!"&amp;ADDRESS(MATCH($A197,List!$B:$B,0),MATCH($C$1,List!$1:$1,0),4)),"")</f>
        <v/>
      </c>
      <c r="D197" s="22" t="str" cm="1">
        <f t="array" aca="1" ref="D197" ca="1">IFERROR(INDIRECT("List"&amp;"!"&amp;ADDRESS(MATCH($A197,List!$B:$B,0),MATCH($D$1,List!$1:$1,0),4)),"")</f>
        <v/>
      </c>
      <c r="E197" s="22" t="str" cm="1">
        <f t="array" aca="1" ref="E197" ca="1">IFERROR(INDIRECT("List"&amp;"!"&amp;ADDRESS(MATCH($A197,List!$B:$B,0),MATCH($E$1,List!$1:$1,0),4)),"")</f>
        <v/>
      </c>
      <c r="F197" s="27" t="str" cm="1">
        <f t="array" aca="1" ref="F197" ca="1">IFERROR(INDIRECT("List"&amp;"!"&amp;ADDRESS(MATCH($A197,List!$B:$B,0),MATCH($F$1,List!$1:$1,0),4)),"")</f>
        <v/>
      </c>
      <c r="G197" s="31" t="str" cm="1">
        <f t="array" aca="1" ref="G197" ca="1">IFERROR(INDIRECT("Data"&amp;"!"&amp;ADDRESS(MATCH($G$1,Data!$A$1:$A$20,0),MATCH($A197,Data!$2:$2,0)+3,4)),"")</f>
        <v/>
      </c>
      <c r="H197" s="31" t="str" cm="1">
        <f t="array" aca="1" ref="H197" ca="1">IFERROR(INDIRECT("Data"&amp;"!"&amp;ADDRESS(MATCH($G$1,Data!$A$1:$A$20,0),MATCH($A197,Data!$2:$2,0),4)),"")</f>
        <v/>
      </c>
      <c r="I197" s="31" t="str" cm="1">
        <f t="array" aca="1" ref="I197" ca="1">IFERROR(INDIRECT("Data"&amp;"!"&amp;ADDRESS(MATCH($G$1,Data!$A$1:$A$20,0),MATCH($A197,Data!$2:$2,0)+1,4)),"")</f>
        <v/>
      </c>
      <c r="J197" s="31" t="str" cm="1">
        <f t="array" aca="1" ref="J197" ca="1">IFERROR(INDIRECT("Data"&amp;"!"&amp;ADDRESS(MATCH($G$1,Data!$A$1:$A$20,0),MATCH($A197,Data!$2:$2,0)+2,4)),"")</f>
        <v/>
      </c>
      <c r="K197" s="34" t="str" cm="1">
        <f t="array" aca="1" ref="K197" ca="1">IFERROR(INDIRECT("Data"&amp;"!"&amp;ADDRESS(MATCH($K$1,Data!$A$1:$A$20,0),MATCH($A197,Data!$2:$2,0)+2,4)),"")</f>
        <v/>
      </c>
    </row>
    <row r="198" spans="2:11" x14ac:dyDescent="0.25">
      <c r="B198" s="22" t="str" cm="1">
        <f t="array" aca="1" ref="B198" ca="1">IFERROR(INDIRECT("List"&amp;"!"&amp;ADDRESS(MATCH($A198,List!$B:$B,0),MATCH($B$1,List!$1:$1,0),4)),"")</f>
        <v/>
      </c>
      <c r="C198" s="22" t="str" cm="1">
        <f t="array" aca="1" ref="C198" ca="1">IFERROR(INDIRECT("List"&amp;"!"&amp;ADDRESS(MATCH($A198,List!$B:$B,0),MATCH($C$1,List!$1:$1,0),4)),"")</f>
        <v/>
      </c>
      <c r="D198" s="22" t="str" cm="1">
        <f t="array" aca="1" ref="D198" ca="1">IFERROR(INDIRECT("List"&amp;"!"&amp;ADDRESS(MATCH($A198,List!$B:$B,0),MATCH($D$1,List!$1:$1,0),4)),"")</f>
        <v/>
      </c>
      <c r="E198" s="22" t="str" cm="1">
        <f t="array" aca="1" ref="E198" ca="1">IFERROR(INDIRECT("List"&amp;"!"&amp;ADDRESS(MATCH($A198,List!$B:$B,0),MATCH($E$1,List!$1:$1,0),4)),"")</f>
        <v/>
      </c>
      <c r="F198" s="27" t="str" cm="1">
        <f t="array" aca="1" ref="F198" ca="1">IFERROR(INDIRECT("List"&amp;"!"&amp;ADDRESS(MATCH($A198,List!$B:$B,0),MATCH($F$1,List!$1:$1,0),4)),"")</f>
        <v/>
      </c>
      <c r="G198" s="31" t="str" cm="1">
        <f t="array" aca="1" ref="G198" ca="1">IFERROR(INDIRECT("Data"&amp;"!"&amp;ADDRESS(MATCH($G$1,Data!$A$1:$A$20,0),MATCH($A198,Data!$2:$2,0)+3,4)),"")</f>
        <v/>
      </c>
      <c r="H198" s="31" t="str" cm="1">
        <f t="array" aca="1" ref="H198" ca="1">IFERROR(INDIRECT("Data"&amp;"!"&amp;ADDRESS(MATCH($G$1,Data!$A$1:$A$20,0),MATCH($A198,Data!$2:$2,0),4)),"")</f>
        <v/>
      </c>
      <c r="I198" s="31" t="str" cm="1">
        <f t="array" aca="1" ref="I198" ca="1">IFERROR(INDIRECT("Data"&amp;"!"&amp;ADDRESS(MATCH($G$1,Data!$A$1:$A$20,0),MATCH($A198,Data!$2:$2,0)+1,4)),"")</f>
        <v/>
      </c>
      <c r="J198" s="31" t="str" cm="1">
        <f t="array" aca="1" ref="J198" ca="1">IFERROR(INDIRECT("Data"&amp;"!"&amp;ADDRESS(MATCH($G$1,Data!$A$1:$A$20,0),MATCH($A198,Data!$2:$2,0)+2,4)),"")</f>
        <v/>
      </c>
      <c r="K198" s="34" t="str" cm="1">
        <f t="array" aca="1" ref="K198" ca="1">IFERROR(INDIRECT("Data"&amp;"!"&amp;ADDRESS(MATCH($K$1,Data!$A$1:$A$20,0),MATCH($A198,Data!$2:$2,0)+2,4)),"")</f>
        <v/>
      </c>
    </row>
    <row r="199" spans="2:11" x14ac:dyDescent="0.25">
      <c r="B199" s="22" t="str" cm="1">
        <f t="array" aca="1" ref="B199" ca="1">IFERROR(INDIRECT("List"&amp;"!"&amp;ADDRESS(MATCH($A199,List!$B:$B,0),MATCH($B$1,List!$1:$1,0),4)),"")</f>
        <v/>
      </c>
      <c r="C199" s="22" t="str" cm="1">
        <f t="array" aca="1" ref="C199" ca="1">IFERROR(INDIRECT("List"&amp;"!"&amp;ADDRESS(MATCH($A199,List!$B:$B,0),MATCH($C$1,List!$1:$1,0),4)),"")</f>
        <v/>
      </c>
      <c r="D199" s="22" t="str" cm="1">
        <f t="array" aca="1" ref="D199" ca="1">IFERROR(INDIRECT("List"&amp;"!"&amp;ADDRESS(MATCH($A199,List!$B:$B,0),MATCH($D$1,List!$1:$1,0),4)),"")</f>
        <v/>
      </c>
      <c r="E199" s="22" t="str" cm="1">
        <f t="array" aca="1" ref="E199" ca="1">IFERROR(INDIRECT("List"&amp;"!"&amp;ADDRESS(MATCH($A199,List!$B:$B,0),MATCH($E$1,List!$1:$1,0),4)),"")</f>
        <v/>
      </c>
      <c r="F199" s="27" t="str" cm="1">
        <f t="array" aca="1" ref="F199" ca="1">IFERROR(INDIRECT("List"&amp;"!"&amp;ADDRESS(MATCH($A199,List!$B:$B,0),MATCH($F$1,List!$1:$1,0),4)),"")</f>
        <v/>
      </c>
      <c r="G199" s="31" t="str" cm="1">
        <f t="array" aca="1" ref="G199" ca="1">IFERROR(INDIRECT("Data"&amp;"!"&amp;ADDRESS(MATCH($G$1,Data!$A$1:$A$20,0),MATCH($A199,Data!$2:$2,0)+3,4)),"")</f>
        <v/>
      </c>
      <c r="H199" s="31" t="str" cm="1">
        <f t="array" aca="1" ref="H199" ca="1">IFERROR(INDIRECT("Data"&amp;"!"&amp;ADDRESS(MATCH($G$1,Data!$A$1:$A$20,0),MATCH($A199,Data!$2:$2,0),4)),"")</f>
        <v/>
      </c>
      <c r="I199" s="31" t="str" cm="1">
        <f t="array" aca="1" ref="I199" ca="1">IFERROR(INDIRECT("Data"&amp;"!"&amp;ADDRESS(MATCH($G$1,Data!$A$1:$A$20,0),MATCH($A199,Data!$2:$2,0)+1,4)),"")</f>
        <v/>
      </c>
      <c r="J199" s="31" t="str" cm="1">
        <f t="array" aca="1" ref="J199" ca="1">IFERROR(INDIRECT("Data"&amp;"!"&amp;ADDRESS(MATCH($G$1,Data!$A$1:$A$20,0),MATCH($A199,Data!$2:$2,0)+2,4)),"")</f>
        <v/>
      </c>
      <c r="K199" s="34" t="str" cm="1">
        <f t="array" aca="1" ref="K199" ca="1">IFERROR(INDIRECT("Data"&amp;"!"&amp;ADDRESS(MATCH($K$1,Data!$A$1:$A$20,0),MATCH($A199,Data!$2:$2,0)+2,4)),"")</f>
        <v/>
      </c>
    </row>
    <row r="200" spans="2:11" x14ac:dyDescent="0.25">
      <c r="B200" s="22" t="str" cm="1">
        <f t="array" aca="1" ref="B200" ca="1">IFERROR(INDIRECT("List"&amp;"!"&amp;ADDRESS(MATCH($A200,List!$B:$B,0),MATCH($B$1,List!$1:$1,0),4)),"")</f>
        <v/>
      </c>
      <c r="C200" s="22" t="str" cm="1">
        <f t="array" aca="1" ref="C200" ca="1">IFERROR(INDIRECT("List"&amp;"!"&amp;ADDRESS(MATCH($A200,List!$B:$B,0),MATCH($C$1,List!$1:$1,0),4)),"")</f>
        <v/>
      </c>
      <c r="D200" s="22" t="str" cm="1">
        <f t="array" aca="1" ref="D200" ca="1">IFERROR(INDIRECT("List"&amp;"!"&amp;ADDRESS(MATCH($A200,List!$B:$B,0),MATCH($D$1,List!$1:$1,0),4)),"")</f>
        <v/>
      </c>
      <c r="E200" s="22" t="str" cm="1">
        <f t="array" aca="1" ref="E200" ca="1">IFERROR(INDIRECT("List"&amp;"!"&amp;ADDRESS(MATCH($A200,List!$B:$B,0),MATCH($E$1,List!$1:$1,0),4)),"")</f>
        <v/>
      </c>
      <c r="F200" s="27" t="str" cm="1">
        <f t="array" aca="1" ref="F200" ca="1">IFERROR(INDIRECT("List"&amp;"!"&amp;ADDRESS(MATCH($A200,List!$B:$B,0),MATCH($F$1,List!$1:$1,0),4)),"")</f>
        <v/>
      </c>
      <c r="G200" s="31" t="str" cm="1">
        <f t="array" aca="1" ref="G200" ca="1">IFERROR(INDIRECT("Data"&amp;"!"&amp;ADDRESS(MATCH($G$1,Data!$A$1:$A$20,0),MATCH($A200,Data!$2:$2,0)+3,4)),"")</f>
        <v/>
      </c>
      <c r="H200" s="31" t="str" cm="1">
        <f t="array" aca="1" ref="H200" ca="1">IFERROR(INDIRECT("Data"&amp;"!"&amp;ADDRESS(MATCH($G$1,Data!$A$1:$A$20,0),MATCH($A200,Data!$2:$2,0),4)),"")</f>
        <v/>
      </c>
      <c r="I200" s="31" t="str" cm="1">
        <f t="array" aca="1" ref="I200" ca="1">IFERROR(INDIRECT("Data"&amp;"!"&amp;ADDRESS(MATCH($G$1,Data!$A$1:$A$20,0),MATCH($A200,Data!$2:$2,0)+1,4)),"")</f>
        <v/>
      </c>
      <c r="J200" s="31" t="str" cm="1">
        <f t="array" aca="1" ref="J200" ca="1">IFERROR(INDIRECT("Data"&amp;"!"&amp;ADDRESS(MATCH($G$1,Data!$A$1:$A$20,0),MATCH($A200,Data!$2:$2,0)+2,4)),"")</f>
        <v/>
      </c>
      <c r="K200" s="34" t="str" cm="1">
        <f t="array" aca="1" ref="K200" ca="1">IFERROR(INDIRECT("Data"&amp;"!"&amp;ADDRESS(MATCH($K$1,Data!$A$1:$A$20,0),MATCH($A200,Data!$2:$2,0)+2,4)),"")</f>
        <v/>
      </c>
    </row>
    <row r="201" spans="2:11" x14ac:dyDescent="0.25">
      <c r="B201" s="22" t="str" cm="1">
        <f t="array" aca="1" ref="B201" ca="1">IFERROR(INDIRECT("List"&amp;"!"&amp;ADDRESS(MATCH($A201,List!$B:$B,0),MATCH($B$1,List!$1:$1,0),4)),"")</f>
        <v/>
      </c>
      <c r="C201" s="22" t="str" cm="1">
        <f t="array" aca="1" ref="C201" ca="1">IFERROR(INDIRECT("List"&amp;"!"&amp;ADDRESS(MATCH($A201,List!$B:$B,0),MATCH($C$1,List!$1:$1,0),4)),"")</f>
        <v/>
      </c>
      <c r="D201" s="22" t="str" cm="1">
        <f t="array" aca="1" ref="D201" ca="1">IFERROR(INDIRECT("List"&amp;"!"&amp;ADDRESS(MATCH($A201,List!$B:$B,0),MATCH($D$1,List!$1:$1,0),4)),"")</f>
        <v/>
      </c>
      <c r="E201" s="22" t="str" cm="1">
        <f t="array" aca="1" ref="E201" ca="1">IFERROR(INDIRECT("List"&amp;"!"&amp;ADDRESS(MATCH($A201,List!$B:$B,0),MATCH($E$1,List!$1:$1,0),4)),"")</f>
        <v/>
      </c>
      <c r="F201" s="27" t="str" cm="1">
        <f t="array" aca="1" ref="F201" ca="1">IFERROR(INDIRECT("List"&amp;"!"&amp;ADDRESS(MATCH($A201,List!$B:$B,0),MATCH($F$1,List!$1:$1,0),4)),"")</f>
        <v/>
      </c>
      <c r="G201" s="31" t="str" cm="1">
        <f t="array" aca="1" ref="G201" ca="1">IFERROR(INDIRECT("Data"&amp;"!"&amp;ADDRESS(MATCH($G$1,Data!$A$1:$A$20,0),MATCH($A201,Data!$2:$2,0)+3,4)),"")</f>
        <v/>
      </c>
      <c r="H201" s="31" t="str" cm="1">
        <f t="array" aca="1" ref="H201" ca="1">IFERROR(INDIRECT("Data"&amp;"!"&amp;ADDRESS(MATCH($G$1,Data!$A$1:$A$20,0),MATCH($A201,Data!$2:$2,0),4)),"")</f>
        <v/>
      </c>
      <c r="I201" s="31" t="str" cm="1">
        <f t="array" aca="1" ref="I201" ca="1">IFERROR(INDIRECT("Data"&amp;"!"&amp;ADDRESS(MATCH($G$1,Data!$A$1:$A$20,0),MATCH($A201,Data!$2:$2,0)+1,4)),"")</f>
        <v/>
      </c>
      <c r="J201" s="31" t="str" cm="1">
        <f t="array" aca="1" ref="J201" ca="1">IFERROR(INDIRECT("Data"&amp;"!"&amp;ADDRESS(MATCH($G$1,Data!$A$1:$A$20,0),MATCH($A201,Data!$2:$2,0)+2,4)),"")</f>
        <v/>
      </c>
      <c r="K201" s="34" t="str" cm="1">
        <f t="array" aca="1" ref="K201" ca="1">IFERROR(INDIRECT("Data"&amp;"!"&amp;ADDRESS(MATCH($K$1,Data!$A$1:$A$20,0),MATCH($A201,Data!$2:$2,0)+2,4)),"")</f>
        <v/>
      </c>
    </row>
    <row r="202" spans="2:11" x14ac:dyDescent="0.25">
      <c r="B202" s="22" t="str" cm="1">
        <f t="array" aca="1" ref="B202" ca="1">IFERROR(INDIRECT("List"&amp;"!"&amp;ADDRESS(MATCH($A202,List!$B:$B,0),MATCH($B$1,List!$1:$1,0),4)),"")</f>
        <v/>
      </c>
      <c r="C202" s="22" t="str" cm="1">
        <f t="array" aca="1" ref="C202" ca="1">IFERROR(INDIRECT("List"&amp;"!"&amp;ADDRESS(MATCH($A202,List!$B:$B,0),MATCH($C$1,List!$1:$1,0),4)),"")</f>
        <v/>
      </c>
      <c r="D202" s="22" t="str" cm="1">
        <f t="array" aca="1" ref="D202" ca="1">IFERROR(INDIRECT("List"&amp;"!"&amp;ADDRESS(MATCH($A202,List!$B:$B,0),MATCH($D$1,List!$1:$1,0),4)),"")</f>
        <v/>
      </c>
      <c r="E202" s="22" t="str" cm="1">
        <f t="array" aca="1" ref="E202" ca="1">IFERROR(INDIRECT("List"&amp;"!"&amp;ADDRESS(MATCH($A202,List!$B:$B,0),MATCH($E$1,List!$1:$1,0),4)),"")</f>
        <v/>
      </c>
      <c r="F202" s="27" t="str" cm="1">
        <f t="array" aca="1" ref="F202" ca="1">IFERROR(INDIRECT("List"&amp;"!"&amp;ADDRESS(MATCH($A202,List!$B:$B,0),MATCH($F$1,List!$1:$1,0),4)),"")</f>
        <v/>
      </c>
      <c r="G202" s="31" t="str" cm="1">
        <f t="array" aca="1" ref="G202" ca="1">IFERROR(INDIRECT("Data"&amp;"!"&amp;ADDRESS(MATCH($G$1,Data!$A$1:$A$20,0),MATCH($A202,Data!$2:$2,0)+3,4)),"")</f>
        <v/>
      </c>
      <c r="H202" s="31" t="str" cm="1">
        <f t="array" aca="1" ref="H202" ca="1">IFERROR(INDIRECT("Data"&amp;"!"&amp;ADDRESS(MATCH($G$1,Data!$A$1:$A$20,0),MATCH($A202,Data!$2:$2,0),4)),"")</f>
        <v/>
      </c>
      <c r="I202" s="31" t="str" cm="1">
        <f t="array" aca="1" ref="I202" ca="1">IFERROR(INDIRECT("Data"&amp;"!"&amp;ADDRESS(MATCH($G$1,Data!$A$1:$A$20,0),MATCH($A202,Data!$2:$2,0)+1,4)),"")</f>
        <v/>
      </c>
      <c r="J202" s="31" t="str" cm="1">
        <f t="array" aca="1" ref="J202" ca="1">IFERROR(INDIRECT("Data"&amp;"!"&amp;ADDRESS(MATCH($G$1,Data!$A$1:$A$20,0),MATCH($A202,Data!$2:$2,0)+2,4)),"")</f>
        <v/>
      </c>
      <c r="K202" s="34" t="str" cm="1">
        <f t="array" aca="1" ref="K202" ca="1">IFERROR(INDIRECT("Data"&amp;"!"&amp;ADDRESS(MATCH($K$1,Data!$A$1:$A$20,0),MATCH($A202,Data!$2:$2,0)+2,4)),"")</f>
        <v/>
      </c>
    </row>
  </sheetData>
  <mergeCells count="6">
    <mergeCell ref="M21:M38"/>
    <mergeCell ref="N1:S2"/>
    <mergeCell ref="A1:A2"/>
    <mergeCell ref="M3:M20"/>
    <mergeCell ref="M1:M2"/>
    <mergeCell ref="G1:J1"/>
  </mergeCells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List</vt:lpstr>
      <vt:lpstr>Data</vt:lpstr>
      <vt:lpstr>Sum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上野 康正(熊本 プロ技)</dc:creator>
  <cp:lastModifiedBy>上野 康正(熊本 プロ技)</cp:lastModifiedBy>
  <cp:lastPrinted>2018-11-26T09:46:12Z</cp:lastPrinted>
  <dcterms:created xsi:type="dcterms:W3CDTF">2018-11-26T09:41:22Z</dcterms:created>
  <dcterms:modified xsi:type="dcterms:W3CDTF">2023-12-05T07:59:34Z</dcterms:modified>
</cp:coreProperties>
</file>